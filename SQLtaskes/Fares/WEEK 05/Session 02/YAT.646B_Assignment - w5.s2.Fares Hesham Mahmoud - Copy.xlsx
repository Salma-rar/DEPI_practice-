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self development\linkedin files\DEPI+ others\ROUND 4 materials\YAT646B_SHR4_DAT1_S2_DEPI4\Week05\Session02\"/>
    </mc:Choice>
  </mc:AlternateContent>
  <xr:revisionPtr revIDLastSave="0" documentId="13_ncr:1_{5A426A22-6205-469F-9E71-8FB31744B90B}" xr6:coauthVersionLast="47" xr6:coauthVersionMax="47" xr10:uidLastSave="{00000000-0000-0000-0000-000000000000}"/>
  <bookViews>
    <workbookView xWindow="-120" yWindow="-120" windowWidth="29040" windowHeight="15840" tabRatio="567" xr2:uid="{00000000-000D-0000-FFFF-FFFF00000000}"/>
  </bookViews>
  <sheets>
    <sheet name="DASHBOARD (2)" sheetId="8" r:id="rId1"/>
    <sheet name="DASHBOARD" sheetId="7" r:id="rId2"/>
    <sheet name="KPI" sheetId="2" r:id="rId3"/>
    <sheet name="percentage of departments" sheetId="6" r:id="rId4"/>
    <sheet name="Top 10 paid" sheetId="4" r:id="rId5"/>
    <sheet name="Data" sheetId="1" r:id="rId6"/>
  </sheets>
  <definedNames>
    <definedName name="_xlcn.WorksheetConnection_EmployeeWorkforceData3_YAT_646Copy.xlsxTable11" hidden="1">Table1[]</definedName>
  </definedNames>
  <calcPr calcId="191029"/>
  <pivotCaches>
    <pivotCache cacheId="107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Employee Workforce Data3_YAT_646 - Cop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20" i="2"/>
  <c r="G19" i="2"/>
  <c r="F21" i="2"/>
  <c r="F20" i="2"/>
  <c r="F19" i="2"/>
  <c r="G18" i="2"/>
  <c r="F18" i="2"/>
  <c r="G17" i="2"/>
  <c r="F17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N3" i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32F81F-9FA6-44FD-BA7E-F5D9B8CF59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EA8EE08-3701-41D5-83FF-EDE86B2DECDA}" name="WorksheetConnection_Employee Workforce Data3_YAT_646 - Copy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mployeeWorkforceData3_YAT_646Copy.xlsxTable11"/>
        </x15:connection>
      </ext>
    </extLst>
  </connection>
</connections>
</file>

<file path=xl/sharedStrings.xml><?xml version="1.0" encoding="utf-8"?>
<sst xmlns="http://schemas.openxmlformats.org/spreadsheetml/2006/main" count="5600" uniqueCount="1560">
  <si>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</si>
  <si>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</si>
  <si>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</si>
  <si>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</si>
  <si>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</si>
  <si>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</si>
  <si>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</si>
  <si>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</si>
  <si>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</si>
  <si>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</si>
  <si>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</si>
  <si>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</si>
  <si>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</si>
  <si>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</si>
  <si>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</si>
  <si>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</si>
  <si>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</si>
  <si>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</si>
  <si>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</si>
  <si>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</si>
  <si>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</si>
  <si>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</si>
  <si>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</si>
  <si>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</si>
  <si>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</si>
  <si>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</si>
  <si>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</si>
  <si>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</si>
  <si>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</si>
  <si>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</si>
  <si>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</si>
  <si>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</si>
  <si>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</si>
  <si>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</si>
  <si>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</si>
  <si>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</si>
  <si>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</si>
  <si>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</si>
  <si>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</si>
  <si>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</si>
  <si>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</si>
  <si>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</si>
  <si>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</si>
  <si>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</si>
  <si>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</si>
  <si>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</si>
  <si>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</si>
  <si>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</si>
  <si>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</si>
  <si>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</si>
  <si>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</si>
  <si>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</si>
  <si>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</si>
  <si>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</si>
  <si>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</si>
  <si>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</si>
  <si>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</si>
  <si>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</si>
  <si>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</si>
  <si>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</si>
  <si>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</si>
  <si>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</si>
  <si>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</si>
  <si>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</si>
  <si>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</si>
  <si>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</si>
  <si>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</si>
  <si>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</si>
  <si>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</si>
  <si>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</si>
  <si>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</si>
  <si>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</si>
  <si>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</si>
  <si>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</si>
  <si>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</si>
  <si>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</si>
  <si>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</si>
  <si>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</si>
  <si>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</si>
  <si>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</si>
  <si>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</si>
  <si>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</si>
  <si>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</si>
  <si>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</si>
  <si>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</si>
  <si>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</si>
  <si>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</si>
  <si>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</si>
  <si>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</si>
  <si>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</si>
  <si>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</si>
  <si>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</si>
  <si>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</si>
  <si>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</si>
  <si>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</si>
  <si>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</si>
  <si>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</si>
  <si>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</si>
  <si>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</si>
  <si>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</si>
  <si>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</si>
  <si>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</si>
  <si>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</si>
  <si>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</si>
  <si>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</si>
  <si>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</si>
  <si>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</si>
  <si>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</si>
  <si>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</si>
  <si>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</si>
  <si>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</si>
  <si>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</si>
  <si>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</si>
  <si>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</si>
  <si>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</si>
  <si>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</si>
  <si>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</si>
  <si>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</si>
  <si>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</si>
  <si>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</si>
  <si>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</si>
  <si>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</si>
  <si>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</si>
  <si>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</si>
  <si>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</si>
  <si>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</si>
  <si>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</si>
  <si>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</si>
  <si>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</si>
  <si>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</si>
  <si>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</si>
  <si>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</si>
  <si>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</si>
  <si>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</si>
  <si>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</si>
  <si>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</si>
  <si>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</si>
  <si>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</si>
  <si>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</si>
  <si>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</si>
  <si>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</si>
  <si>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</si>
  <si>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</si>
  <si>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</si>
  <si>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</si>
  <si>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</si>
  <si>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</si>
  <si>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</si>
  <si>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</si>
  <si>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</si>
  <si>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</si>
  <si>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</si>
  <si>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</si>
  <si>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</si>
  <si>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</si>
  <si>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</si>
  <si>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</si>
  <si>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</si>
  <si>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</si>
  <si>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</si>
  <si>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</si>
  <si>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</si>
  <si>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</si>
  <si>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</si>
  <si>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</si>
  <si>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</si>
  <si>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</si>
  <si>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</si>
  <si>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</si>
  <si>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</si>
  <si>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</si>
  <si>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</si>
  <si>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</si>
  <si>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</si>
  <si>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</si>
  <si>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</si>
  <si>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</si>
  <si>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</si>
  <si>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</si>
  <si>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</si>
  <si>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</si>
  <si>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</si>
  <si>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</si>
  <si>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</si>
  <si>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</si>
  <si>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</si>
  <si>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</si>
  <si>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</si>
  <si>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</si>
  <si>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</si>
  <si>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</si>
  <si>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</si>
  <si>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</si>
  <si>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</si>
  <si>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</si>
  <si>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</si>
  <si>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</si>
  <si>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</si>
  <si>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</si>
  <si>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</si>
  <si>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</si>
  <si>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</si>
  <si>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</si>
  <si>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</si>
  <si>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</si>
  <si>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</si>
  <si>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</si>
  <si>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</si>
  <si>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</si>
  <si>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</si>
  <si>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</si>
  <si>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</si>
  <si>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</si>
  <si>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</si>
  <si>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</si>
  <si>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</si>
  <si>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</si>
  <si>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</si>
  <si>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</si>
  <si>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</si>
  <si>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</si>
  <si>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</si>
  <si>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</si>
  <si>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</si>
  <si>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</si>
  <si>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</si>
  <si>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</si>
  <si>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</si>
  <si>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</si>
  <si>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</si>
  <si>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</si>
  <si>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</si>
  <si>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</si>
  <si>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</si>
  <si>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</si>
  <si>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</si>
  <si>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</si>
  <si>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</si>
  <si>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</si>
  <si>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</si>
  <si>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</si>
  <si>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</si>
  <si>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</si>
  <si>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</si>
  <si>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</si>
  <si>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</si>
  <si>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</si>
  <si>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</si>
  <si>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</si>
  <si>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</si>
  <si>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</si>
  <si>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</si>
  <si>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</si>
  <si>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</si>
  <si>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</si>
  <si>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</si>
  <si>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</si>
  <si>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</si>
  <si>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</si>
  <si>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</si>
  <si>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</si>
  <si>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</si>
  <si>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</si>
  <si>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</si>
  <si>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</si>
  <si>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</si>
  <si>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</si>
  <si>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</si>
  <si>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</si>
  <si>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</si>
  <si>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</si>
  <si>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</si>
  <si>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</si>
  <si>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</si>
  <si>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</si>
  <si>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</si>
  <si>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</si>
  <si>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</si>
  <si>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</si>
  <si>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</si>
  <si>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</si>
  <si>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</si>
  <si>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</si>
  <si>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</si>
  <si>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</si>
  <si>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</si>
  <si>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</si>
  <si>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</si>
  <si>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</si>
  <si>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</si>
  <si>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</si>
  <si>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</si>
  <si>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</si>
  <si>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</si>
  <si>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</si>
  <si>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</si>
  <si>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</si>
  <si>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</si>
  <si>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</si>
  <si>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</si>
  <si>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</si>
  <si>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</si>
  <si>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</si>
  <si>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</si>
  <si>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</si>
  <si>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</si>
  <si>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</si>
  <si>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</si>
  <si>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</si>
  <si>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</si>
  <si>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</si>
  <si>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</si>
  <si>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</si>
  <si>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</si>
  <si>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</si>
  <si>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</si>
  <si>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</si>
  <si>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</si>
  <si>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</si>
  <si>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</si>
  <si>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</si>
  <si>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</si>
  <si>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</si>
  <si>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</si>
  <si>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</si>
  <si>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</si>
  <si>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</si>
  <si>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</si>
  <si>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</si>
  <si>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</si>
  <si>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</si>
  <si>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</si>
  <si>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</si>
  <si>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</si>
  <si>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</si>
  <si>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</si>
  <si>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</si>
  <si>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</si>
  <si>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</si>
  <si>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</si>
  <si>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</si>
  <si>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</si>
  <si>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</si>
  <si>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</si>
  <si>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</si>
  <si>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</si>
  <si>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</si>
  <si>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</si>
  <si>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</si>
  <si>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</si>
  <si>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</si>
  <si>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</si>
  <si>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</si>
  <si>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</si>
  <si>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</si>
  <si>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</si>
  <si>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</si>
  <si>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</si>
  <si>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</si>
  <si>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</si>
  <si>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</si>
  <si>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</si>
  <si>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</si>
  <si>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</si>
  <si>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</si>
  <si>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</si>
  <si>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</si>
  <si>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</si>
  <si>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</si>
  <si>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</si>
  <si>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</si>
  <si>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</si>
  <si>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</si>
  <si>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</si>
  <si>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</si>
  <si>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</si>
  <si>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</si>
  <si>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</si>
  <si>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</si>
  <si>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</si>
  <si>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</si>
  <si>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</si>
  <si>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</si>
  <si>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</si>
  <si>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</si>
  <si>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</si>
  <si>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</si>
  <si>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</si>
  <si>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</si>
  <si>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</si>
  <si>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</si>
  <si>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</si>
  <si>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</si>
  <si>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</si>
  <si>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</si>
  <si>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</si>
  <si>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</si>
  <si>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</si>
  <si>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</si>
  <si>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</si>
  <si>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</si>
  <si>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</si>
  <si>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</si>
  <si>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</si>
  <si>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</si>
  <si>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</si>
  <si>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</si>
  <si>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</si>
  <si>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</si>
  <si>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</si>
  <si>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</si>
  <si>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</si>
  <si>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</si>
  <si>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</si>
  <si>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</si>
  <si>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</si>
  <si>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</si>
  <si>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</si>
  <si>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</si>
  <si>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</si>
  <si>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</si>
  <si>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</si>
  <si>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</si>
  <si>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</si>
  <si>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</si>
  <si>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</si>
  <si>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</si>
  <si>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</si>
  <si>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</si>
  <si>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</si>
  <si>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</si>
  <si>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</si>
  <si>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</si>
  <si>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</si>
  <si>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</si>
  <si>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</si>
  <si>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</si>
  <si>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</si>
  <si>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</si>
  <si>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</si>
  <si>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</si>
  <si>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</si>
  <si>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</si>
  <si>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</si>
  <si>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</si>
  <si>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</si>
  <si>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</si>
  <si>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</si>
  <si>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</si>
  <si>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</si>
  <si>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</si>
  <si>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</si>
  <si>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</si>
  <si>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</si>
  <si>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</si>
  <si>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</si>
  <si>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</si>
  <si>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</si>
  <si>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</si>
  <si>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</si>
  <si>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</si>
  <si>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</si>
  <si>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</si>
  <si>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</si>
  <si>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</si>
  <si>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</si>
  <si>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</si>
  <si>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</si>
  <si>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</si>
  <si>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</si>
  <si>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</si>
  <si>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</si>
  <si>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</si>
  <si>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</si>
  <si>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</si>
  <si>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</si>
  <si>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</si>
  <si>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</si>
  <si>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</si>
  <si>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</si>
  <si>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</si>
  <si>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</si>
  <si>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</si>
  <si>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</si>
  <si>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</si>
  <si>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</si>
  <si>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</si>
  <si>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</si>
  <si>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</si>
  <si>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</si>
  <si>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</si>
  <si>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</si>
  <si>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</si>
  <si>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</si>
  <si>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</si>
  <si>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</si>
  <si>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</si>
  <si>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</si>
  <si>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</si>
  <si>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</si>
  <si>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</si>
  <si>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</si>
  <si>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</si>
  <si>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</si>
  <si>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</si>
  <si>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</si>
  <si>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</si>
  <si>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</si>
  <si>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</si>
  <si>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</si>
  <si>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</si>
  <si>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</si>
  <si>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</si>
  <si>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</si>
  <si>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</si>
  <si>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</si>
  <si>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</si>
  <si>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</si>
  <si>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</si>
  <si>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</si>
  <si>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</si>
  <si>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</si>
  <si>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</si>
  <si>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</si>
  <si>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</si>
  <si>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</si>
  <si>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</si>
  <si>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</si>
  <si>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</si>
  <si>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</si>
  <si>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</si>
  <si>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</si>
  <si>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</si>
  <si>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</si>
  <si>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</si>
  <si>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</si>
  <si>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</si>
  <si>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</si>
  <si>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</si>
  <si>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</si>
  <si>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</si>
  <si>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</si>
  <si>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</si>
  <si>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</si>
  <si>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</si>
  <si>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</si>
  <si>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</si>
  <si>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</si>
  <si>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</si>
  <si>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</si>
  <si>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</si>
  <si>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</si>
  <si>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</si>
  <si>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</si>
  <si>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</si>
  <si>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</si>
  <si>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</si>
  <si>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</si>
  <si>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</si>
  <si>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</si>
  <si>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</si>
  <si>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</si>
  <si>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</si>
  <si>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</si>
  <si>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</si>
  <si>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</si>
  <si>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</si>
  <si>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</si>
  <si>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</si>
  <si>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</si>
  <si>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</si>
  <si>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</si>
  <si>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</si>
  <si>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</si>
  <si>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</si>
  <si>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</si>
  <si>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</si>
  <si>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</si>
  <si>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</si>
  <si>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</si>
  <si>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</si>
  <si>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</si>
  <si>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</si>
  <si>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</si>
  <si>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</si>
  <si>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</si>
  <si>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</si>
  <si>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</si>
  <si>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</si>
  <si>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</si>
  <si>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</si>
  <si>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</si>
  <si>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</si>
  <si>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</si>
  <si>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</si>
  <si>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</si>
  <si>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</si>
  <si>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</si>
  <si>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</si>
  <si>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</si>
  <si>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</si>
  <si>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</si>
  <si>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</si>
  <si>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</si>
  <si>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</si>
  <si>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</si>
  <si>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</si>
  <si>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</si>
  <si>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</si>
  <si>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</si>
  <si>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</si>
  <si>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</si>
  <si>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</si>
  <si>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</si>
  <si>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</si>
  <si>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</si>
  <si>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</si>
  <si>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</si>
  <si>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</si>
  <si>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</si>
  <si>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</si>
  <si>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</si>
  <si>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</si>
  <si>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</si>
  <si>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</si>
  <si>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</si>
  <si>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</si>
  <si>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</si>
  <si>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</si>
  <si>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</si>
  <si>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</si>
  <si>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</si>
  <si>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</si>
  <si>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</si>
  <si>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</si>
  <si>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</si>
  <si>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</si>
  <si>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</si>
  <si>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</si>
  <si>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</si>
  <si>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</si>
  <si>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</si>
  <si>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</si>
  <si>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</si>
  <si>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</si>
  <si>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</si>
  <si>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</si>
  <si>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</si>
  <si>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</si>
  <si>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</si>
  <si>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</si>
  <si>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</si>
  <si>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</si>
  <si>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</si>
  <si>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</si>
  <si>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</si>
  <si>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</si>
  <si>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</si>
  <si>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</si>
  <si>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</si>
  <si>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</si>
  <si>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</si>
  <si>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</si>
  <si>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</si>
  <si>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</si>
  <si>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</si>
  <si>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</si>
  <si>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</si>
  <si>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</si>
  <si>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</si>
  <si>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</si>
  <si>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</si>
  <si>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</si>
  <si>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</si>
  <si>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</si>
  <si>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</si>
  <si>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</si>
  <si>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</si>
  <si>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</si>
  <si>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</si>
  <si>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</si>
  <si>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</si>
  <si>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</si>
  <si>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</si>
  <si>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</si>
  <si>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</si>
  <si>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</si>
  <si>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</si>
  <si>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</si>
  <si>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</si>
  <si>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</si>
  <si>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</si>
  <si>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</si>
  <si>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</si>
  <si>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</si>
  <si>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</si>
  <si>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</si>
  <si>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</si>
  <si>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</si>
  <si>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</si>
  <si>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</si>
  <si>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</si>
  <si>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</si>
  <si>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</si>
  <si>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</si>
  <si>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</si>
  <si>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</si>
  <si>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</si>
  <si>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</si>
  <si>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</si>
  <si>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</si>
  <si>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</si>
  <si>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</si>
  <si>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</si>
  <si>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</si>
  <si>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</si>
  <si>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</si>
  <si>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</si>
  <si>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</si>
  <si>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</si>
  <si>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</si>
  <si>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</si>
  <si>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</si>
  <si>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</si>
  <si>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</si>
  <si>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</si>
  <si>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</si>
  <si>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</si>
  <si>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</si>
  <si>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</si>
  <si>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</si>
  <si>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</si>
  <si>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</si>
  <si>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</si>
  <si>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</si>
  <si>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</si>
  <si>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</si>
  <si>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</si>
  <si>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</si>
  <si>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</si>
  <si>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</si>
  <si>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</si>
  <si>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</si>
  <si>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</si>
  <si>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</si>
  <si>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</si>
  <si>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</si>
  <si>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</si>
  <si>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</si>
  <si>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</si>
  <si>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</si>
  <si>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</si>
  <si>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</si>
  <si>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</si>
  <si>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</si>
  <si>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</si>
  <si>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</si>
  <si>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</si>
  <si>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</si>
  <si>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</si>
  <si>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</si>
  <si>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</si>
  <si>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</si>
  <si>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</si>
  <si>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</si>
  <si>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</si>
  <si>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</si>
  <si>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</si>
  <si>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</si>
  <si>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</si>
  <si>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</si>
  <si>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</si>
  <si>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</si>
  <si>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</si>
  <si>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</si>
  <si>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</si>
  <si>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</si>
  <si>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</si>
  <si>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</si>
  <si>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</si>
  <si>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</si>
  <si>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</si>
  <si>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</si>
  <si>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</si>
  <si>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</si>
  <si>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</si>
  <si>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</si>
  <si>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</si>
  <si>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</si>
  <si>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</si>
  <si>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</si>
  <si>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</si>
  <si>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</si>
  <si>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</si>
  <si>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</si>
  <si>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</si>
  <si>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</si>
  <si>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</si>
  <si>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</si>
  <si>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</si>
  <si>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</si>
  <si>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</si>
  <si>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</si>
  <si>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</si>
  <si>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</si>
  <si>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</si>
  <si>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</si>
  <si>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</si>
  <si>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</si>
  <si>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</si>
  <si>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</si>
  <si>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</si>
  <si>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</si>
  <si>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</si>
  <si>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</si>
  <si>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</si>
  <si>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</si>
  <si>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</si>
  <si>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</si>
  <si>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</si>
  <si>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</si>
  <si>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</si>
  <si>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</si>
  <si>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</si>
  <si>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</si>
  <si>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</si>
  <si>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</si>
  <si>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</si>
  <si>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</si>
  <si>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</si>
  <si>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</si>
  <si>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</si>
  <si>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</si>
  <si>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</si>
  <si>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</si>
  <si>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</si>
  <si>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</si>
  <si>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</si>
  <si>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</si>
  <si>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</si>
  <si>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</si>
  <si>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</si>
  <si>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</si>
  <si>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</si>
  <si>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</si>
  <si>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</si>
  <si>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</si>
  <si>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</si>
  <si>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</si>
  <si>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</si>
  <si>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</si>
  <si>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</si>
  <si>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</si>
  <si>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</si>
  <si>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</si>
  <si>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</si>
  <si>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</si>
  <si>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</si>
  <si>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</si>
  <si>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</si>
  <si>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</si>
  <si>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</si>
  <si>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</si>
  <si>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</si>
  <si>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</si>
  <si>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</si>
  <si>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</si>
  <si>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</si>
  <si>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</si>
  <si>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</si>
  <si>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</si>
  <si>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</si>
  <si>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</si>
  <si>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</si>
  <si>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</si>
  <si>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</si>
  <si>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</si>
  <si>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</si>
  <si>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</si>
  <si>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</si>
  <si>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</si>
  <si>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</si>
  <si>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</si>
  <si>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</si>
  <si>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</si>
  <si>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</si>
  <si>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</si>
  <si>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</si>
  <si>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</si>
  <si>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</si>
  <si>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</si>
  <si>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</si>
  <si>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</si>
  <si>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</si>
  <si>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</si>
  <si>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</si>
  <si>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</si>
  <si>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</si>
  <si>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</si>
  <si>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</si>
  <si>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</si>
  <si>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</si>
  <si>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</si>
  <si>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</si>
  <si>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</si>
  <si>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</si>
  <si>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</si>
  <si>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</si>
  <si>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</si>
  <si>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</si>
  <si>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</si>
  <si>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</si>
  <si>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</si>
  <si>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</si>
  <si>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</si>
  <si>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</si>
  <si>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</si>
  <si>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</si>
  <si>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</si>
  <si>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</si>
  <si>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</si>
  <si>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</si>
  <si>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</si>
  <si>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</si>
  <si>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</si>
  <si>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</si>
  <si>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</si>
  <si>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</si>
  <si>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</si>
  <si>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</si>
  <si>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</si>
  <si>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</si>
  <si>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</si>
  <si>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</si>
  <si>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</si>
  <si>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</si>
  <si>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</si>
  <si>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</si>
  <si>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</si>
  <si>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</si>
  <si>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</si>
  <si>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</si>
  <si>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</si>
  <si>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</si>
  <si>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</si>
  <si>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</si>
  <si>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</si>
  <si>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</si>
  <si>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</si>
  <si>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</si>
  <si>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</si>
  <si>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</si>
  <si>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</si>
  <si>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</si>
  <si>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</si>
  <si>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</si>
  <si>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</si>
  <si>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</si>
  <si>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</si>
  <si>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</si>
  <si>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</si>
  <si>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</si>
  <si>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</si>
  <si>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</si>
  <si>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</si>
  <si>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</si>
  <si>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</si>
  <si>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</si>
  <si>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</si>
  <si>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</si>
  <si>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</si>
  <si>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</si>
  <si>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</si>
  <si>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</si>
  <si>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</si>
  <si>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</si>
  <si>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</si>
  <si>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</si>
  <si>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</si>
  <si>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</si>
  <si>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</si>
  <si>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</si>
  <si>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</si>
  <si>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</si>
  <si>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</si>
  <si>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</si>
  <si>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</si>
  <si>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</si>
  <si>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</si>
  <si>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</si>
  <si>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</si>
  <si>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</si>
  <si>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</si>
  <si>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</si>
  <si>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</si>
  <si>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</si>
  <si>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</si>
  <si>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</si>
  <si>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</si>
  <si>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</si>
  <si>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</si>
  <si>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</si>
  <si>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</si>
  <si>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</si>
  <si>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</si>
  <si>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</si>
  <si>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</si>
  <si>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</si>
  <si>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</si>
  <si>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</si>
  <si>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</si>
  <si>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</si>
  <si>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</si>
  <si>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</si>
  <si>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</si>
  <si>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</si>
  <si>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</si>
  <si>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</si>
  <si>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</si>
  <si>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</si>
  <si>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</si>
  <si>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</si>
  <si>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</si>
  <si>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</si>
  <si>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</si>
  <si>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</si>
  <si>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</si>
  <si>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</si>
  <si>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</si>
  <si>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</si>
  <si>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</si>
  <si>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</si>
  <si>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</si>
  <si>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</si>
  <si>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</si>
  <si>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</si>
  <si>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</si>
  <si>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</si>
  <si>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</si>
  <si>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</si>
  <si>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</si>
  <si>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</si>
  <si>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</si>
  <si>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</si>
  <si>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</si>
  <si>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</si>
  <si>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</si>
  <si>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</si>
  <si>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</si>
  <si>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</si>
  <si>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</si>
  <si>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</si>
  <si>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</si>
  <si>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</si>
  <si>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</si>
  <si>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</si>
  <si>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</si>
  <si>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</si>
  <si>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</si>
  <si>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</si>
  <si>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</si>
  <si>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</si>
  <si>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</si>
  <si>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</si>
  <si>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</si>
  <si>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</si>
  <si>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</si>
  <si>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</si>
  <si>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</si>
  <si>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</si>
  <si>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</si>
  <si>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</si>
  <si>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</si>
  <si>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</si>
  <si>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</si>
  <si>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</si>
  <si>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</si>
  <si>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</si>
  <si>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</si>
  <si>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</si>
  <si>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</si>
  <si>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</si>
  <si>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</si>
  <si>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</si>
  <si>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</si>
  <si>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</si>
  <si>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</si>
  <si>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</si>
  <si>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</si>
  <si>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</si>
  <si>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</si>
  <si>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</si>
  <si>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</si>
  <si>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</si>
  <si>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</si>
  <si>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</si>
  <si>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</si>
  <si>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</si>
  <si>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</si>
  <si>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</si>
  <si>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</si>
  <si>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</si>
  <si>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</si>
  <si>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</si>
  <si>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</si>
  <si>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</si>
  <si>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</si>
  <si>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</si>
  <si>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</si>
  <si>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</si>
  <si>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</si>
  <si>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</si>
  <si>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</si>
  <si>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</si>
  <si>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</si>
  <si>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</si>
  <si>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</si>
  <si>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</si>
  <si>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</si>
  <si>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</si>
  <si>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</si>
  <si>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</si>
  <si>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</si>
  <si>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</si>
  <si>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</si>
  <si>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</si>
  <si>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</si>
  <si>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</si>
  <si>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</si>
  <si>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</si>
  <si>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</si>
  <si>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</si>
  <si>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</si>
  <si>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</si>
  <si>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</si>
  <si>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</si>
  <si>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</si>
  <si>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</si>
  <si>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</si>
  <si>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</si>
  <si>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</si>
  <si>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</si>
  <si>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</si>
  <si>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</si>
  <si>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</si>
  <si>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</si>
  <si>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</si>
  <si>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</si>
  <si>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</si>
  <si>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</si>
  <si>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</si>
  <si>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</si>
  <si>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</si>
  <si>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</si>
  <si>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</si>
  <si>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</si>
  <si>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</si>
  <si>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</si>
  <si>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</si>
  <si>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</si>
  <si>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</si>
  <si>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</si>
  <si>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</si>
  <si>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</si>
  <si>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</si>
  <si>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</si>
  <si>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</si>
  <si>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</si>
  <si>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</si>
  <si>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</si>
  <si>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</si>
  <si>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</si>
  <si>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</si>
  <si>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</si>
  <si>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</si>
  <si>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</si>
  <si>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</si>
  <si>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</si>
  <si>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</si>
  <si>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</si>
  <si>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</si>
  <si>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</si>
  <si>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</si>
  <si>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</si>
  <si>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</si>
  <si>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</si>
  <si>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</si>
  <si>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</si>
  <si>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</si>
  <si>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</si>
  <si>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</si>
  <si>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</si>
  <si>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</si>
  <si>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</si>
  <si>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</si>
  <si>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</si>
  <si>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</si>
  <si>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</si>
  <si>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</si>
  <si>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</si>
  <si>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</si>
  <si>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</si>
  <si>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</si>
  <si>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</si>
  <si>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</si>
  <si>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</si>
  <si>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</si>
  <si>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</si>
  <si>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</si>
  <si>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</si>
  <si>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</si>
  <si>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</si>
  <si>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</si>
  <si>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</si>
  <si>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</si>
  <si>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</si>
  <si>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</si>
  <si>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</si>
  <si>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</si>
  <si>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</si>
  <si>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</si>
  <si>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</si>
  <si>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</si>
  <si>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</si>
  <si>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</si>
  <si>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</si>
  <si>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</si>
  <si>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</si>
  <si>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</si>
  <si>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</si>
  <si>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</si>
  <si>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</si>
  <si>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</si>
  <si>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</si>
  <si>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</si>
  <si>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</si>
  <si>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</si>
  <si>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</si>
  <si>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</si>
  <si>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</si>
  <si>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</si>
  <si>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</si>
  <si>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</si>
  <si>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</si>
  <si>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</si>
  <si>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</si>
  <si>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</si>
  <si>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</si>
  <si>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</si>
  <si>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</si>
  <si>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</si>
  <si>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</si>
  <si>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</si>
  <si>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</si>
  <si>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</si>
  <si>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</si>
  <si>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</si>
  <si>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</si>
  <si>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</si>
  <si>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</si>
  <si>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</si>
  <si>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</si>
  <si>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</si>
  <si>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</si>
  <si>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</si>
  <si>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</si>
  <si>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</si>
  <si>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</si>
  <si>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</si>
  <si>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</si>
  <si>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</si>
  <si>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</si>
  <si>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</si>
  <si>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</si>
  <si>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</si>
  <si>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</si>
  <si>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</si>
  <si>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</si>
  <si>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</si>
  <si>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</si>
  <si>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</si>
  <si>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</si>
  <si>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</si>
  <si>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</si>
  <si>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</si>
  <si>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</si>
  <si>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</si>
  <si>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</si>
  <si>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</si>
  <si>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</si>
  <si>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</si>
  <si>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</si>
  <si>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</si>
  <si>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</si>
  <si>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</si>
  <si>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</si>
  <si>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</si>
  <si>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</si>
  <si>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</si>
  <si>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</si>
  <si>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</si>
  <si>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</si>
  <si>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</si>
  <si>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</si>
  <si>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</si>
  <si>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</si>
  <si>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</si>
  <si>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</si>
  <si>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</si>
  <si>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</si>
  <si>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</si>
  <si>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</si>
  <si>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</si>
  <si>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</si>
  <si>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</si>
  <si>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</si>
  <si>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</si>
  <si>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</si>
  <si>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</si>
  <si>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</si>
  <si>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</si>
  <si>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</si>
  <si>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</si>
  <si>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</si>
  <si>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</si>
  <si>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</si>
  <si>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</si>
  <si>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</si>
  <si>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</si>
  <si>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</si>
  <si>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</si>
  <si>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</si>
  <si>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</si>
  <si>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</si>
  <si>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</si>
  <si>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</si>
  <si>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</si>
  <si>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</si>
  <si>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</si>
  <si>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</si>
  <si>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</si>
  <si>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</si>
  <si>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</si>
  <si>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</si>
  <si>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</si>
  <si>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</si>
  <si>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</si>
  <si>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</si>
  <si>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</si>
  <si>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</si>
  <si>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</si>
  <si>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</si>
  <si>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</si>
  <si>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</si>
  <si>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</si>
  <si>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</si>
  <si>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</si>
  <si>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</si>
  <si>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</si>
  <si>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</si>
  <si>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</si>
  <si>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</si>
  <si>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</si>
  <si>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</si>
  <si>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</si>
  <si>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</si>
  <si>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</si>
  <si>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</si>
  <si>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</si>
  <si>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</si>
  <si>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</si>
  <si>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</si>
  <si>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</si>
  <si>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</si>
  <si>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</si>
  <si>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</si>
  <si>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</si>
  <si>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</si>
  <si>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</si>
  <si>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</si>
  <si>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</si>
  <si>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</si>
  <si>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</si>
  <si>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</si>
  <si>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</si>
  <si>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</si>
  <si>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</si>
  <si>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</si>
  <si>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</si>
  <si>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</si>
  <si>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</si>
  <si>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</si>
  <si>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</si>
  <si>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</si>
  <si>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</si>
  <si>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</si>
  <si>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</si>
  <si>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</si>
  <si>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</si>
  <si>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</si>
  <si>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</si>
  <si>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</si>
  <si>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</si>
  <si>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</si>
  <si>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</si>
  <si>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</si>
  <si>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</si>
  <si>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</si>
  <si>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</si>
  <si>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</si>
  <si>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</si>
  <si>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</si>
  <si>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</si>
  <si>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</si>
  <si>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</si>
  <si>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</si>
  <si>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</si>
  <si>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</si>
  <si>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</si>
  <si>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</si>
  <si>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</si>
  <si>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</si>
  <si>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</si>
  <si>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</si>
  <si>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</si>
  <si>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</si>
  <si>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</si>
  <si>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</si>
  <si>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</si>
  <si>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</si>
  <si>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</si>
  <si>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</si>
  <si>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</si>
  <si>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</si>
  <si>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</si>
  <si>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</si>
  <si>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</si>
  <si>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</si>
  <si>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</si>
  <si>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</si>
  <si>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</si>
  <si>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</si>
  <si>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</si>
  <si>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</si>
  <si>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</si>
  <si>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</si>
  <si>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</si>
  <si>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</si>
  <si>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</si>
  <si>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</si>
  <si>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</si>
  <si>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</si>
  <si>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</si>
  <si>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</si>
  <si>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</si>
  <si>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</si>
  <si>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</si>
  <si>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</si>
  <si>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</si>
  <si>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</si>
  <si>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</si>
  <si>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</si>
  <si>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</si>
  <si>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</si>
  <si>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</si>
  <si>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</si>
  <si>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</si>
  <si>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</si>
  <si>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</si>
  <si>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</si>
  <si>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</si>
  <si>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</si>
  <si>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</si>
  <si>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</si>
  <si>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</si>
  <si>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</si>
  <si>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</si>
  <si>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</si>
  <si>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</si>
  <si>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</si>
  <si>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</si>
  <si>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</si>
  <si>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</si>
  <si>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</si>
  <si>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</si>
  <si>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</si>
  <si>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</si>
  <si>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</si>
  <si>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</si>
  <si>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</si>
  <si>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</si>
  <si>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</si>
  <si>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</si>
  <si>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</si>
  <si>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</si>
  <si>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</si>
  <si>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</si>
  <si>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</si>
  <si>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</si>
  <si>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</si>
  <si>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</si>
  <si>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</si>
  <si>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</si>
  <si>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</si>
  <si>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</si>
  <si>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</si>
  <si>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</si>
  <si>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</si>
  <si>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</si>
  <si>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</si>
  <si>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</si>
  <si>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</si>
  <si>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</si>
  <si>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</si>
  <si>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</si>
  <si>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</si>
  <si>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</si>
  <si>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</si>
  <si>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</si>
  <si>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</si>
  <si>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</si>
  <si>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</si>
  <si>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</si>
  <si>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</si>
  <si>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</si>
  <si>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</si>
  <si>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</si>
  <si>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</si>
  <si>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</si>
  <si>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</si>
  <si>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</si>
  <si>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</si>
  <si>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</si>
  <si>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</si>
  <si>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</si>
  <si>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</si>
  <si>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</si>
  <si>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</si>
  <si>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</si>
  <si>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</si>
  <si>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</si>
  <si>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</si>
  <si>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</si>
  <si>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</si>
  <si>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</si>
  <si>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</si>
  <si>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</si>
  <si>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years</t>
  </si>
  <si>
    <t>Age range</t>
  </si>
  <si>
    <t>Age[10]</t>
  </si>
  <si>
    <t>Row Labels</t>
  </si>
  <si>
    <t>Grand Total</t>
  </si>
  <si>
    <t>Count of EEID</t>
  </si>
  <si>
    <t>Sum of Annual</t>
  </si>
  <si>
    <t>Average of Annual</t>
  </si>
  <si>
    <t>Average of years</t>
  </si>
  <si>
    <t>Column Labels</t>
  </si>
  <si>
    <t xml:space="preserve">     </t>
  </si>
  <si>
    <t xml:space="preserve">   </t>
  </si>
  <si>
    <t xml:space="preserve">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</si>
</sst>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164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64" formatCode="_(&quot;$&quot;* #,##0_);_(&quot;$&quot;* \(#,##0\);_(&quot;$&quot;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3" formatCode="0%"/>
    </dxf>
    <dxf>
      <numFmt numFmtId="2" formatCode="0.00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colors>
    <mruColors>
      <color rgb="FF0424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[YAT.646B_Assignment - w5.s2.Fares Hesham Mahmoud - Copy.xlsx]percentage of departments!PivotTable5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% of employees in each dept.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4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4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4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4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3.6921239582650449E-3"/>
              <c:y val="0.157567698921198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'percentage of departments'!$B$4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D4-409A-86BA-040AE3C8901D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D4-409A-86BA-040AE3C8901D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D4-409A-86BA-040AE3C8901D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D4-409A-86BA-040AE3C8901D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FD4-409A-86BA-040AE3C8901D}"/>
              </c:ext>
            </c:extLst>
          </c:dPt>
          <c:dPt>
            <c:idx val="5"/>
            <c:bubble3D val="0"/>
            <c:explosion val="3"/>
            <c:spPr>
              <a:solidFill>
                <a:schemeClr val="accent4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FD4-409A-86BA-040AE3C8901D}"/>
              </c:ext>
            </c:extLst>
          </c:dPt>
          <c:dLbls>
            <c:dLbl>
              <c:idx val="5"/>
              <c:layout>
                <c:manualLayout>
                  <c:x val="3.6921239582650449E-3"/>
                  <c:y val="0.1575676989211981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FD4-409A-86BA-040AE3C890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departments'!$A$5:$A$11</c:f>
              <c:strCache>
                <c:ptCount val="6"/>
                <c:pt idx="0">
                  <c:v>Finance</c:v>
                </c:pt>
                <c:pt idx="1">
                  <c:v>Accounting</c:v>
                </c:pt>
                <c:pt idx="2">
                  <c:v>Sales</c:v>
                </c:pt>
                <c:pt idx="3">
                  <c:v>Marketing</c:v>
                </c:pt>
                <c:pt idx="4">
                  <c:v>IT</c:v>
                </c:pt>
                <c:pt idx="5">
                  <c:v>Engineering</c:v>
                </c:pt>
              </c:strCache>
            </c:strRef>
          </c:cat>
          <c:val>
            <c:numRef>
              <c:f>'percentage of departments'!$B$5:$B$11</c:f>
              <c:numCache>
                <c:formatCode>0.00%</c:formatCode>
                <c:ptCount val="6"/>
                <c:pt idx="0">
                  <c:v>6.1868686868686872E-2</c:v>
                </c:pt>
                <c:pt idx="1">
                  <c:v>6.3131313131313135E-2</c:v>
                </c:pt>
                <c:pt idx="2">
                  <c:v>6.3131313131313135E-2</c:v>
                </c:pt>
                <c:pt idx="3">
                  <c:v>9.4696969696969696E-2</c:v>
                </c:pt>
                <c:pt idx="4">
                  <c:v>0.1553030303030303</c:v>
                </c:pt>
                <c:pt idx="5">
                  <c:v>0.56186868686868685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D4-409A-86BA-040AE3C8901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[YAT.646B_Assignment - w5.s2.Fares Hesham Mahmoud - Copy.xlsx]Top 10 paid!PivotTable6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Top 10 Highest Paid Employees</a:t>
            </a:r>
          </a:p>
        </c:rich>
      </c:tx>
      <c:layout>
        <c:manualLayout>
          <c:xMode val="edge"/>
          <c:yMode val="edge"/>
          <c:x val="0.35865430219745675"/>
          <c:y val="2.0694748788970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paid'!$B$4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paid'!$A$5:$A$15</c:f>
              <c:strCache>
                <c:ptCount val="10"/>
                <c:pt idx="0">
                  <c:v>lakai</c:v>
                </c:pt>
                <c:pt idx="1">
                  <c:v>Enzo</c:v>
                </c:pt>
                <c:pt idx="2">
                  <c:v>Eve</c:v>
                </c:pt>
                <c:pt idx="3">
                  <c:v>Layne</c:v>
                </c:pt>
                <c:pt idx="4">
                  <c:v>lilah</c:v>
                </c:pt>
                <c:pt idx="5">
                  <c:v>Amos</c:v>
                </c:pt>
                <c:pt idx="6">
                  <c:v>Yareli</c:v>
                </c:pt>
                <c:pt idx="7">
                  <c:v>Alora</c:v>
                </c:pt>
                <c:pt idx="8">
                  <c:v>Eston</c:v>
                </c:pt>
                <c:pt idx="9">
                  <c:v>Calvin</c:v>
                </c:pt>
              </c:strCache>
            </c:strRef>
          </c:cat>
          <c:val>
            <c:numRef>
              <c:f>'Top 10 paid'!$B$5:$B$15</c:f>
              <c:numCache>
                <c:formatCode>_("$"* #,##0_);_("$"* \(#,##0\);_("$"* "-"??_);_(@_)</c:formatCode>
                <c:ptCount val="10"/>
                <c:pt idx="0">
                  <c:v>1408000</c:v>
                </c:pt>
                <c:pt idx="1">
                  <c:v>1406000</c:v>
                </c:pt>
                <c:pt idx="2">
                  <c:v>1404000</c:v>
                </c:pt>
                <c:pt idx="3">
                  <c:v>1402000</c:v>
                </c:pt>
                <c:pt idx="4">
                  <c:v>1400000</c:v>
                </c:pt>
                <c:pt idx="5">
                  <c:v>1398000</c:v>
                </c:pt>
                <c:pt idx="6">
                  <c:v>1396000</c:v>
                </c:pt>
                <c:pt idx="7">
                  <c:v>1394000</c:v>
                </c:pt>
                <c:pt idx="8">
                  <c:v>1392000</c:v>
                </c:pt>
                <c:pt idx="9">
                  <c:v>1390000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B-40BA-94DF-9269802F23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23838831"/>
        <c:axId val="323835951"/>
      </c:barChart>
      <c:catAx>
        <c:axId val="323838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Employee's 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35951"/>
        <c:crosses val="autoZero"/>
        <c:auto val="1"/>
        <c:lblAlgn val="ctr"/>
        <c:lblOffset val="100"/>
        <c:noMultiLvlLbl val="0"/>
      </c:catAx>
      <c:valAx>
        <c:axId val="3238359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Annual salary (in $ 1K)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38831"/>
        <c:crosses val="autoZero"/>
        <c:crossBetween val="between"/>
        <c:majorUnit val="5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[YAT.646B_Assignment - w5.s2.Fares Hesham Mahmoud - Copy.xlsx]KPI!PivotTable3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M/F from each Age Distribution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KPI!$B$9:$B$10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KPI!$A$11:$A$15</c:f>
              <c:strCach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strCache>
            </c:strRef>
          </c:cat>
          <c:val>
            <c:numRef>
              <c:f>KPI!$B$11:$B$15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0-4D3E-95C6-1E4FA63A2547}"/>
            </c:ext>
          </c:extLst>
        </c:ser>
        <c:ser>
          <c:idx val="1"/>
          <c:order val="1"/>
          <c:tx>
            <c:strRef>
              <c:f>KPI!$C$9:$C$10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KPI!$A$11:$A$15</c:f>
              <c:strCach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strCache>
            </c:strRef>
          </c:cat>
          <c:val>
            <c:numRef>
              <c:f>KPI!$C$11:$C$15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0-4D3E-95C6-1E4FA63A25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9171824"/>
        <c:axId val="1889184784"/>
      </c:barChart>
      <c:catAx>
        <c:axId val="18891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84784"/>
        <c:crosses val="autoZero"/>
        <c:auto val="1"/>
        <c:lblAlgn val="ctr"/>
        <c:lblOffset val="100"/>
        <c:noMultiLvlLbl val="0"/>
      </c:catAx>
      <c:valAx>
        <c:axId val="188918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[YAT.646B_Assignment - w5.s2.Fares Hesham Mahmoud - Copy.xlsx]percentage of departments!PivotTable5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% of employees in each dept.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departments'!$B$4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93-4C82-A49C-53B7173FDC83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93-4C82-A49C-53B7173FDC83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93-4C82-A49C-53B7173FDC83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93-4C82-A49C-53B7173FDC83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93-4C82-A49C-53B7173FDC83}"/>
              </c:ext>
            </c:extLst>
          </c:dPt>
          <c:dPt>
            <c:idx val="5"/>
            <c:bubble3D val="0"/>
            <c:explosion val="3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93-4C82-A49C-53B7173FDC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departments'!$A$5:$A$11</c:f>
              <c:strCache>
                <c:ptCount val="6"/>
                <c:pt idx="0">
                  <c:v>Finance</c:v>
                </c:pt>
                <c:pt idx="1">
                  <c:v>Accounting</c:v>
                </c:pt>
                <c:pt idx="2">
                  <c:v>Sales</c:v>
                </c:pt>
                <c:pt idx="3">
                  <c:v>Marketing</c:v>
                </c:pt>
                <c:pt idx="4">
                  <c:v>IT</c:v>
                </c:pt>
                <c:pt idx="5">
                  <c:v>Engineering</c:v>
                </c:pt>
              </c:strCache>
            </c:strRef>
          </c:cat>
          <c:val>
            <c:numRef>
              <c:f>'percentage of departments'!$B$5:$B$11</c:f>
              <c:numCache>
                <c:formatCode>0.00%</c:formatCode>
                <c:ptCount val="6"/>
                <c:pt idx="0">
                  <c:v>6.1868686868686872E-2</c:v>
                </c:pt>
                <c:pt idx="1">
                  <c:v>6.3131313131313135E-2</c:v>
                </c:pt>
                <c:pt idx="2">
                  <c:v>6.3131313131313135E-2</c:v>
                </c:pt>
                <c:pt idx="3">
                  <c:v>9.4696969696969696E-2</c:v>
                </c:pt>
                <c:pt idx="4">
                  <c:v>0.1553030303030303</c:v>
                </c:pt>
                <c:pt idx="5">
                  <c:v>0.56186868686868685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93-4C82-A49C-53B7173FDC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[YAT.646B_Assignment - w5.s2.Fares Hesham Mahmoud - Copy.xlsx]Top 10 paid!PivotTable6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Paid Employees</a:t>
            </a:r>
          </a:p>
        </c:rich>
      </c:tx>
      <c:layout>
        <c:manualLayout>
          <c:xMode val="edge"/>
          <c:yMode val="edge"/>
          <c:x val="0.35865430219745675"/>
          <c:y val="2.0694748788970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95000"/>
              <a:alpha val="85000"/>
            </a:schemeClr>
          </a:solidFill>
          <a:ln w="9525" cap="flat" cmpd="sng" algn="ctr">
            <a:solidFill>
              <a:srgbClr val="042433">
                <a:alpha val="49804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paid'!$B$4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95000"/>
                <a:alpha val="85000"/>
              </a:schemeClr>
            </a:solidFill>
            <a:ln w="9525" cap="flat" cmpd="sng" algn="ctr">
              <a:solidFill>
                <a:srgbClr val="042433">
                  <a:alpha val="49804"/>
                </a:srgb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paid'!$A$5:$A$15</c:f>
              <c:strCache>
                <c:ptCount val="10"/>
                <c:pt idx="0">
                  <c:v>lakai</c:v>
                </c:pt>
                <c:pt idx="1">
                  <c:v>Enzo</c:v>
                </c:pt>
                <c:pt idx="2">
                  <c:v>Eve</c:v>
                </c:pt>
                <c:pt idx="3">
                  <c:v>Layne</c:v>
                </c:pt>
                <c:pt idx="4">
                  <c:v>lilah</c:v>
                </c:pt>
                <c:pt idx="5">
                  <c:v>Amos</c:v>
                </c:pt>
                <c:pt idx="6">
                  <c:v>Yareli</c:v>
                </c:pt>
                <c:pt idx="7">
                  <c:v>Alora</c:v>
                </c:pt>
                <c:pt idx="8">
                  <c:v>Eston</c:v>
                </c:pt>
                <c:pt idx="9">
                  <c:v>Calvin</c:v>
                </c:pt>
              </c:strCache>
            </c:strRef>
          </c:cat>
          <c:val>
            <c:numRef>
              <c:f>'Top 10 paid'!$B$5:$B$15</c:f>
              <c:numCache>
                <c:formatCode>_("$"* #,##0_);_("$"* \(#,##0\);_("$"* "-"??_);_(@_)</c:formatCode>
                <c:ptCount val="10"/>
                <c:pt idx="0">
                  <c:v>1408000</c:v>
                </c:pt>
                <c:pt idx="1">
                  <c:v>1406000</c:v>
                </c:pt>
                <c:pt idx="2">
                  <c:v>1404000</c:v>
                </c:pt>
                <c:pt idx="3">
                  <c:v>1402000</c:v>
                </c:pt>
                <c:pt idx="4">
                  <c:v>1400000</c:v>
                </c:pt>
                <c:pt idx="5">
                  <c:v>1398000</c:v>
                </c:pt>
                <c:pt idx="6">
                  <c:v>1396000</c:v>
                </c:pt>
                <c:pt idx="7">
                  <c:v>1394000</c:v>
                </c:pt>
                <c:pt idx="8">
                  <c:v>1392000</c:v>
                </c:pt>
                <c:pt idx="9">
                  <c:v>1390000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7-45B0-9327-49AC4C1414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23838831"/>
        <c:axId val="323835951"/>
      </c:barChart>
      <c:catAx>
        <c:axId val="323838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Employee's 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35951"/>
        <c:crosses val="autoZero"/>
        <c:auto val="1"/>
        <c:lblAlgn val="ctr"/>
        <c:lblOffset val="100"/>
        <c:noMultiLvlLbl val="0"/>
      </c:catAx>
      <c:valAx>
        <c:axId val="3238359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salary (in $ 1K)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38831"/>
        <c:crosses val="autoZero"/>
        <c:crossBetween val="between"/>
        <c:majorUnit val="5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[YAT.646B_Assignment - w5.s2.Fares Hesham Mahmoud - Copy.xlsx]KPI!PivotTable3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M/F from each Age Distribution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KPI!$B$9:$B$10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KPI!$A$11:$A$15</c:f>
              <c:strCach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strCache>
            </c:strRef>
          </c:cat>
          <c:val>
            <c:numRef>
              <c:f>KPI!$B$11:$B$15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5-4276-9856-A889AC0B14CF}"/>
            </c:ext>
          </c:extLst>
        </c:ser>
        <c:ser>
          <c:idx val="1"/>
          <c:order val="1"/>
          <c:tx>
            <c:strRef>
              <c:f>KPI!$C$9:$C$10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KPI!$A$11:$A$15</c:f>
              <c:strCach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strCache>
            </c:strRef>
          </c:cat>
          <c:val>
            <c:numRef>
              <c:f>KPI!$C$11:$C$15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5-4276-9856-A889AC0B14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9171824"/>
        <c:axId val="1889184784"/>
      </c:barChart>
      <c:catAx>
        <c:axId val="18891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84784"/>
        <c:crosses val="autoZero"/>
        <c:auto val="1"/>
        <c:lblAlgn val="ctr"/>
        <c:lblOffset val="100"/>
        <c:noMultiLvlLbl val="0"/>
      </c:catAx>
      <c:valAx>
        <c:axId val="188918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[YAT.646B_Assignment - w5.s2.Fares Hesham Mahmoud - Copy.xlsx]KPI!PivotTable3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M/F from each</a:t>
            </a:r>
            <a:r>
              <a:rPr lang="en-US" baseline="0"/>
              <a:t> Age </a:t>
            </a:r>
            <a:r>
              <a:rPr lang="en-US" sz="1600" b="1" i="0" u="none" strike="noStrike" baseline="0">
                <a:effectLst/>
              </a:rPr>
              <a:t>Distribution  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KPI!$B$9:$B$10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KPI!$A$11:$A$15</c:f>
              <c:strCach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strCache>
            </c:strRef>
          </c:cat>
          <c:val>
            <c:numRef>
              <c:f>KPI!$B$11:$B$15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2-4A89-A52B-101230002535}"/>
            </c:ext>
          </c:extLst>
        </c:ser>
        <c:ser>
          <c:idx val="1"/>
          <c:order val="1"/>
          <c:tx>
            <c:strRef>
              <c:f>KPI!$C$9:$C$10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KPI!$A$11:$A$15</c:f>
              <c:strCach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strCache>
            </c:strRef>
          </c:cat>
          <c:val>
            <c:numRef>
              <c:f>KPI!$C$11:$C$15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2-4A89-A52B-1012300025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9171824"/>
        <c:axId val="1889184784"/>
      </c:barChart>
      <c:catAx>
        <c:axId val="18891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84784"/>
        <c:crosses val="autoZero"/>
        <c:auto val="1"/>
        <c:lblAlgn val="ctr"/>
        <c:lblOffset val="100"/>
        <c:noMultiLvlLbl val="0"/>
      </c:catAx>
      <c:valAx>
        <c:axId val="188918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[YAT.646B_Assignment - w5.s2.Fares Hesham Mahmoud - Copy.xlsx]percentage of departments!PivotTable5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employees in each dept.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departments'!$B$4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940-44C2-815B-6A9D525F6F76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40-44C2-815B-6A9D525F6F76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940-44C2-815B-6A9D525F6F76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40-44C2-815B-6A9D525F6F76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940-44C2-815B-6A9D525F6F76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40-44C2-815B-6A9D525F6F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departments'!$A$5:$A$11</c:f>
              <c:strCache>
                <c:ptCount val="6"/>
                <c:pt idx="0">
                  <c:v>Finance</c:v>
                </c:pt>
                <c:pt idx="1">
                  <c:v>Accounting</c:v>
                </c:pt>
                <c:pt idx="2">
                  <c:v>Sales</c:v>
                </c:pt>
                <c:pt idx="3">
                  <c:v>Marketing</c:v>
                </c:pt>
                <c:pt idx="4">
                  <c:v>IT</c:v>
                </c:pt>
                <c:pt idx="5">
                  <c:v>Engineering</c:v>
                </c:pt>
              </c:strCache>
            </c:strRef>
          </c:cat>
          <c:val>
            <c:numRef>
              <c:f>'percentage of departments'!$B$5:$B$11</c:f>
              <c:numCache>
                <c:formatCode>0.00%</c:formatCode>
                <c:ptCount val="6"/>
                <c:pt idx="0">
                  <c:v>6.1868686868686872E-2</c:v>
                </c:pt>
                <c:pt idx="1">
                  <c:v>6.3131313131313135E-2</c:v>
                </c:pt>
                <c:pt idx="2">
                  <c:v>6.3131313131313135E-2</c:v>
                </c:pt>
                <c:pt idx="3">
                  <c:v>9.4696969696969696E-2</c:v>
                </c:pt>
                <c:pt idx="4">
                  <c:v>0.1553030303030303</c:v>
                </c:pt>
                <c:pt idx="5">
                  <c:v>0.56186868686868685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0-44C2-815B-6A9D525F6F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[YAT.646B_Assignment - w5.s2.Fares Hesham Mahmoud - Copy.xlsx]Top 10 paid!PivotTable6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</a:t>
            </a:r>
            <a:r>
              <a:rPr lang="en-US" baseline="0"/>
              <a:t> Paid Employees</a:t>
            </a:r>
            <a:endParaRPr lang="en-US"/>
          </a:p>
        </c:rich>
      </c:tx>
      <c:layout>
        <c:manualLayout>
          <c:xMode val="edge"/>
          <c:yMode val="edge"/>
          <c:x val="0.35865430219745675"/>
          <c:y val="2.0694748788970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paid'!$B$4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paid'!$A$5:$A$15</c:f>
              <c:strCache>
                <c:ptCount val="10"/>
                <c:pt idx="0">
                  <c:v>lakai</c:v>
                </c:pt>
                <c:pt idx="1">
                  <c:v>Enzo</c:v>
                </c:pt>
                <c:pt idx="2">
                  <c:v>Eve</c:v>
                </c:pt>
                <c:pt idx="3">
                  <c:v>Layne</c:v>
                </c:pt>
                <c:pt idx="4">
                  <c:v>lilah</c:v>
                </c:pt>
                <c:pt idx="5">
                  <c:v>Amos</c:v>
                </c:pt>
                <c:pt idx="6">
                  <c:v>Yareli</c:v>
                </c:pt>
                <c:pt idx="7">
                  <c:v>Alora</c:v>
                </c:pt>
                <c:pt idx="8">
                  <c:v>Eston</c:v>
                </c:pt>
                <c:pt idx="9">
                  <c:v>Calvin</c:v>
                </c:pt>
              </c:strCache>
            </c:strRef>
          </c:cat>
          <c:val>
            <c:numRef>
              <c:f>'Top 10 paid'!$B$5:$B$15</c:f>
              <c:numCache>
                <c:formatCode>_("$"* #,##0_);_("$"* \(#,##0\);_("$"* "-"??_);_(@_)</c:formatCode>
                <c:ptCount val="10"/>
                <c:pt idx="0">
                  <c:v>1408000</c:v>
                </c:pt>
                <c:pt idx="1">
                  <c:v>1406000</c:v>
                </c:pt>
                <c:pt idx="2">
                  <c:v>1404000</c:v>
                </c:pt>
                <c:pt idx="3">
                  <c:v>1402000</c:v>
                </c:pt>
                <c:pt idx="4">
                  <c:v>1400000</c:v>
                </c:pt>
                <c:pt idx="5">
                  <c:v>1398000</c:v>
                </c:pt>
                <c:pt idx="6">
                  <c:v>1396000</c:v>
                </c:pt>
                <c:pt idx="7">
                  <c:v>1394000</c:v>
                </c:pt>
                <c:pt idx="8">
                  <c:v>1392000</c:v>
                </c:pt>
                <c:pt idx="9">
                  <c:v>1390000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5-4710-84B3-937BD70C0D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23838831"/>
        <c:axId val="323835951"/>
      </c:barChart>
      <c:catAx>
        <c:axId val="323838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35951"/>
        <c:crosses val="autoZero"/>
        <c:auto val="1"/>
        <c:lblAlgn val="ctr"/>
        <c:lblOffset val="100"/>
        <c:noMultiLvlLbl val="0"/>
      </c:catAx>
      <c:valAx>
        <c:axId val="3238359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38831"/>
        <c:crosses val="autoZero"/>
        <c:crossBetween val="between"/>
        <c:majorUnit val="500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434746</xdr:colOff>
      <xdr:row>2</xdr:row>
      <xdr:rowOff>16422</xdr:rowOff>
    </xdr:from>
    <xdr:to>
      <xdr:col>25</xdr:col>
      <xdr:colOff>32845</xdr:colOff>
      <xdr:row>72</xdr:row>
      <xdr:rowOff>147802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329905-7B36-4A5E-AC8E-1BFAE41C3167}"/>
            </a:ext>
          </a:extLst>
        </xdr:cNvPr>
        <xdr:cNvSpPr/>
      </xdr:nvSpPr>
      <xdr:spPr>
        <a:xfrm>
          <a:off x="434746" y="410560"/>
          <a:ext cx="14788832" cy="13926208"/>
        </a:xfrm>
        <a:prstGeom prst="rect">
          <a:avLst/>
        </a:prstGeom>
        <a:solidFill>
          <a:schemeClr val="accent1">
            <a:alpha val="6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114299</xdr:colOff>
      <xdr:row>17</xdr:row>
      <xdr:rowOff>136585</xdr:rowOff>
    </xdr:from>
    <xdr:to>
      <xdr:col>12</xdr:col>
      <xdr:colOff>403859</xdr:colOff>
      <xdr:row>42</xdr:row>
      <xdr:rowOff>181253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65F4CD4-D075-D7E1-8CBA-6C646ED13449}"/>
            </a:ext>
          </a:extLst>
        </xdr:cNvPr>
        <xdr:cNvGrpSpPr/>
      </xdr:nvGrpSpPr>
      <xdr:grpSpPr>
        <a:xfrm>
          <a:off x="721928" y="3486757"/>
          <a:ext cx="6973483" cy="4971393"/>
          <a:chOff x="720435" y="3614851"/>
          <a:chExt cx="6957060" cy="4800600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8F8BE4DF-2546-4B0F-67BD-A63076EA2CC9}"/>
              </a:ext>
            </a:extLst>
          </xdr:cNvPr>
          <xdr:cNvSpPr/>
        </xdr:nvSpPr>
        <xdr:spPr>
          <a:xfrm>
            <a:off x="720435" y="3614851"/>
            <a:ext cx="6957060" cy="4800600"/>
          </a:xfrm>
          <a:prstGeom prst="roundRect">
            <a:avLst/>
          </a:prstGeom>
          <a:ln w="31750"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FAB8ED89-A046-77D7-3E16-B5E7960FE7F9}"/>
              </a:ext>
            </a:extLst>
          </xdr:cNvPr>
          <xdr:cNvGraphicFramePr>
            <a:graphicFrameLocks/>
          </xdr:cNvGraphicFramePr>
        </xdr:nvGraphicFramePr>
        <xdr:xfrm>
          <a:off x="767312" y="3758045"/>
          <a:ext cx="6863307" cy="45142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100446</xdr:colOff>
      <xdr:row>43</xdr:row>
      <xdr:rowOff>129180</xdr:rowOff>
    </xdr:from>
    <xdr:to>
      <xdr:col>24</xdr:col>
      <xdr:colOff>329045</xdr:colOff>
      <xdr:row>71</xdr:row>
      <xdr:rowOff>92132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EAAE6027-EFEA-A6E5-584D-E0A672ACAFB0}"/>
            </a:ext>
          </a:extLst>
        </xdr:cNvPr>
        <xdr:cNvGrpSpPr/>
      </xdr:nvGrpSpPr>
      <xdr:grpSpPr>
        <a:xfrm>
          <a:off x="708075" y="8603146"/>
          <a:ext cx="14204073" cy="5480883"/>
          <a:chOff x="914223" y="12981215"/>
          <a:chExt cx="8675945" cy="4421300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3D3B44B3-639A-5CB5-C6AB-5A402CB7A35E}"/>
              </a:ext>
            </a:extLst>
          </xdr:cNvPr>
          <xdr:cNvSpPr/>
        </xdr:nvSpPr>
        <xdr:spPr>
          <a:xfrm>
            <a:off x="914223" y="12981215"/>
            <a:ext cx="8675945" cy="4421300"/>
          </a:xfrm>
          <a:prstGeom prst="roundRect">
            <a:avLst/>
          </a:prstGeom>
          <a:ln w="31750"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4A9F821C-4954-72B4-8B45-F374B218EF4A}"/>
              </a:ext>
            </a:extLst>
          </xdr:cNvPr>
          <xdr:cNvGraphicFramePr>
            <a:graphicFrameLocks/>
          </xdr:cNvGraphicFramePr>
        </xdr:nvGraphicFramePr>
        <xdr:xfrm>
          <a:off x="1349749" y="13099057"/>
          <a:ext cx="7804893" cy="41856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13</xdr:col>
      <xdr:colOff>36367</xdr:colOff>
      <xdr:row>17</xdr:row>
      <xdr:rowOff>136585</xdr:rowOff>
    </xdr:from>
    <xdr:to>
      <xdr:col>24</xdr:col>
      <xdr:colOff>325927</xdr:colOff>
      <xdr:row>42</xdr:row>
      <xdr:rowOff>181253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CC77A04-C6A6-8DFE-7F72-EC3B76F040F5}"/>
            </a:ext>
          </a:extLst>
        </xdr:cNvPr>
        <xdr:cNvGrpSpPr/>
      </xdr:nvGrpSpPr>
      <xdr:grpSpPr>
        <a:xfrm>
          <a:off x="7935548" y="3486757"/>
          <a:ext cx="6973482" cy="4971393"/>
          <a:chOff x="7916140" y="3614851"/>
          <a:chExt cx="6957060" cy="480060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AEC4CD74-E682-8E65-EE09-5494271C2A31}"/>
              </a:ext>
            </a:extLst>
          </xdr:cNvPr>
          <xdr:cNvSpPr/>
        </xdr:nvSpPr>
        <xdr:spPr>
          <a:xfrm>
            <a:off x="7916140" y="3614851"/>
            <a:ext cx="6957060" cy="4800600"/>
          </a:xfrm>
          <a:prstGeom prst="roundRect">
            <a:avLst/>
          </a:prstGeom>
          <a:ln w="31750"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78AB5378-A72F-661E-8DD7-F1EC2F062792}"/>
              </a:ext>
            </a:extLst>
          </xdr:cNvPr>
          <xdr:cNvGraphicFramePr>
            <a:graphicFrameLocks/>
          </xdr:cNvGraphicFramePr>
        </xdr:nvGraphicFramePr>
        <xdr:xfrm>
          <a:off x="8076408" y="3844637"/>
          <a:ext cx="6636525" cy="44435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7</xdr:col>
      <xdr:colOff>223405</xdr:colOff>
      <xdr:row>3</xdr:row>
      <xdr:rowOff>69273</xdr:rowOff>
    </xdr:from>
    <xdr:to>
      <xdr:col>18</xdr:col>
      <xdr:colOff>206086</xdr:colOff>
      <xdr:row>9</xdr:row>
      <xdr:rowOff>86589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DEAFC0BE-416F-EB1C-450B-424F2FE83C06}"/>
            </a:ext>
          </a:extLst>
        </xdr:cNvPr>
        <xdr:cNvGrpSpPr/>
      </xdr:nvGrpSpPr>
      <xdr:grpSpPr>
        <a:xfrm>
          <a:off x="4476810" y="660480"/>
          <a:ext cx="6666604" cy="1199730"/>
          <a:chOff x="3351069" y="519544"/>
          <a:chExt cx="6688281" cy="1281545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D4D8ADC2-630B-4402-9300-64A32B71AF87}"/>
              </a:ext>
            </a:extLst>
          </xdr:cNvPr>
          <xdr:cNvSpPr/>
        </xdr:nvSpPr>
        <xdr:spPr>
          <a:xfrm>
            <a:off x="3351069" y="519544"/>
            <a:ext cx="6688281" cy="1281545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260B2E5-DEDB-41C8-8683-6843179B552D}"/>
              </a:ext>
            </a:extLst>
          </xdr:cNvPr>
          <xdr:cNvSpPr txBox="1"/>
        </xdr:nvSpPr>
        <xdr:spPr>
          <a:xfrm>
            <a:off x="3869852" y="863697"/>
            <a:ext cx="5650714" cy="5932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3200" b="1">
                <a:solidFill>
                  <a:schemeClr val="bg1"/>
                </a:solidFill>
              </a:rPr>
              <a:t>Employee Workforce Dashboard</a:t>
            </a:r>
          </a:p>
        </xdr:txBody>
      </xdr:sp>
    </xdr:grpSp>
    <xdr:clientData/>
  </xdr:twoCellAnchor>
  <xdr:twoCellAnchor>
    <xdr:from>
      <xdr:col>1</xdr:col>
      <xdr:colOff>119430</xdr:colOff>
      <xdr:row>10</xdr:row>
      <xdr:rowOff>44721</xdr:rowOff>
    </xdr:from>
    <xdr:to>
      <xdr:col>5</xdr:col>
      <xdr:colOff>411902</xdr:colOff>
      <xdr:row>16</xdr:row>
      <xdr:rowOff>188450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818A317-B5F1-EE95-3E3A-46397EA1B27B}"/>
            </a:ext>
          </a:extLst>
        </xdr:cNvPr>
        <xdr:cNvGrpSpPr/>
      </xdr:nvGrpSpPr>
      <xdr:grpSpPr>
        <a:xfrm>
          <a:off x="727059" y="2015411"/>
          <a:ext cx="2722990" cy="1326142"/>
          <a:chOff x="727059" y="2245320"/>
          <a:chExt cx="2722990" cy="1326142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8F6AD28-F45E-8355-E620-C6E1126A7C4C}"/>
              </a:ext>
            </a:extLst>
          </xdr:cNvPr>
          <xdr:cNvSpPr/>
        </xdr:nvSpPr>
        <xdr:spPr>
          <a:xfrm>
            <a:off x="727059" y="2245320"/>
            <a:ext cx="2722990" cy="1326142"/>
          </a:xfrm>
          <a:prstGeom prst="roundRect">
            <a:avLst/>
          </a:prstGeom>
          <a:ln w="31750"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KPI!A3">
        <xdr:nvSpPr>
          <xdr:cNvPr id="15" name="TextBox 14">
            <a:extLst>
              <a:ext uri="{FF2B5EF4-FFF2-40B4-BE49-F238E27FC236}">
                <a16:creationId xmlns:a16="http://schemas.microsoft.com/office/drawing/2014/main" id="{87E94FE5-CF39-9FAC-8A48-3FDEC709A7A6}"/>
              </a:ext>
            </a:extLst>
          </xdr:cNvPr>
          <xdr:cNvSpPr txBox="1"/>
        </xdr:nvSpPr>
        <xdr:spPr>
          <a:xfrm>
            <a:off x="978728" y="2332257"/>
            <a:ext cx="2219651" cy="4188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ysClr val="windowText" lastClr="000000"/>
                </a:solidFill>
                <a:latin typeface="Aptos Narrow"/>
              </a:rPr>
              <a:t>Total</a:t>
            </a:r>
            <a:r>
              <a:rPr lang="en-US" sz="1800" b="1" i="0" u="none" strike="noStrike" baseline="0">
                <a:solidFill>
                  <a:sysClr val="windowText" lastClr="000000"/>
                </a:solidFill>
                <a:latin typeface="Aptos Narrow"/>
              </a:rPr>
              <a:t> Employees</a:t>
            </a:r>
            <a:endParaRPr lang="en-US" sz="1800" b="1">
              <a:solidFill>
                <a:sysClr val="windowText" lastClr="000000"/>
              </a:solidFill>
            </a:endParaRPr>
          </a:p>
        </xdr:txBody>
      </xdr:sp>
      <xdr:sp macro="" textlink="KPI!$G$11">
        <xdr:nvSpPr>
          <xdr:cNvPr id="16" name="TextBox 15">
            <a:extLst>
              <a:ext uri="{FF2B5EF4-FFF2-40B4-BE49-F238E27FC236}">
                <a16:creationId xmlns:a16="http://schemas.microsoft.com/office/drawing/2014/main" id="{07123869-B44B-9B03-6F03-863505192F0F}"/>
              </a:ext>
            </a:extLst>
          </xdr:cNvPr>
          <xdr:cNvSpPr txBox="1"/>
        </xdr:nvSpPr>
        <xdr:spPr>
          <a:xfrm>
            <a:off x="1112594" y="2932153"/>
            <a:ext cx="1941213" cy="391776"/>
          </a:xfrm>
          <a:prstGeom prst="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path path="shape">
              <a:fillToRect l="50000" t="50000" r="50000" b="50000"/>
            </a:path>
            <a:tileRect/>
          </a:gradFill>
          <a:ln w="9525" cmpd="sng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8B0576E-BED3-47A1-B83B-4BA7BB5100FF}" type="TxLink">
              <a:rPr lang="en-US" sz="1800" b="1" i="0" u="none" strike="noStrike">
                <a:solidFill>
                  <a:schemeClr val="bg1"/>
                </a:solidFill>
                <a:latin typeface="Aptos Narrow"/>
              </a:rPr>
              <a:pPr algn="ctr"/>
              <a:t> 792 </a:t>
            </a:fld>
            <a:endParaRPr lang="en-US" sz="4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543732</xdr:colOff>
      <xdr:row>10</xdr:row>
      <xdr:rowOff>44721</xdr:rowOff>
    </xdr:from>
    <xdr:to>
      <xdr:col>10</xdr:col>
      <xdr:colOff>241635</xdr:colOff>
      <xdr:row>16</xdr:row>
      <xdr:rowOff>188450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A6461BE-A7D4-0F32-55A0-A3B364F70344}"/>
            </a:ext>
          </a:extLst>
        </xdr:cNvPr>
        <xdr:cNvGrpSpPr/>
      </xdr:nvGrpSpPr>
      <xdr:grpSpPr>
        <a:xfrm>
          <a:off x="3581879" y="2015411"/>
          <a:ext cx="2736049" cy="1326142"/>
          <a:chOff x="3581879" y="2245320"/>
          <a:chExt cx="2736049" cy="1326142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937AF7C1-ECDF-97F0-4C33-265EC66FDB65}"/>
              </a:ext>
            </a:extLst>
          </xdr:cNvPr>
          <xdr:cNvSpPr/>
        </xdr:nvSpPr>
        <xdr:spPr>
          <a:xfrm>
            <a:off x="3581879" y="2245320"/>
            <a:ext cx="2736049" cy="1326142"/>
          </a:xfrm>
          <a:prstGeom prst="roundRect">
            <a:avLst/>
          </a:prstGeom>
          <a:ln w="31750"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KPI!C3">
        <xdr:nvSpPr>
          <xdr:cNvPr id="12" name="TextBox 11">
            <a:extLst>
              <a:ext uri="{FF2B5EF4-FFF2-40B4-BE49-F238E27FC236}">
                <a16:creationId xmlns:a16="http://schemas.microsoft.com/office/drawing/2014/main" id="{B2BE8893-A277-8110-8362-3270DF5CD582}"/>
              </a:ext>
            </a:extLst>
          </xdr:cNvPr>
          <xdr:cNvSpPr txBox="1"/>
        </xdr:nvSpPr>
        <xdr:spPr>
          <a:xfrm>
            <a:off x="3832961" y="2346324"/>
            <a:ext cx="2285221" cy="3906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800" b="1" i="0" u="none" strike="noStrike">
                <a:solidFill>
                  <a:sysClr val="windowText" lastClr="000000"/>
                </a:solidFill>
                <a:latin typeface="Aptos Narrow"/>
                <a:ea typeface="+mn-ea"/>
                <a:cs typeface="+mn-cs"/>
              </a:rPr>
              <a:t>Active</a:t>
            </a:r>
            <a:r>
              <a:rPr lang="en-US" sz="1800" b="1" i="0" u="none" strike="noStrike" baseline="0">
                <a:solidFill>
                  <a:sysClr val="windowText" lastClr="000000"/>
                </a:solidFill>
                <a:latin typeface="Aptos Narrow"/>
                <a:ea typeface="+mn-ea"/>
                <a:cs typeface="+mn-cs"/>
              </a:rPr>
              <a:t> Employees</a:t>
            </a:r>
            <a:endParaRPr lang="en-US" sz="1800" b="1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endParaRPr>
          </a:p>
        </xdr:txBody>
      </xdr:sp>
      <xdr:sp macro="" textlink="KPI!$G$9">
        <xdr:nvSpPr>
          <xdr:cNvPr id="13" name="TextBox 12">
            <a:extLst>
              <a:ext uri="{FF2B5EF4-FFF2-40B4-BE49-F238E27FC236}">
                <a16:creationId xmlns:a16="http://schemas.microsoft.com/office/drawing/2014/main" id="{DBCD7F7C-1F84-1ED0-388F-77D8ACB292A9}"/>
              </a:ext>
            </a:extLst>
          </xdr:cNvPr>
          <xdr:cNvSpPr txBox="1"/>
        </xdr:nvSpPr>
        <xdr:spPr>
          <a:xfrm>
            <a:off x="3967565" y="2932153"/>
            <a:ext cx="1953911" cy="391776"/>
          </a:xfrm>
          <a:prstGeom prst="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path path="shape">
              <a:fillToRect l="50000" t="50000" r="50000" b="50000"/>
            </a:path>
            <a:tileRect/>
          </a:gradFill>
          <a:ln w="9525" cmpd="sng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EB8520D-6E4A-492B-B9A4-A204E30C137A}" type="TxLink">
              <a:rPr lang="en-US" sz="18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691 </a:t>
            </a:fld>
            <a:endParaRPr lang="en-US" sz="3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356147</xdr:colOff>
      <xdr:row>10</xdr:row>
      <xdr:rowOff>44721</xdr:rowOff>
    </xdr:from>
    <xdr:to>
      <xdr:col>15</xdr:col>
      <xdr:colOff>42484</xdr:colOff>
      <xdr:row>16</xdr:row>
      <xdr:rowOff>188450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806D050-A6C8-175E-3F93-7406C09F4149}"/>
            </a:ext>
          </a:extLst>
        </xdr:cNvPr>
        <xdr:cNvGrpSpPr/>
      </xdr:nvGrpSpPr>
      <xdr:grpSpPr>
        <a:xfrm>
          <a:off x="6432440" y="2015411"/>
          <a:ext cx="2724484" cy="1326142"/>
          <a:chOff x="6432440" y="2245320"/>
          <a:chExt cx="2724484" cy="1326142"/>
        </a:xfrm>
      </xdr:grpSpPr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6202DE74-C3AC-ECDF-5597-FD3095410E9A}"/>
              </a:ext>
            </a:extLst>
          </xdr:cNvPr>
          <xdr:cNvSpPr/>
        </xdr:nvSpPr>
        <xdr:spPr>
          <a:xfrm>
            <a:off x="6432440" y="2245320"/>
            <a:ext cx="2724484" cy="1326142"/>
          </a:xfrm>
          <a:prstGeom prst="roundRect">
            <a:avLst/>
          </a:prstGeom>
          <a:ln w="31750"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KPI!AB47">
        <xdr:nvSpPr>
          <xdr:cNvPr id="41" name="TextBox 40">
            <a:extLst>
              <a:ext uri="{FF2B5EF4-FFF2-40B4-BE49-F238E27FC236}">
                <a16:creationId xmlns:a16="http://schemas.microsoft.com/office/drawing/2014/main" id="{CF1916D6-8D8E-2EC2-AB87-088B620CA96F}"/>
              </a:ext>
            </a:extLst>
          </xdr:cNvPr>
          <xdr:cNvSpPr txBox="1"/>
        </xdr:nvSpPr>
        <xdr:spPr>
          <a:xfrm>
            <a:off x="6684428" y="2332257"/>
            <a:ext cx="2222477" cy="4188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800" b="1" i="0" u="none" strike="noStrike">
                <a:solidFill>
                  <a:sysClr val="windowText" lastClr="000000"/>
                </a:solidFill>
                <a:latin typeface="Aptos Narrow"/>
                <a:ea typeface="+mn-ea"/>
                <a:cs typeface="+mn-cs"/>
              </a:rPr>
              <a:t>InActive</a:t>
            </a:r>
            <a:r>
              <a:rPr lang="en-US" sz="1800" b="1" i="0" u="none" strike="noStrike" baseline="0">
                <a:solidFill>
                  <a:sysClr val="windowText" lastClr="000000"/>
                </a:solidFill>
                <a:latin typeface="Aptos Narrow"/>
                <a:ea typeface="+mn-ea"/>
                <a:cs typeface="+mn-cs"/>
              </a:rPr>
              <a:t> employees</a:t>
            </a:r>
            <a:endParaRPr lang="en-US" sz="1800" b="1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endParaRPr>
          </a:p>
        </xdr:txBody>
      </xdr:sp>
      <xdr:sp macro="" textlink="KPI!$G$10">
        <xdr:nvSpPr>
          <xdr:cNvPr id="42" name="TextBox 41">
            <a:extLst>
              <a:ext uri="{FF2B5EF4-FFF2-40B4-BE49-F238E27FC236}">
                <a16:creationId xmlns:a16="http://schemas.microsoft.com/office/drawing/2014/main" id="{FD5FE887-88E3-9B96-D10F-EC1673A0DBA3}"/>
              </a:ext>
            </a:extLst>
          </xdr:cNvPr>
          <xdr:cNvSpPr txBox="1"/>
        </xdr:nvSpPr>
        <xdr:spPr>
          <a:xfrm>
            <a:off x="6816493" y="2932153"/>
            <a:ext cx="1945656" cy="391776"/>
          </a:xfrm>
          <a:prstGeom prst="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path path="shape">
              <a:fillToRect l="50000" t="50000" r="50000" b="50000"/>
            </a:path>
            <a:tileRect/>
          </a:gradFill>
          <a:ln w="9525" cmpd="sng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589E97D-ED73-4EEA-B30D-B528CCE11FA4}" type="TxLink">
              <a:rPr lang="en-US" sz="18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101 </a:t>
            </a:fld>
            <a:endParaRPr lang="en-US" sz="3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15</xdr:col>
      <xdr:colOff>208950</xdr:colOff>
      <xdr:row>10</xdr:row>
      <xdr:rowOff>27403</xdr:rowOff>
    </xdr:from>
    <xdr:to>
      <xdr:col>19</xdr:col>
      <xdr:colOff>501422</xdr:colOff>
      <xdr:row>16</xdr:row>
      <xdr:rowOff>171132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AED309E7-6DAD-9BB1-5DEE-FD1CDC2CEFF3}"/>
            </a:ext>
          </a:extLst>
        </xdr:cNvPr>
        <xdr:cNvGrpSpPr/>
      </xdr:nvGrpSpPr>
      <xdr:grpSpPr>
        <a:xfrm>
          <a:off x="9323390" y="1998093"/>
          <a:ext cx="2722989" cy="1326142"/>
          <a:chOff x="9323390" y="2228002"/>
          <a:chExt cx="2722989" cy="1326142"/>
        </a:xfrm>
      </xdr:grpSpPr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924EEB00-66EC-5262-C0DF-913B7E6D829E}"/>
              </a:ext>
            </a:extLst>
          </xdr:cNvPr>
          <xdr:cNvSpPr/>
        </xdr:nvSpPr>
        <xdr:spPr>
          <a:xfrm>
            <a:off x="9323390" y="2228002"/>
            <a:ext cx="2722989" cy="1326142"/>
          </a:xfrm>
          <a:prstGeom prst="roundRect">
            <a:avLst/>
          </a:prstGeom>
          <a:ln w="31750"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KPI!A3">
        <xdr:nvSpPr>
          <xdr:cNvPr id="55" name="TextBox 54">
            <a:extLst>
              <a:ext uri="{FF2B5EF4-FFF2-40B4-BE49-F238E27FC236}">
                <a16:creationId xmlns:a16="http://schemas.microsoft.com/office/drawing/2014/main" id="{2B673EDC-DA2F-56F4-5B96-8917213E5B63}"/>
              </a:ext>
            </a:extLst>
          </xdr:cNvPr>
          <xdr:cNvSpPr txBox="1"/>
        </xdr:nvSpPr>
        <xdr:spPr>
          <a:xfrm>
            <a:off x="9575059" y="2332257"/>
            <a:ext cx="2219650" cy="4188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B057370-35F7-4E06-A5E1-7BDC8AB78F93}" type="TxLink">
              <a:rPr lang="en-US" sz="1800" b="1" i="0" u="none" strike="noStrike">
                <a:solidFill>
                  <a:sysClr val="windowText" lastClr="000000"/>
                </a:solidFill>
                <a:latin typeface="Aptos Narrow"/>
              </a:rPr>
              <a:pPr algn="ctr"/>
              <a:t>Average of years</a:t>
            </a:fld>
            <a:endParaRPr lang="en-US" sz="1800" b="1">
              <a:solidFill>
                <a:sysClr val="windowText" lastClr="000000"/>
              </a:solidFill>
            </a:endParaRPr>
          </a:p>
        </xdr:txBody>
      </xdr:sp>
      <xdr:sp macro="" textlink="KPI!$A$4">
        <xdr:nvSpPr>
          <xdr:cNvPr id="56" name="TextBox 55">
            <a:extLst>
              <a:ext uri="{FF2B5EF4-FFF2-40B4-BE49-F238E27FC236}">
                <a16:creationId xmlns:a16="http://schemas.microsoft.com/office/drawing/2014/main" id="{BDA23CE5-D1B0-F755-6553-726CFF88A15D}"/>
              </a:ext>
            </a:extLst>
          </xdr:cNvPr>
          <xdr:cNvSpPr txBox="1"/>
        </xdr:nvSpPr>
        <xdr:spPr>
          <a:xfrm>
            <a:off x="9708925" y="2914835"/>
            <a:ext cx="1941212" cy="391776"/>
          </a:xfrm>
          <a:prstGeom prst="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path path="shape">
              <a:fillToRect l="50000" t="50000" r="50000" b="50000"/>
            </a:path>
            <a:tileRect/>
          </a:gradFill>
          <a:ln w="9525" cmpd="sng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9C2AE5E-4E5F-45BD-A5CA-6FA9D4EE8F51}" type="TxLink">
              <a:rPr lang="en-US" sz="1800" b="1" i="0" u="none" strike="noStrike">
                <a:solidFill>
                  <a:schemeClr val="bg1"/>
                </a:solidFill>
                <a:latin typeface="Aptos Narrow"/>
              </a:rPr>
              <a:pPr algn="ctr"/>
              <a:t>2.79</a:t>
            </a:fld>
            <a:endParaRPr lang="en-US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20</xdr:col>
      <xdr:colOff>27117</xdr:colOff>
      <xdr:row>10</xdr:row>
      <xdr:rowOff>27403</xdr:rowOff>
    </xdr:from>
    <xdr:to>
      <xdr:col>24</xdr:col>
      <xdr:colOff>331156</xdr:colOff>
      <xdr:row>16</xdr:row>
      <xdr:rowOff>171132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E4968CBA-DEAD-5FD8-33F4-DE4C8DCA1E8C}"/>
            </a:ext>
          </a:extLst>
        </xdr:cNvPr>
        <xdr:cNvGrpSpPr/>
      </xdr:nvGrpSpPr>
      <xdr:grpSpPr>
        <a:xfrm>
          <a:off x="12179703" y="1998093"/>
          <a:ext cx="2734556" cy="1326142"/>
          <a:chOff x="12179703" y="2228002"/>
          <a:chExt cx="2734556" cy="1326142"/>
        </a:xfrm>
      </xdr:grpSpPr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D15A2F9B-C441-17EA-9AD9-49603268546F}"/>
              </a:ext>
            </a:extLst>
          </xdr:cNvPr>
          <xdr:cNvSpPr/>
        </xdr:nvSpPr>
        <xdr:spPr>
          <a:xfrm>
            <a:off x="12179703" y="2228002"/>
            <a:ext cx="2734556" cy="1326142"/>
          </a:xfrm>
          <a:prstGeom prst="roundRect">
            <a:avLst/>
          </a:prstGeom>
          <a:ln w="31750"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KPI!C3">
        <xdr:nvSpPr>
          <xdr:cNvPr id="59" name="TextBox 58">
            <a:extLst>
              <a:ext uri="{FF2B5EF4-FFF2-40B4-BE49-F238E27FC236}">
                <a16:creationId xmlns:a16="http://schemas.microsoft.com/office/drawing/2014/main" id="{EC8591E6-97F1-F88C-7B31-0776BBF7752A}"/>
              </a:ext>
            </a:extLst>
          </xdr:cNvPr>
          <xdr:cNvSpPr txBox="1"/>
        </xdr:nvSpPr>
        <xdr:spPr>
          <a:xfrm>
            <a:off x="12432437" y="2346324"/>
            <a:ext cx="2282328" cy="3906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CEBFC19-12DC-4504-8706-C3FC700A65B7}" type="TxLink">
              <a:rPr lang="en-US" sz="1800" b="1" i="0" u="none" strike="noStrike">
                <a:solidFill>
                  <a:sysClr val="windowText" lastClr="000000"/>
                </a:solidFill>
                <a:latin typeface="Aptos Narrow"/>
                <a:ea typeface="+mn-ea"/>
                <a:cs typeface="+mn-cs"/>
              </a:rPr>
              <a:pPr marL="0" indent="0" algn="ctr"/>
              <a:t>Average of Annual</a:t>
            </a:fld>
            <a:endParaRPr lang="en-US" sz="1800" b="1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endParaRPr>
          </a:p>
        </xdr:txBody>
      </xdr:sp>
      <xdr:sp macro="" textlink="KPI!$C$4">
        <xdr:nvSpPr>
          <xdr:cNvPr id="60" name="TextBox 59">
            <a:extLst>
              <a:ext uri="{FF2B5EF4-FFF2-40B4-BE49-F238E27FC236}">
                <a16:creationId xmlns:a16="http://schemas.microsoft.com/office/drawing/2014/main" id="{514F0CA6-FA4C-740A-210A-B352592A0D5B}"/>
              </a:ext>
            </a:extLst>
          </xdr:cNvPr>
          <xdr:cNvSpPr txBox="1"/>
        </xdr:nvSpPr>
        <xdr:spPr>
          <a:xfrm>
            <a:off x="12566871" y="2914835"/>
            <a:ext cx="1951439" cy="391776"/>
          </a:xfrm>
          <a:prstGeom prst="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path path="shape">
              <a:fillToRect l="50000" t="50000" r="50000" b="50000"/>
            </a:path>
            <a:tileRect/>
          </a:gradFill>
          <a:ln w="9525" cmpd="sng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4957D0F-1762-4673-B770-08275F6C7B75}" type="TxLink">
              <a:rPr lang="en-US" sz="18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$661,109 </a:t>
            </a:fld>
            <a:endPara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173182</xdr:rowOff>
    </xdr:from>
    <xdr:to>
      <xdr:col>21</xdr:col>
      <xdr:colOff>17318</xdr:colOff>
      <xdr:row>64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774D7CA-7084-3CE3-04E4-244290415BA0}"/>
            </a:ext>
          </a:extLst>
        </xdr:cNvPr>
        <xdr:cNvSpPr/>
      </xdr:nvSpPr>
      <xdr:spPr>
        <a:xfrm>
          <a:off x="571500" y="173182"/>
          <a:ext cx="12174682" cy="12018818"/>
        </a:xfrm>
        <a:prstGeom prst="rect">
          <a:avLst/>
        </a:prstGeom>
        <a:solidFill>
          <a:schemeClr val="accent1">
            <a:alpha val="6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72836</xdr:colOff>
      <xdr:row>13</xdr:row>
      <xdr:rowOff>27214</xdr:rowOff>
    </xdr:from>
    <xdr:to>
      <xdr:col>20</xdr:col>
      <xdr:colOff>71054</xdr:colOff>
      <xdr:row>61</xdr:row>
      <xdr:rowOff>174304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AC1A338-F763-9AB1-B5E2-E1A3B05AE997}"/>
            </a:ext>
          </a:extLst>
        </xdr:cNvPr>
        <xdr:cNvGrpSpPr/>
      </xdr:nvGrpSpPr>
      <xdr:grpSpPr>
        <a:xfrm>
          <a:off x="678972" y="2503714"/>
          <a:ext cx="11514809" cy="9291090"/>
          <a:chOff x="678972" y="616034"/>
          <a:chExt cx="11514809" cy="929109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832CAFEE-EB93-649B-0559-9B352A4DFFBE}"/>
              </a:ext>
            </a:extLst>
          </xdr:cNvPr>
          <xdr:cNvGrpSpPr/>
        </xdr:nvGrpSpPr>
        <xdr:grpSpPr>
          <a:xfrm>
            <a:off x="678972" y="5447460"/>
            <a:ext cx="5091698" cy="4426324"/>
            <a:chOff x="691961" y="5447460"/>
            <a:chExt cx="5195607" cy="4426324"/>
          </a:xfrm>
        </xdr:grpSpPr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E0F26C87-3451-8720-4948-B03E1F9A28AC}"/>
                </a:ext>
              </a:extLst>
            </xdr:cNvPr>
            <xdr:cNvSpPr/>
          </xdr:nvSpPr>
          <xdr:spPr>
            <a:xfrm>
              <a:off x="1027817" y="5447460"/>
              <a:ext cx="4523896" cy="4426324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63C9928-514C-43A4-8B11-28FC7D3F172D}"/>
                </a:ext>
              </a:extLst>
            </xdr:cNvPr>
            <xdr:cNvGraphicFramePr>
              <a:graphicFrameLocks/>
            </xdr:cNvGraphicFramePr>
          </xdr:nvGraphicFramePr>
          <xdr:xfrm>
            <a:off x="691961" y="5678826"/>
            <a:ext cx="5195607" cy="396359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A0D8610-A7FB-49E6-101E-1257E8C3B1FE}"/>
              </a:ext>
            </a:extLst>
          </xdr:cNvPr>
          <xdr:cNvGrpSpPr/>
        </xdr:nvGrpSpPr>
        <xdr:grpSpPr>
          <a:xfrm>
            <a:off x="1096154" y="616034"/>
            <a:ext cx="7721731" cy="4421300"/>
            <a:chOff x="3833571" y="3030612"/>
            <a:chExt cx="7708487" cy="4421300"/>
          </a:xfrm>
        </xdr:grpSpPr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EA4446D4-A9C6-8526-D6BE-9ACC3D5016AA}"/>
                </a:ext>
              </a:extLst>
            </xdr:cNvPr>
            <xdr:cNvSpPr/>
          </xdr:nvSpPr>
          <xdr:spPr>
            <a:xfrm>
              <a:off x="3833571" y="3030612"/>
              <a:ext cx="7708487" cy="4421300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EC423D2-1FC2-4274-92D9-A1979D9F7529}"/>
                </a:ext>
              </a:extLst>
            </xdr:cNvPr>
            <xdr:cNvGraphicFramePr>
              <a:graphicFrameLocks/>
            </xdr:cNvGraphicFramePr>
          </xdr:nvGraphicFramePr>
          <xdr:xfrm>
            <a:off x="4070276" y="3234843"/>
            <a:ext cx="7235077" cy="401283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DDA691BF-C52B-A9D3-2DD6-EE094D61776F}"/>
              </a:ext>
            </a:extLst>
          </xdr:cNvPr>
          <xdr:cNvGrpSpPr/>
        </xdr:nvGrpSpPr>
        <xdr:grpSpPr>
          <a:xfrm>
            <a:off x="9314124" y="811915"/>
            <a:ext cx="2862595" cy="1591236"/>
            <a:chOff x="13794439" y="3115235"/>
            <a:chExt cx="2857501" cy="1591236"/>
          </a:xfrm>
        </xdr:grpSpPr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F7E50E84-7FDA-214C-AD60-33F904473556}"/>
                </a:ext>
              </a:extLst>
            </xdr:cNvPr>
            <xdr:cNvSpPr/>
          </xdr:nvSpPr>
          <xdr:spPr>
            <a:xfrm>
              <a:off x="13794439" y="3115235"/>
              <a:ext cx="2857501" cy="1591236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KPI!A3">
          <xdr:nvSpPr>
            <xdr:cNvPr id="10" name="TextBox 9">
              <a:extLst>
                <a:ext uri="{FF2B5EF4-FFF2-40B4-BE49-F238E27FC236}">
                  <a16:creationId xmlns:a16="http://schemas.microsoft.com/office/drawing/2014/main" id="{907A81A6-5DE7-7821-0EE4-D4C17BCDC6C9}"/>
                </a:ext>
              </a:extLst>
            </xdr:cNvPr>
            <xdr:cNvSpPr txBox="1"/>
          </xdr:nvSpPr>
          <xdr:spPr>
            <a:xfrm>
              <a:off x="14057778" y="3171265"/>
              <a:ext cx="2330823" cy="5042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B057370-35F7-4E06-A5E1-7BDC8AB78F93}" type="TxLink">
                <a:rPr lang="en-US" sz="1800" b="1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Average of years</a:t>
              </a:fld>
              <a:endParaRPr lang="en-US" sz="1800" b="1">
                <a:solidFill>
                  <a:schemeClr val="bg1"/>
                </a:solidFill>
              </a:endParaRPr>
            </a:p>
          </xdr:txBody>
        </xdr:sp>
        <xdr:sp macro="" textlink="KPI!$A$4">
          <xdr:nvSpPr>
            <xdr:cNvPr id="11" name="TextBox 10">
              <a:extLst>
                <a:ext uri="{FF2B5EF4-FFF2-40B4-BE49-F238E27FC236}">
                  <a16:creationId xmlns:a16="http://schemas.microsoft.com/office/drawing/2014/main" id="{D288F55A-8F76-DCE7-5BCF-DFBF83DE48C3}"/>
                </a:ext>
              </a:extLst>
            </xdr:cNvPr>
            <xdr:cNvSpPr txBox="1"/>
          </xdr:nvSpPr>
          <xdr:spPr>
            <a:xfrm>
              <a:off x="14197851" y="3944471"/>
              <a:ext cx="2039473" cy="470647"/>
            </a:xfrm>
            <a:prstGeom prst="rect">
              <a:avLst/>
            </a:prstGeom>
            <a:gradFill flip="none" rotWithShape="1">
              <a:gsLst>
                <a:gs pos="0">
                  <a:schemeClr val="accent1">
                    <a:lumMod val="67000"/>
                  </a:schemeClr>
                </a:gs>
                <a:gs pos="48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n w="9525" cmpd="sng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9C2AE5E-4E5F-45BD-A5CA-6FA9D4EE8F51}" type="TxLink">
                <a:rPr lang="en-US" sz="1800" b="1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2.79</a:t>
              </a:fld>
              <a:endParaRPr lang="en-US" sz="18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F1FB2E47-F9F1-00B6-B938-A23ED7C52A74}"/>
              </a:ext>
            </a:extLst>
          </xdr:cNvPr>
          <xdr:cNvGrpSpPr/>
        </xdr:nvGrpSpPr>
        <xdr:grpSpPr>
          <a:xfrm>
            <a:off x="9267872" y="3025180"/>
            <a:ext cx="2862595" cy="1591236"/>
            <a:chOff x="13834780" y="5172635"/>
            <a:chExt cx="2857501" cy="1591236"/>
          </a:xfrm>
        </xdr:grpSpPr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44087073-539E-4FCF-A7F7-61FE618FAD71}"/>
                </a:ext>
              </a:extLst>
            </xdr:cNvPr>
            <xdr:cNvSpPr/>
          </xdr:nvSpPr>
          <xdr:spPr>
            <a:xfrm>
              <a:off x="13834780" y="5172635"/>
              <a:ext cx="2857501" cy="1591236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KPI!C3">
          <xdr:nvSpPr>
            <xdr:cNvPr id="13" name="TextBox 12">
              <a:extLst>
                <a:ext uri="{FF2B5EF4-FFF2-40B4-BE49-F238E27FC236}">
                  <a16:creationId xmlns:a16="http://schemas.microsoft.com/office/drawing/2014/main" id="{0B855439-68DB-486F-9798-CA2C9C301BB6}"/>
                </a:ext>
              </a:extLst>
            </xdr:cNvPr>
            <xdr:cNvSpPr txBox="1"/>
          </xdr:nvSpPr>
          <xdr:spPr>
            <a:xfrm>
              <a:off x="14098119" y="5228665"/>
              <a:ext cx="2330823" cy="5042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ACEBFC19-12DC-4504-8706-C3FC700A65B7}" type="TxLink">
                <a:rPr lang="en-US" sz="18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Average of Annual</a:t>
              </a:fld>
              <a:endParaRPr lang="en-US" sz="18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KPI!$C$4">
          <xdr:nvSpPr>
            <xdr:cNvPr id="14" name="TextBox 13">
              <a:extLst>
                <a:ext uri="{FF2B5EF4-FFF2-40B4-BE49-F238E27FC236}">
                  <a16:creationId xmlns:a16="http://schemas.microsoft.com/office/drawing/2014/main" id="{FBF8D680-08D5-4FFB-A151-13B056FC2B23}"/>
                </a:ext>
              </a:extLst>
            </xdr:cNvPr>
            <xdr:cNvSpPr txBox="1"/>
          </xdr:nvSpPr>
          <xdr:spPr>
            <a:xfrm>
              <a:off x="14238192" y="6001871"/>
              <a:ext cx="2039473" cy="470647"/>
            </a:xfrm>
            <a:prstGeom prst="rect">
              <a:avLst/>
            </a:prstGeom>
            <a:gradFill flip="none" rotWithShape="1">
              <a:gsLst>
                <a:gs pos="0">
                  <a:schemeClr val="accent1">
                    <a:lumMod val="67000"/>
                  </a:schemeClr>
                </a:gs>
                <a:gs pos="48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n w="9525" cmpd="sng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A4957D0F-1762-4673-B770-08275F6C7B75}" type="TxLink">
                <a:rPr lang="en-US" sz="18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$661,109 </a:t>
              </a:fld>
              <a:endParaRPr lang="en-US" sz="18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77C4AB51-D761-F854-7ADF-D5285C190D70}"/>
              </a:ext>
            </a:extLst>
          </xdr:cNvPr>
          <xdr:cNvGrpSpPr/>
        </xdr:nvGrpSpPr>
        <xdr:grpSpPr>
          <a:xfrm>
            <a:off x="6302361" y="5480800"/>
            <a:ext cx="5891420" cy="4426324"/>
            <a:chOff x="6302361" y="5480800"/>
            <a:chExt cx="5891420" cy="4426324"/>
          </a:xfrm>
        </xdr:grpSpPr>
        <xdr:sp macro="" textlink="">
          <xdr:nvSpPr>
            <xdr:cNvPr id="18" name="Rectangle: Rounded Corners 17">
              <a:extLst>
                <a:ext uri="{FF2B5EF4-FFF2-40B4-BE49-F238E27FC236}">
                  <a16:creationId xmlns:a16="http://schemas.microsoft.com/office/drawing/2014/main" id="{77252649-AE5D-4237-9C1B-AF60638AF0D0}"/>
                </a:ext>
              </a:extLst>
            </xdr:cNvPr>
            <xdr:cNvSpPr/>
          </xdr:nvSpPr>
          <xdr:spPr>
            <a:xfrm>
              <a:off x="6302361" y="5480800"/>
              <a:ext cx="5891420" cy="4426324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A14CDE44-C4E2-4421-98C6-BA484B516B17}"/>
                </a:ext>
              </a:extLst>
            </xdr:cNvPr>
            <xdr:cNvGraphicFramePr>
              <a:graphicFrameLocks/>
            </xdr:cNvGraphicFramePr>
          </xdr:nvGraphicFramePr>
          <xdr:xfrm>
            <a:off x="6624367" y="5970803"/>
            <a:ext cx="5247409" cy="344631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  <xdr:twoCellAnchor>
    <xdr:from>
      <xdr:col>5</xdr:col>
      <xdr:colOff>303069</xdr:colOff>
      <xdr:row>2</xdr:row>
      <xdr:rowOff>138544</xdr:rowOff>
    </xdr:from>
    <xdr:to>
      <xdr:col>16</xdr:col>
      <xdr:colOff>285750</xdr:colOff>
      <xdr:row>9</xdr:row>
      <xdr:rowOff>86589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444963C9-514B-7A99-6C8D-1ED2CFE8547C}"/>
            </a:ext>
          </a:extLst>
        </xdr:cNvPr>
        <xdr:cNvSpPr/>
      </xdr:nvSpPr>
      <xdr:spPr>
        <a:xfrm>
          <a:off x="3333751" y="519544"/>
          <a:ext cx="6650181" cy="1281545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196666</xdr:colOff>
      <xdr:row>4</xdr:row>
      <xdr:rowOff>101697</xdr:rowOff>
    </xdr:from>
    <xdr:ext cx="5650714" cy="593239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42FF987-4C03-B709-72F7-7E1B8542D0EA}"/>
            </a:ext>
          </a:extLst>
        </xdr:cNvPr>
        <xdr:cNvSpPr txBox="1"/>
      </xdr:nvSpPr>
      <xdr:spPr>
        <a:xfrm>
          <a:off x="3833484" y="863697"/>
          <a:ext cx="5650714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chemeClr val="bg1"/>
              </a:solidFill>
            </a:rPr>
            <a:t>Employee Workforce Dashboard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15</xdr:row>
      <xdr:rowOff>76993</xdr:rowOff>
    </xdr:from>
    <xdr:to>
      <xdr:col>4</xdr:col>
      <xdr:colOff>690562</xdr:colOff>
      <xdr:row>29</xdr:row>
      <xdr:rowOff>153193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C3C3A-80BC-CEFD-49B5-98ADAF791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11206</xdr:rowOff>
    </xdr:from>
    <xdr:to>
      <xdr:col>8</xdr:col>
      <xdr:colOff>47624</xdr:colOff>
      <xdr:row>33</xdr:row>
      <xdr:rowOff>135031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1BC34-C1DD-228B-E22F-C03E2640B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87086</xdr:colOff>
      <xdr:row>6</xdr:row>
      <xdr:rowOff>163285</xdr:rowOff>
    </xdr:from>
    <xdr:to>
      <xdr:col>20</xdr:col>
      <xdr:colOff>121105</xdr:colOff>
      <xdr:row>32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22C9B1-75BE-4EFA-B043-DE65CCDF5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ES" refreshedDate="46050.865281828701" createdVersion="8" refreshedVersion="8" minRefreshableVersion="3" recordCount="792" xr:uid="{C1E2DD16-62CB-4A77-A6DC-D32F1C7FF93E}">
  <cacheSource type="worksheet">
    <worksheetSource name="Table1"/>
  </cacheSource>
  <cacheFields count="16">
    <cacheField name="EEID" numFmtId="0">
      <sharedItems count="717">
        <s v="E01839"/>
        <s v="E04959"/>
        <s v="E03047"/>
        <s v="E04458"/>
        <s v="E02848"/>
        <s v="E04332"/>
        <s v="E03438"/>
        <s v="E02769"/>
        <s v="E03277"/>
        <s v="E02534"/>
        <s v="E03849"/>
        <s v="E03807"/>
        <s v="E03223"/>
        <s v="E02473"/>
        <s v="E03065"/>
        <s v="E03563"/>
        <s v="E03227"/>
        <s v="E04969"/>
        <s v="E01706"/>
        <s v="E04109"/>
        <s v="E03994"/>
        <s v="E00608"/>
        <s v="E02259"/>
        <s v="E04369"/>
        <s v="E04751"/>
        <s v="E01684"/>
        <s v="E00508"/>
        <s v="E02274"/>
        <s v="E02453"/>
        <s v="E00956"/>
        <s v="E00126"/>
        <s v="E04032"/>
        <s v="E00716"/>
        <s v="E00699"/>
        <s v="E00502"/>
        <s v="E04000"/>
        <s v="E02112"/>
        <s v="E03824"/>
        <s v="E03906"/>
        <s v="E00436"/>
        <s v="E04798"/>
        <s v="E01249"/>
        <s v="E03349"/>
        <s v="E02966"/>
        <s v="E01499"/>
        <s v="E00105"/>
        <s v="E00665"/>
        <s v="E00791"/>
        <s v="E01540"/>
        <s v="E04474"/>
        <s v="E03417"/>
        <s v="E00254"/>
        <s v="E02166"/>
        <s v="E00935"/>
        <s v="E01525"/>
        <s v="E00386"/>
        <s v="E00416"/>
        <s v="E03383"/>
        <s v="E01516"/>
        <s v="E01234"/>
        <s v="E03440"/>
        <s v="E00431"/>
        <s v="E01258"/>
        <s v="E00440"/>
        <s v="E00595"/>
        <s v="E00972"/>
        <s v="E04562"/>
        <s v="E02802"/>
        <s v="E01427"/>
        <s v="E04568"/>
        <s v="E04931"/>
        <s v="E00443"/>
        <s v="E03890"/>
        <s v="E01194"/>
        <s v="E02875"/>
        <s v="E03816"/>
        <s v="E01261"/>
        <s v="E03612"/>
        <s v="E01388"/>
        <s v="E03875"/>
        <s v="E04413"/>
        <s v="E00691"/>
        <s v="E04903"/>
        <s v="E04735"/>
        <s v="E02850"/>
        <s v="E03583"/>
        <s v="E02017"/>
        <s v="E01642"/>
        <s v="E04379"/>
        <s v="E04131"/>
        <s v="E02872"/>
        <s v="E02331"/>
        <s v="E00417"/>
        <s v="E04267"/>
        <s v="E03061"/>
        <s v="E00013"/>
        <s v="E04265"/>
        <s v="E04769"/>
        <s v="E03042"/>
        <s v="E00527"/>
        <s v="E01095"/>
        <s v="E03131"/>
        <s v="E01713"/>
        <s v="E00128"/>
        <s v="E02464"/>
        <s v="E00306"/>
        <s v="E03737"/>
        <s v="E02783"/>
        <s v="E02939"/>
        <s v="E02706"/>
        <s v="E00170"/>
        <s v="E01425"/>
        <s v="E00130"/>
        <s v="E02094"/>
        <s v="E03567"/>
        <s v="E04682"/>
        <s v="E00957"/>
        <s v="E00521"/>
        <s v="E03717"/>
        <s v="E01533"/>
        <s v="E04449"/>
        <s v="E02855"/>
        <s v="E00816"/>
        <s v="E02283"/>
        <s v="E04888"/>
        <s v="E03907"/>
        <s v="E01501"/>
        <s v="E01141"/>
        <s v="E02254"/>
        <s v="E04504"/>
        <s v="E03394"/>
        <s v="E02942"/>
        <s v="E04130"/>
        <s v="E00085"/>
        <s v="E03956"/>
        <s v="E00672"/>
        <s v="E04618"/>
        <s v="E03506"/>
        <s v="E00568"/>
        <s v="E00535"/>
        <s v="E04630"/>
        <s v="E00874"/>
        <s v="E01546"/>
        <s v="E00941"/>
        <s v="E03446"/>
        <s v="E01361"/>
        <s v="E01631"/>
        <s v="E03719"/>
        <s v="E03269"/>
        <s v="E01037"/>
        <s v="E00671"/>
        <s v="E02216"/>
        <s v="E02803"/>
        <s v="E01584"/>
        <s v="E02489"/>
        <s v="E03189"/>
        <s v="E03560"/>
        <s v="E00769"/>
        <s v="E02791"/>
        <s v="E02333"/>
        <s v="E01002"/>
        <s v="E03520"/>
        <s v="E00752"/>
        <s v="E00233"/>
        <s v="E02639"/>
        <s v="E00697"/>
        <s v="E02183"/>
        <s v="E00715"/>
        <s v="E04288"/>
        <s v="E02421"/>
        <s v="E00523"/>
        <s v="E03615"/>
        <s v="E02761"/>
        <s v="E02121"/>
        <s v="E01486"/>
        <s v="E00725"/>
        <s v="E03027"/>
        <s v="E03689"/>
        <s v="E01986"/>
        <s v="E01286"/>
        <s v="E01409"/>
        <s v="E00626"/>
        <s v="E04342"/>
        <s v="E03904"/>
        <s v="E01291"/>
        <s v="E00917"/>
        <s v="E01484"/>
        <s v="E03864"/>
        <s v="E00488"/>
        <s v="E02227"/>
        <s v="E04802"/>
        <s v="E01970"/>
        <s v="E02813"/>
        <s v="E02031"/>
        <s v="E03252"/>
        <s v="E04871"/>
        <s v="E03547"/>
        <s v="E04742"/>
        <s v="E01070"/>
        <s v="E04359"/>
        <s v="E03268"/>
        <s v="E04035"/>
        <s v="E01221"/>
        <s v="E00276"/>
        <s v="E01687"/>
        <s v="E02844"/>
        <s v="E01263"/>
        <s v="E00119"/>
        <s v="E03935"/>
        <s v="E00742"/>
        <s v="E02810"/>
        <s v="E01860"/>
        <s v="E04890"/>
        <s v="E02285"/>
        <s v="E00842"/>
        <s v="E01271"/>
        <s v="E01921"/>
        <s v="E03664"/>
        <s v="E00813"/>
        <s v="E00870"/>
        <s v="E04167"/>
        <s v="E00245"/>
        <s v="E00976"/>
        <s v="E04112"/>
        <s v="E01807"/>
        <s v="E04103"/>
        <s v="E01412"/>
        <s v="E04386"/>
        <s v="E01232"/>
        <s v="E04572"/>
        <s v="E02747"/>
        <s v="E01064"/>
        <s v="E00178"/>
        <s v="E01091"/>
        <s v="E01309"/>
        <s v="E02378"/>
        <s v="E04127"/>
        <s v="E02072"/>
        <s v="E02555"/>
        <s v="E00187"/>
        <s v="E02062"/>
        <s v="E00034"/>
        <s v="E00273"/>
        <s v="E01403"/>
        <s v="E04136"/>
        <s v="E02944"/>
        <s v="E03300"/>
        <s v="E00078"/>
        <s v="E00825"/>
        <s v="E04972"/>
        <s v="E03941"/>
        <s v="E02148"/>
        <s v="E02252"/>
        <s v="E03096"/>
        <s v="E04800"/>
        <s v="E02838"/>
        <s v="E02980"/>
        <s v="E04477"/>
        <s v="E04348"/>
        <s v="E01638"/>
        <s v="E03419"/>
        <s v="E04222"/>
        <s v="E04126"/>
        <s v="E01896"/>
        <s v="E03018"/>
        <s v="E03325"/>
        <s v="E04037"/>
        <s v="E01902"/>
        <s v="E01466"/>
        <s v="E02038"/>
        <s v="E03474"/>
        <s v="E02744"/>
        <s v="E00702"/>
        <s v="E03081"/>
        <s v="E01281"/>
        <s v="E04029"/>
        <s v="E01116"/>
        <s v="E01753"/>
        <s v="E04072"/>
        <s v="E04419"/>
        <s v="E00467"/>
        <s v="E00365"/>
        <s v="E03292"/>
        <s v="E04779"/>
        <s v="E00501"/>
        <s v="E01132"/>
        <s v="E00556"/>
        <s v="E00311"/>
        <s v="E04567"/>
        <s v="E04378"/>
        <s v="E03251"/>
        <s v="E03167"/>
        <s v="E03347"/>
        <s v="E03908"/>
        <s v="E01351"/>
        <s v="E02681"/>
        <s v="E00422"/>
        <s v="E00265"/>
        <s v="E04601"/>
        <s v="E04816"/>
        <s v="E02147"/>
        <s v="E02914"/>
        <s v="E03972"/>
        <s v="E02189"/>
        <s v="E04290"/>
        <s v="E03630"/>
        <s v="E00432"/>
        <s v="E03045"/>
        <s v="E01924"/>
        <s v="E04877"/>
        <s v="E02770"/>
        <s v="E04590"/>
        <s v="E01977"/>
        <s v="E01378"/>
        <s v="E04224"/>
        <s v="E03423"/>
        <s v="E00788"/>
        <s v="E00207"/>
        <s v="E00834"/>
        <s v="E04571"/>
        <s v="E02652"/>
        <s v="E02693"/>
        <s v="E03359"/>
        <s v="E00399"/>
        <s v="E02971"/>
        <s v="E03327"/>
        <s v="E00900"/>
        <s v="E00836"/>
        <s v="E03854"/>
        <s v="E04729"/>
        <s v="E00360"/>
        <s v="E02284"/>
        <s v="E00181"/>
        <s v="E04168"/>
        <s v="E02861"/>
        <s v="E01357"/>
        <s v="E04387"/>
        <s v="E03090"/>
        <s v="E03591"/>
        <s v="E03328"/>
        <s v="E04937"/>
        <s v="E00515"/>
        <s v="E01241"/>
        <s v="E03255"/>
        <s v="E01711"/>
        <s v="E00500"/>
        <s v="E02728"/>
        <s v="E04749"/>
        <s v="E02023"/>
        <s v="E03166"/>
        <s v="E02599"/>
        <s v="E01014"/>
        <s v="E04529"/>
        <s v="E00632"/>
        <s v="E02108"/>
        <s v="E03802"/>
        <s v="E03685"/>
        <s v="E01089"/>
        <s v="E03988"/>
        <s v="E00401"/>
        <s v="E03429"/>
        <s v="E02417"/>
        <s v="E00359"/>
        <s v="E02044"/>
        <s v="E01479"/>
        <s v="E04962"/>
        <s v="E03893"/>
        <s v="E00553"/>
        <s v="E03540"/>
        <s v="E04194"/>
        <s v="E01762"/>
        <s v="E02632"/>
        <s v="E04226"/>
        <s v="E04101"/>
        <s v="E01981"/>
        <s v="E01238"/>
        <s v="E01118"/>
        <s v="E04041"/>
        <s v="E04308"/>
        <s v="E01052"/>
        <s v="E04165"/>
        <s v="E02295"/>
        <s v="E04546"/>
        <s v="E04217"/>
        <s v="E00650"/>
        <s v="E00344"/>
        <s v="E04645"/>
        <s v="E03880"/>
        <s v="E02730"/>
        <s v="E04517"/>
        <s v="E00965"/>
        <s v="E04639"/>
        <s v="E00465"/>
        <s v="E03058"/>
        <s v="E02337"/>
        <s v="E04927"/>
        <s v="E03799"/>
        <s v="E04538"/>
        <s v="E02633"/>
        <s v="E02965"/>
        <s v="E04345"/>
        <s v="E02895"/>
        <s v="E00758"/>
        <s v="E03750"/>
        <s v="E00144"/>
        <s v="E02943"/>
        <s v="E03901"/>
        <s v="E03461"/>
        <s v="E03490"/>
        <s v="E04466"/>
        <s v="E03226"/>
        <s v="E04607"/>
        <s v="E02678"/>
        <s v="E02190"/>
        <s v="E00747"/>
        <s v="E00268"/>
        <s v="E01416"/>
        <s v="E01524"/>
        <s v="E02801"/>
        <s v="E04155"/>
        <s v="E01952"/>
        <s v="E00116"/>
        <s v="E04811"/>
        <s v="E00624"/>
        <s v="E03404"/>
        <s v="E01845"/>
        <s v="E04784"/>
        <s v="E00145"/>
        <s v="E00218"/>
        <s v="E02185"/>
        <s v="E00784"/>
        <s v="E04925"/>
        <s v="E04448"/>
        <s v="E04817"/>
        <s v="E00325"/>
        <s v="E00403"/>
        <s v="E04358"/>
        <s v="E04662"/>
        <s v="E01496"/>
        <s v="E01870"/>
        <s v="E03971"/>
        <s v="E03616"/>
        <s v="E00153"/>
        <s v="E02313"/>
        <s v="E02960"/>
        <s v="E00096"/>
        <s v="E02140"/>
        <s v="E00826"/>
        <s v="E03881"/>
        <s v="E02604"/>
        <s v="E02613"/>
        <s v="E00864"/>
        <s v="E01760"/>
        <s v="E01262"/>
        <s v="E01075"/>
        <s v="E00364"/>
        <s v="E04108"/>
        <s v="E02917"/>
        <s v="E03720"/>
        <s v="E03393"/>
        <s v="E02977"/>
        <s v="E03371"/>
        <s v="E02531"/>
        <s v="E02468"/>
        <s v="E03697"/>
        <s v="E00593"/>
        <s v="E01103"/>
        <s v="E03889"/>
        <s v="E01958"/>
        <s v="E01167"/>
        <s v="E00099"/>
        <s v="E00044"/>
        <s v="E00711"/>
        <s v="E04795"/>
        <s v="E03912"/>
        <s v="E02103"/>
        <s v="E04213"/>
        <s v="E04756"/>
        <s v="E04114"/>
        <s v="E01423"/>
        <s v="E03181"/>
        <s v="E03305"/>
        <s v="E00703"/>
        <s v="E04403"/>
        <s v="E00103"/>
        <s v="E04487"/>
        <s v="E02179"/>
        <s v="E04242"/>
        <s v="E01371"/>
        <s v="E01377"/>
        <s v="E03097"/>
        <s v="E01668"/>
        <s v="E03354"/>
        <s v="E02088"/>
        <s v="E03980"/>
        <s v="E00824"/>
        <s v="E03113"/>
        <s v="E01488"/>
        <s v="E01787"/>
        <s v="E03550"/>
        <s v="E04799"/>
        <s v="E03402"/>
        <s v="E04128"/>
        <s v="E03114"/>
        <s v="E04004"/>
        <s v="E04472"/>
        <s v="E00161"/>
        <s v="E04417"/>
        <s v="E04536"/>
        <s v="E02857"/>
        <s v="E03059"/>
        <s v="E02477"/>
        <s v="E00022"/>
        <s v="E03370"/>
        <s v="E00555"/>
        <s v="E03160"/>
        <s v="E03919"/>
        <s v="E01724"/>
        <s v="E04087"/>
        <s v="E02856"/>
        <s v="E03805"/>
        <s v="E00319"/>
        <s v="E01090"/>
        <s v="E04323"/>
        <s v="E02687"/>
        <s v="E01407"/>
        <s v="E02748"/>
        <s v="E01995"/>
        <s v="E01714"/>
        <s v="E04491"/>
        <s v="E01076"/>
        <s v="E02843"/>
        <s v="E03758"/>
        <s v="E02063"/>
        <s v="E00638"/>
        <s v="E03571"/>
        <s v="E01820"/>
        <s v="E01712"/>
        <s v="E00184"/>
        <s v="E02899"/>
        <s v="E02478"/>
        <s v="E04170"/>
        <s v="E00929"/>
        <s v="E00530"/>
        <s v="E02492"/>
        <s v="E01733"/>
        <s v="E04150"/>
        <s v="E02846"/>
        <s v="E04247"/>
        <s v="E03648"/>
        <s v="E02192"/>
        <s v="E03981"/>
        <s v="E03262"/>
        <s v="E02716"/>
        <s v="E04123"/>
        <s v="E03471"/>
        <s v="E00717"/>
        <s v="E01966"/>
        <s v="E03683"/>
        <s v="E03694"/>
        <s v="E04766"/>
        <s v="E01465"/>
        <s v="E00206"/>
        <s v="E04088"/>
        <s v="E02066"/>
        <s v="E03364"/>
        <s v="E00607"/>
        <s v="E02258"/>
        <s v="E03681"/>
        <s v="E02298"/>
        <s v="E02984"/>
        <s v="E02440"/>
        <s v="E04699"/>
        <s v="E03579"/>
        <s v="E01649"/>
        <s v="E00955"/>
        <s v="E00810"/>
        <s v="E02798"/>
        <s v="E04542"/>
        <s v="E02818"/>
        <s v="E02907"/>
        <s v="E00023"/>
        <s v="E02391"/>
        <s v="E01429"/>
        <s v="E00494"/>
        <s v="E00634"/>
        <s v="E04683"/>
        <s v="E04732"/>
        <s v="E03834"/>
        <s v="E02923"/>
        <s v="E02642"/>
        <s v="E00981"/>
        <s v="E04157"/>
        <s v="E03528"/>
        <s v="E04547"/>
        <s v="E04415"/>
        <s v="E04484"/>
        <s v="E02800"/>
        <s v="E04926"/>
        <s v="E01268"/>
        <s v="E04853"/>
        <s v="E01209"/>
        <s v="E02024"/>
        <s v="E02427"/>
        <s v="E00951"/>
        <s v="E03248"/>
        <s v="E04444"/>
        <s v="E02307"/>
        <s v="E02375"/>
        <s v="E02276"/>
        <s v="E02649"/>
        <s v="E00503"/>
        <s v="E00676"/>
        <s v="E02005"/>
        <s v="E01895"/>
        <s v="E01396"/>
        <s v="E00749"/>
        <s v="E01941"/>
        <s v="E01413"/>
        <s v="E03928"/>
        <s v="E00639"/>
        <s v="E04189"/>
        <s v="E02732"/>
        <s v="E00324"/>
        <s v="E00518"/>
        <s v="E04564"/>
        <s v="E02033"/>
        <s v="E00412"/>
        <s v="E01844"/>
        <s v="E00667"/>
        <s v="E00287"/>
        <s v="E02235"/>
        <s v="E00647"/>
        <s v="E02522"/>
        <s v="E00459"/>
        <s v="E03007"/>
        <s v="E00952"/>
        <s v="E03863"/>
        <s v="E02710"/>
        <s v="E01339"/>
        <s v="E02938"/>
        <s v="E03379"/>
        <s v="E02153"/>
        <s v="E00994"/>
        <s v="E00943"/>
        <s v="E00869"/>
        <s v="E03457"/>
        <s v="E02193"/>
        <s v="E00577"/>
        <s v="E00538"/>
        <s v="E01415"/>
        <s v="E00225"/>
        <s v="E02889"/>
        <s v="E04978"/>
        <s v="E04163"/>
        <s v="E01652"/>
        <s v="E00880"/>
        <s v="E04335"/>
        <s v="E01300"/>
        <s v="E03102"/>
        <s v="E04089"/>
        <s v="E02059"/>
        <s v="E03894"/>
        <s v="E03106"/>
        <s v="E01350"/>
        <s v="E02900"/>
        <s v="E02202"/>
        <s v="E02696"/>
        <s v="E01722"/>
        <s v="E00640"/>
        <s v="E02554"/>
        <s v="E03412"/>
        <s v="E00646"/>
        <s v="E04670"/>
        <s v="E03580"/>
        <s v="E00446"/>
        <s v="E02363"/>
        <s v="E03718"/>
        <s v="E01749"/>
        <s v="E02888"/>
        <s v="E01338"/>
        <s v="E03000"/>
        <s v="E01611"/>
        <s v="E02684"/>
        <s v="E02561"/>
        <s v="E03168"/>
        <s v="E03691"/>
        <s v="E03278"/>
        <s v="E00282"/>
        <s v="E00559"/>
        <s v="E02558"/>
        <s v="E03858"/>
        <s v="E02221"/>
        <s v="E02627"/>
        <s v="E03778"/>
        <s v="E00481"/>
        <s v="E02833"/>
        <s v="E03902"/>
        <s v="E02310"/>
        <s v="E02661"/>
        <s v="E00682"/>
        <s v="E00785"/>
        <s v="E04598"/>
        <s v="E03247"/>
        <s v="E02703"/>
        <s v="E02191"/>
        <s v="E00156"/>
        <s v="E00005"/>
        <s v="E04354"/>
        <s v="E01578"/>
        <s v="E03430"/>
        <s v="E04762"/>
        <s v="E01148"/>
        <s v="E03094"/>
        <s v="E01909"/>
        <s v="E04398"/>
        <s v="E02521"/>
      </sharedItems>
    </cacheField>
    <cacheField name="Full" numFmtId="0">
      <sharedItems count="792">
        <s v="Noah"/>
        <s v="Gabriella"/>
        <s v="Alexander"/>
        <s v="Emma"/>
        <s v="Ezra"/>
        <s v="Asher"/>
        <s v="Riley"/>
        <s v="Caroline"/>
        <s v="Victoria"/>
        <s v="Harper"/>
        <s v="Ethan"/>
        <s v="Leonardo"/>
        <s v="Ian"/>
        <s v="Eli"/>
        <s v="Abigail"/>
        <s v="Avery"/>
        <s v="Leah"/>
        <s v="Henry"/>
        <s v="Anna"/>
        <s v="Emily"/>
        <s v="Santiago"/>
        <s v="Grayson"/>
        <s v="Jaxson"/>
        <s v="Thomas"/>
        <s v="Isabella"/>
        <s v="Dylan"/>
        <s v="Eleanor"/>
        <s v="Emery"/>
        <s v="John"/>
        <s v="Ava"/>
        <s v="Natalia"/>
        <s v="Skylar"/>
        <s v="Christian"/>
        <s v="Penelope"/>
        <s v="Piper"/>
        <s v="Everly"/>
        <s v="Aurora"/>
        <s v="William"/>
        <s v="Jade"/>
        <s v="Isla"/>
        <s v="David"/>
        <s v="Miles"/>
        <s v="Mila"/>
        <s v="Benjamin"/>
        <s v="Samuel"/>
        <s v="Joseph"/>
        <s v="Jose"/>
        <s v="Parker"/>
        <s v="Everleigh"/>
        <s v="Lincoln"/>
        <s v="Willow"/>
        <s v="Jack"/>
        <s v="Genesis"/>
        <s v="Eliza"/>
        <s v="Gabriel"/>
        <s v="Amelia"/>
        <s v="Xavier"/>
        <s v="Matthew"/>
        <s v="Mia"/>
        <s v="Rylee"/>
        <s v="Zoe"/>
        <s v="Nolan"/>
        <s v="Nevaeh"/>
        <s v="Samantha"/>
        <s v="Madeline"/>
        <s v="Leilani"/>
        <s v="Connor"/>
        <s v="Ivy"/>
        <s v="Andrew"/>
        <s v="Ezekiel"/>
        <s v="Nova"/>
        <s v="Evelyn"/>
        <s v="Brooks"/>
        <s v="Scarlett"/>
        <s v="Cora"/>
        <s v="Liam"/>
        <s v="Sophia"/>
        <s v="Athena"/>
        <s v="Greyson"/>
        <s v="Vivian"/>
        <s v="Elena"/>
        <s v="Mateo"/>
        <s v="Sophie"/>
        <s v="Kennedy"/>
        <s v="Levi"/>
        <s v="Julian"/>
        <s v="Hannah"/>
        <s v="Anthony"/>
        <s v="Paisley"/>
        <s v="Silas"/>
        <s v="Colton"/>
        <s v="Elias"/>
        <s v="Lily"/>
        <s v="Jaxon"/>
        <s v="Elijah"/>
        <s v="Camila"/>
        <s v="Lucas"/>
        <s v="Hudson"/>
        <s v="Gianna"/>
        <s v="Jameson"/>
        <s v="Daniel"/>
        <s v="Mason"/>
        <s v="Nathan"/>
        <s v="Maria"/>
        <s v="Charlotte"/>
        <s v="Jeremiah"/>
        <s v="Caleb"/>
        <s v="Carter"/>
        <s v="Ayla"/>
        <s v="Aubrey"/>
        <s v="Luna"/>
        <s v="Brooklyn"/>
        <s v="Hadley"/>
        <s v="Jonathan"/>
        <s v="Sarah"/>
        <s v="Ella"/>
        <s v="Jordan"/>
        <s v="Luca"/>
        <s v="Wesley"/>
        <s v="Hunter"/>
        <s v="Sofia"/>
        <s v="Lucy"/>
        <s v="Kai"/>
        <s v="Melody"/>
        <s v="James"/>
        <s v="Owen"/>
        <s v="Kinsley"/>
        <s v="Emilia"/>
        <s v="Eva"/>
        <s v="Luke"/>
        <s v="Charles"/>
        <s v="Adam"/>
        <s v="Cooper"/>
        <s v="Layla"/>
        <s v="Aria"/>
        <s v="Autumn"/>
        <s v="Axel"/>
        <s v="Cameron"/>
        <s v="Clara"/>
        <s v="Audrey"/>
        <s v="Landon"/>
        <s v="Nora"/>
        <s v="Joshua"/>
        <s v="Logan"/>
        <s v="Christopher"/>
        <s v="Lillian"/>
        <s v="Julia"/>
        <s v="Hailey"/>
        <s v="Quinn"/>
        <s v="Dominic"/>
        <s v="Robert"/>
        <s v="Roman"/>
        <s v="Ellie"/>
        <s v="Violet"/>
        <s v="Isaac"/>
        <s v="Jayden"/>
        <s v="Aiden"/>
        <s v="Ruby"/>
        <s v="Leo"/>
        <s v="Allison"/>
        <s v="Jace"/>
        <s v="Jacob"/>
        <s v="Liliana"/>
        <s v="Raelynn"/>
        <s v="Grace"/>
        <s v="Addison"/>
        <s v="Josephine"/>
        <s v="Maverick"/>
        <s v="Austin"/>
        <s v="Angel"/>
        <s v="Nicholas"/>
        <s v="Alice"/>
        <s v="Serenity"/>
        <s v="Madison"/>
        <s v="Maya"/>
        <s v="Olivia"/>
        <s v="Eloise"/>
        <s v="Lydia"/>
        <s v="Savannah"/>
        <s v="Natalie"/>
        <s v="Adeline"/>
        <s v="Eliana"/>
        <s v="Theodore"/>
        <s v="Bella"/>
        <s v="Everett"/>
        <s v="Madelyn"/>
        <s v="Adrian"/>
        <s v="Carson"/>
        <s v="Josiah"/>
        <s v="Claire"/>
        <s v="Peyton"/>
        <s v="Naomi"/>
        <s v="Lyla"/>
        <s v="Easton"/>
        <s v="Hazel"/>
        <s v="Ryan"/>
        <s v="Chloe"/>
        <s v="Kayden"/>
        <s v="Sebastian"/>
        <s v="Valentina"/>
        <s v="Aaron"/>
        <s v="Ariana"/>
        <s v="Jackson"/>
        <s v="Sadie"/>
        <s v="Aaliyah"/>
        <s v="Oliver"/>
        <s v="Davis"/>
        <s v="Dinh"/>
        <s v="Sanders"/>
        <s v="Vo"/>
        <s v="Gupta"/>
        <s v="Barnes"/>
        <s v="Martin"/>
        <s v="Bailey"/>
        <s v="Walker"/>
        <s v="Ali"/>
        <s v="Rogers"/>
        <s v="Jones"/>
        <s v="Ng"/>
        <s v="Yang"/>
        <s v="Xi"/>
        <s v="Powell"/>
        <s v="Silva"/>
        <s v="Dang"/>
        <s v="Alvarado"/>
        <s v="Rivera"/>
        <s v="Dixon"/>
        <s v="Her"/>
        <s v="Henderson"/>
        <s v="Mejia"/>
        <s v="Chin"/>
        <s v="Lu"/>
        <s v="Choi"/>
        <s v="Kumar"/>
        <s v="Guzman"/>
        <s v="Vu"/>
        <s v="Jenkins"/>
        <s v="Brown"/>
        <s v="Huang"/>
        <s v="Perry"/>
        <s v="Padilla"/>
        <s v="Pena"/>
        <s v="Lam"/>
        <s v="Foster"/>
        <s v="Moore"/>
        <s v="Washington"/>
        <s v="Holmes"/>
        <s v="Rojas"/>
        <s v="Coleman"/>
        <s v="Clark"/>
        <s v="Butler"/>
        <s v="Contreras"/>
        <s v="Yu"/>
        <s v="Lewis"/>
        <s v="Do"/>
        <s v="Chow"/>
        <s v="Ayala"/>
        <s v="Salazar"/>
        <s v="Carrillo"/>
        <s v="Richardson"/>
        <s v="Guerrero"/>
        <s v="Mehta"/>
        <s v="Espinoza"/>
        <s v="Chu"/>
        <s v="Hong"/>
        <s v="Moua"/>
        <s v="Morales"/>
        <s v="Soto"/>
        <s v="Ross"/>
        <s v="Fernandez"/>
        <s v="Hall"/>
        <s v="Mai"/>
        <s v="Cheng"/>
        <s v="Navarro"/>
        <s v="Hernandez"/>
        <s v="Huynh"/>
        <s v="Zheng"/>
        <s v="Chau"/>
        <s v="Romero"/>
        <s v="Bui"/>
        <s v="Adams"/>
        <s v="Shin"/>
        <s v="King"/>
        <s v="Simmons"/>
        <s v="Desai"/>
        <s v="Liu"/>
        <s v="Marquez"/>
        <s v="Rodriguez"/>
        <s v="Jung"/>
        <s v="Vang"/>
        <s v="Diaz"/>
        <s v="Leung"/>
        <s v="Nelson"/>
        <s v="Lai"/>
        <s v="Reed"/>
        <s v="Williams"/>
        <s v="Rahman"/>
        <s v="Mendez"/>
        <s v="Fong"/>
        <s v="Kang"/>
        <s v="Chavez"/>
        <s v="Thao"/>
        <s v="Bryant"/>
        <s v="Zhang"/>
        <s v="Ruiz"/>
        <s v="Hsu"/>
        <s v="Watson"/>
        <s v="Park"/>
        <s v="Doan"/>
        <s v="Sandoval"/>
        <s v="Ly"/>
        <s v="Figueroa"/>
        <s v="Wong"/>
        <s v="Zhao"/>
        <s v="Garza"/>
        <s v="Griffin"/>
        <s v="Hill"/>
        <s v="Yee"/>
        <s v="Cho"/>
        <s v="Wright"/>
        <s v="Reyes"/>
        <s v="White"/>
        <s v="Truong"/>
        <s v="Duong"/>
        <s v="Herrera"/>
        <s v="Gray"/>
        <s v="Sharma"/>
        <s v="Molina"/>
        <s v="Ortiz"/>
        <s v="Aguilar"/>
        <s v="Bell"/>
        <s v="Zhu"/>
        <s v="Grant"/>
        <s v="Han"/>
        <s v="Vega"/>
        <s v="Johnson"/>
        <s v="Maldonado"/>
        <s v="Jiang"/>
        <s v="Mitchell"/>
        <s v="Torres"/>
        <s v="Edwards"/>
        <s v="Chan"/>
        <s v="Munoz"/>
        <s v="Daniels"/>
        <s v="Castro"/>
        <s v="Liang"/>
        <s v="Alvarez"/>
        <s v="Delgado"/>
        <s v="Evans"/>
        <s v="Li"/>
        <s v="Acosta"/>
        <s v="Smith"/>
        <s v="Robinson"/>
        <s v="Lopez"/>
        <s v="Owens"/>
        <s v="Cao"/>
        <s v="Garcia"/>
        <s v="Pham"/>
        <s v="He"/>
        <s v="Yi"/>
        <s v="Xiong"/>
        <s v="Baker"/>
        <s v="Martinez"/>
        <s v="Chung"/>
        <s v="Jimenez"/>
        <s v="Tran"/>
        <s v="Luu"/>
        <s v="Ahmed"/>
        <s v="Patel"/>
        <s v="Patterson"/>
        <s v="Young"/>
        <s v="Ho"/>
        <s v="Hoang"/>
        <s v="Medina"/>
        <s v="Vasquez"/>
        <s v="Wilson"/>
        <s v="Gomez"/>
        <s v="Gutierrez"/>
        <s v="Ramos"/>
        <s v="Gonzalez"/>
        <s v="Sun"/>
        <s v="Campos"/>
        <s v="Wu"/>
        <s v="Luong"/>
        <s v="Roberts"/>
        <s v="Hu"/>
        <s v="Juarez"/>
        <s v="Ngo"/>
        <s v="Vazquez"/>
        <s v="Ford"/>
        <s v="Shah"/>
        <s v="Chang"/>
        <s v="Phan"/>
        <s v="Tan"/>
        <s v="Yoon"/>
        <s v="Lim"/>
        <s v="Harris"/>
        <s v="Banks"/>
        <s v="Flores"/>
        <s v="Woods"/>
        <s v="Khan"/>
        <s v="Taylor"/>
        <s v="Hwang"/>
        <s v="Lau"/>
        <s v="Stewart"/>
        <s v="Thompson"/>
        <s v="Miller"/>
        <s v="Dominguez"/>
        <s v="Lee"/>
        <s v="Nunez"/>
        <s v="Lin"/>
        <s v="Chen"/>
        <s v="Nguyen"/>
        <s v="Sanchez"/>
        <s v="Morris"/>
        <s v="Cruz"/>
        <s v="Collins"/>
        <s v="Howard"/>
        <s v="Song"/>
        <s v="Lo"/>
        <s v="Turner"/>
        <s v="Ma"/>
        <s v="Le"/>
        <s v="Castillo"/>
        <s v="Estrada"/>
        <s v="Cortez"/>
        <s v="Ha"/>
        <s v="Scott"/>
        <s v="Kaur"/>
        <s v="Gonzales"/>
        <s v="Valdez"/>
        <s v="Singh"/>
        <s v="Ortega"/>
        <s v="Trinh"/>
        <s v="Allen"/>
        <s v="Avila"/>
        <s v="Vargas"/>
        <s v="Tang"/>
        <s v="Santos"/>
        <s v="Ramirez"/>
        <s v="Zhou"/>
        <s v="Kim"/>
        <s v="Perez"/>
        <s v="Oh"/>
        <s v="Moreno"/>
        <s v="Campbell"/>
        <s v="Phillips"/>
        <s v="Mendoza"/>
        <s v="Green"/>
        <s v="Rios"/>
        <s v="Wyatt"/>
        <s v="Zoey"/>
        <s v="Elizabeth"/>
        <s v="Florence"/>
        <s v="Denise"/>
        <s v="Zavier"/>
        <s v="Kinslee"/>
        <s v="Peter"/>
        <s v="Isabelle"/>
        <s v="Ricky"/>
        <s v="Brooke"/>
        <s v="Nikolai"/>
        <s v="Frances"/>
        <s v="Hassan"/>
        <s v="Adaline"/>
        <s v="Kingsley"/>
        <s v="Astrid"/>
        <s v="Valentino"/>
        <s v="Alberto"/>
        <s v="Trey"/>
        <s v="Kaylani"/>
        <s v="Devin"/>
        <s v="Helena"/>
        <s v="Brycen"/>
        <s v="Averie"/>
        <s v="Colter"/>
        <s v="Martha"/>
        <s v="Zyair"/>
        <s v="Angelina"/>
        <s v="Elaine"/>
        <s v="Samson"/>
        <s v="Noor"/>
        <s v="Jacoby"/>
        <s v="Selena"/>
        <s v="Harley"/>
        <s v="Casen"/>
        <s v="Miranda"/>
        <s v="Aldo"/>
        <s v="Camilla"/>
        <s v="Zahir"/>
        <s v="Zane"/>
        <s v="Melissa"/>
        <s v="Vienna"/>
        <s v="Raymond"/>
        <s v="Bruce"/>
        <s v="Angelica"/>
        <s v="Rayden"/>
        <s v="Vera"/>
        <s v="Artemis"/>
        <s v="Saul"/>
        <s v="Kori"/>
        <s v="Pearl"/>
        <s v="Wayne"/>
        <s v="Fatima"/>
        <s v="Pablo"/>
        <s v="Rosalyn"/>
        <s v="Yehuda"/>
        <s v="Malaysia"/>
        <s v="Omari"/>
        <s v="Paislee"/>
        <s v="Kieran"/>
        <s v="Khalani"/>
        <s v="Mac"/>
        <s v="Lacey"/>
        <s v="Alvaro"/>
        <s v="Rocco"/>
        <s v="Saige"/>
        <s v="Zeke"/>
        <s v="Iliana"/>
        <s v="Antonio"/>
        <s v="Saoirse"/>
        <s v="Houston"/>
        <s v="Haley"/>
        <s v="Promise"/>
        <s v="Lauren"/>
        <s v="Bellamy"/>
        <s v="Lilian"/>
        <s v="Seth"/>
        <s v="Josie"/>
        <s v="Makenzie"/>
        <s v="Romina"/>
        <s v="Arturo"/>
        <s v="Della"/>
        <s v="Mack"/>
        <s v="Bowen"/>
        <s v="Cannon"/>
        <s v="Paloma"/>
        <s v="Holland"/>
        <s v="Tristen"/>
        <s v="Sky"/>
        <s v="Annabella"/>
        <s v="Izaiah"/>
        <s v="Rowen"/>
        <s v="Elliot"/>
        <s v="Wes"/>
        <s v="Giana"/>
        <s v="Dayton"/>
        <s v="Emilio"/>
        <s v="Sarai"/>
        <s v="Paige"/>
        <s v="Dane"/>
        <s v="Zoya"/>
        <s v="Jasper"/>
        <s v="Hadassah"/>
        <s v="Rocky"/>
        <s v="Addyson"/>
        <s v="Edgar"/>
        <s v="Ariya"/>
        <s v="Daxton"/>
        <s v="Noelle"/>
        <s v="Travis"/>
        <s v="Itzel"/>
        <s v="Stefan"/>
        <s v="Pedro"/>
        <s v="Azariah"/>
        <s v="Wesson"/>
        <s v="Malani"/>
        <s v="Frank"/>
        <s v="Zoie"/>
        <s v="Romeo"/>
        <s v="Danna"/>
        <s v="Clyde"/>
        <s v="Zhuri"/>
        <s v="Ariel"/>
        <s v="Penny"/>
        <s v="Branson"/>
        <s v="Maren"/>
        <s v="Diego"/>
        <s v="Kendra"/>
        <s v="Weston"/>
        <s v="Hayden"/>
        <s v="Lane"/>
        <s v="Kamryn"/>
        <s v="Vance"/>
        <s v="Gabrielle"/>
        <s v="Santana"/>
        <s v="Royalty"/>
        <s v="Charli"/>
        <s v="Maximilian"/>
        <s v="Lillie"/>
        <s v="Juliette"/>
        <s v="Willa"/>
        <s v="Atreus"/>
        <s v="Ariah"/>
        <s v="Bear"/>
        <s v="Dahlia"/>
        <s v="Drake"/>
        <s v="Keira"/>
        <s v="Jamison"/>
        <s v="Oaklyn"/>
        <s v="Fisher"/>
        <s v="Kennedi"/>
        <s v="Dallas"/>
        <s v="Amber"/>
        <s v="Marcel"/>
        <s v="Capri"/>
        <s v="Jefferson"/>
        <s v="Odin"/>
        <s v="Matias"/>
        <s v="Madeleine"/>
        <s v="Justin"/>
        <s v="Alexandria"/>
        <s v="Killian"/>
        <s v="Laney"/>
        <s v="Yahir"/>
        <s v="Charleigh"/>
        <s v="Willie"/>
        <s v="Brecken"/>
        <s v="Evie"/>
        <s v="Legend"/>
        <s v="Harlee"/>
        <s v="Raphael"/>
        <s v="Sierra"/>
        <s v="Harvey"/>
        <s v="Presley"/>
        <s v="Chaim"/>
        <s v="Estelle"/>
        <s v="Spencer"/>
        <s v="Eric"/>
        <s v="Remy"/>
        <s v="Beatrice"/>
        <s v="Gunner"/>
        <s v="Thalia"/>
        <s v="Layton"/>
        <s v="Allyson"/>
        <s v="Kamari"/>
        <s v="Ashlynn"/>
        <s v="Landry"/>
        <s v="Wallace"/>
        <s v="Zion"/>
        <s v="Cayden"/>
        <s v="Roland"/>
        <s v="Joe"/>
        <s v="Teresa"/>
        <s v="Cohen"/>
        <s v="Amaya"/>
        <s v="Aziel"/>
        <s v="Anika"/>
        <s v="Roy"/>
        <s v="Meghan"/>
        <s v="Briar"/>
        <s v="Alisson"/>
        <s v="Lukas"/>
        <s v="Kiara"/>
        <s v="Reid"/>
        <s v="Mae"/>
        <s v="Keith"/>
        <s v="Sterling"/>
        <s v="Rayne"/>
        <s v="Blake"/>
        <s v="Zendaya"/>
        <s v="Kameron"/>
        <s v="Estella"/>
        <s v="Louie"/>
        <s v="Everlee"/>
        <s v="Aden"/>
        <s v="Laila"/>
        <s v="Johnathan"/>
        <s v="Alaiya"/>
        <s v="Averi"/>
        <s v="Victor"/>
        <s v="Marie"/>
        <s v="Magnolia"/>
        <s v="Lawson"/>
        <s v="Adelina"/>
        <s v="Hendrix"/>
        <s v="Braylon"/>
        <s v="Meadow"/>
        <s v="Franklin"/>
        <s v="Alaina"/>
        <s v="Dakari"/>
        <s v="Oaklynn"/>
        <s v="Raylan"/>
        <s v="Jakari"/>
        <s v="Rhett"/>
        <s v="Lennox"/>
        <s v="Jaxx"/>
        <s v="Kaliyah"/>
        <s v="Adelynn"/>
        <s v="Evan"/>
        <s v="Rebekah"/>
        <s v="Calvin"/>
        <s v="Eston"/>
        <s v="Alora"/>
        <s v="Yareli"/>
        <s v="Amos"/>
        <s v="lilah"/>
        <s v="Layne"/>
        <s v="Eve"/>
        <s v="Enzo"/>
        <s v="lakai"/>
        <s v="Monica"/>
        <s v="Esteban"/>
        <s v="Remi"/>
        <s v="Journee"/>
        <s v="Ameer"/>
        <s v="Ismael"/>
        <s v="Corinne"/>
        <s v="Frederick"/>
        <s v="Richard"/>
        <s v="Ayleen"/>
        <s v="Wells"/>
        <s v="Daphne"/>
        <s v="Macy"/>
        <s v="Thaddeus"/>
        <s v="Mariah"/>
        <s v="Kaison"/>
        <s v="Shawn"/>
        <s v="Harmoni"/>
        <s v="Dominick"/>
        <s v="Kylie"/>
        <s v="Finnegan"/>
        <s v="Scarlet"/>
        <s v="Jayce"/>
        <s v="Andi"/>
        <s v="Keaton"/>
        <s v="Warren"/>
        <s v="Sara"/>
        <s v="Terry"/>
        <s v="Shelby"/>
        <s v="Colt"/>
        <s v="Memphis"/>
        <s v="Vivienne"/>
        <s v="Thatcher"/>
        <s v="Annalise"/>
        <s v="Morgan"/>
        <s v="Nixon"/>
        <s v="Colette"/>
        <s v="Eduardo"/>
        <s v="Winter"/>
        <s v="Anastasia"/>
        <s v="Magnus"/>
        <s v="Cleo"/>
        <s v="Jalen"/>
        <s v="Carolina"/>
        <s v="Archer"/>
        <s v="Jovie"/>
        <s v="Kade"/>
        <s v="Cassidy"/>
        <s v="Colby"/>
        <s v="Persephone"/>
        <s v="Abraham"/>
        <s v="Noa"/>
        <s v="Crew"/>
        <s v="Zaylee"/>
        <s v="Holden"/>
        <s v="Mackenzie"/>
        <s v="Hank"/>
        <s v="Mara"/>
        <s v="Nasir"/>
        <s v="Jennifer"/>
        <s v="Dexter"/>
        <s v="Luella"/>
        <s v="Bjorn"/>
        <s v="Lena"/>
        <s v="Ryder"/>
        <s v="Lola"/>
        <s v="Salem"/>
        <s v="Mckenzie"/>
        <s v="Miriam"/>
        <s v="Ishaan"/>
        <s v="Norah"/>
        <s v="Donald"/>
        <s v="Calum"/>
        <s v="Liberty"/>
        <s v="Musa"/>
        <s v="Deandre"/>
        <s v="Jonas"/>
        <s v="Blaise"/>
        <s v="Melani"/>
        <s v="Kevin"/>
        <s v="Rebecca"/>
        <s v="Judith"/>
        <s v="Boston"/>
        <s v="Laurel"/>
        <s v="Kyree"/>
        <s v="Ivanna"/>
        <s v="Santino"/>
        <s v="Kasen"/>
        <s v="Dani"/>
        <s v="Noe"/>
        <s v="Carmen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6" maxValue="56"/>
    </cacheField>
    <cacheField name="Job" numFmtId="0">
      <sharedItems count="10">
        <s v="Auto Eng"/>
        <s v=" Dev Eng"/>
        <s v="Sr. Acc Rep"/>
        <s v="Field Eng"/>
        <s v="Sr. Manger"/>
        <s v="Quality Eng"/>
        <s v="IT Coord"/>
        <s v="Ops Eng"/>
        <s v="Sr. Analyst"/>
        <s v="Net Admin"/>
      </sharedItems>
    </cacheField>
    <cacheField name="Department" numFmtId="0">
      <sharedItems count="6">
        <s v="Engineering"/>
        <s v="Sales"/>
        <s v="Finance"/>
        <s v="Marketing"/>
        <s v="Accounting"/>
        <s v="IT"/>
      </sharedItems>
    </cacheField>
    <cacheField name="Business" numFmtId="0">
      <sharedItems/>
    </cacheField>
    <cacheField name="Hire" numFmtId="14">
      <sharedItems containsSemiMixedTypes="0" containsNonDate="0" containsDate="1" containsString="0" minDate="2020-01-03T00:00:00" maxDate="2024-08-24T00:00:00"/>
    </cacheField>
    <cacheField name="Exit" numFmtId="14">
      <sharedItems containsNonDate="0" containsDate="1" containsString="0" containsBlank="1" minDate="2021-02-24T00:00:00" maxDate="2024-10-12T00:00:00"/>
    </cacheField>
    <cacheField name="Annual" numFmtId="0">
      <sharedItems containsSemiMixedTypes="0" containsString="0" containsNumber="1" containsInteger="1" minValue="10000" maxValue="1408000" count="791">
        <n v="10000"/>
        <n v="12000"/>
        <n v="14000"/>
        <n v="16000"/>
        <n v="18000"/>
        <n v="20000"/>
        <n v="22000"/>
        <n v="24000"/>
        <n v="26000"/>
        <n v="28000"/>
        <n v="30000"/>
        <n v="32000"/>
        <n v="34000"/>
        <n v="36000"/>
        <n v="38000"/>
        <n v="40000"/>
        <n v="42000"/>
        <n v="44000"/>
        <n v="46000"/>
        <n v="48000"/>
        <n v="50000"/>
        <n v="52000"/>
        <n v="54000"/>
        <n v="56000"/>
        <n v="58000"/>
        <n v="60000"/>
        <n v="62000"/>
        <n v="64000"/>
        <n v="66000"/>
        <n v="68000"/>
        <n v="70000"/>
        <n v="72000"/>
        <n v="74000"/>
        <n v="76000"/>
        <n v="78000"/>
        <n v="80000"/>
        <n v="82000"/>
        <n v="84000"/>
        <n v="86000"/>
        <n v="88000"/>
        <n v="90000"/>
        <n v="92000"/>
        <n v="94000"/>
        <n v="96000"/>
        <n v="98000"/>
        <n v="100000"/>
        <n v="102000"/>
        <n v="104000"/>
        <n v="106000"/>
        <n v="108000"/>
        <n v="110000"/>
        <n v="112000"/>
        <n v="114000"/>
        <n v="116000"/>
        <n v="118000"/>
        <n v="120000"/>
        <n v="122000"/>
        <n v="124000"/>
        <n v="126000"/>
        <n v="128000"/>
        <n v="130000"/>
        <n v="132000"/>
        <n v="134000"/>
        <n v="136000"/>
        <n v="138000"/>
        <n v="140000"/>
        <n v="142000"/>
        <n v="144000"/>
        <n v="146000"/>
        <n v="148000"/>
        <n v="150000"/>
        <n v="152000"/>
        <n v="154000"/>
        <n v="156000"/>
        <n v="158000"/>
        <n v="160000"/>
        <n v="162000"/>
        <n v="164000"/>
        <n v="166000"/>
        <n v="168000"/>
        <n v="170000"/>
        <n v="172000"/>
        <n v="174000"/>
        <n v="176000"/>
        <n v="178000"/>
        <n v="180000"/>
        <n v="182000"/>
        <n v="184000"/>
        <n v="186000"/>
        <n v="188000"/>
        <n v="190000"/>
        <n v="192000"/>
        <n v="194000"/>
        <n v="196000"/>
        <n v="198000"/>
        <n v="200000"/>
        <n v="202000"/>
        <n v="204000"/>
        <n v="206000"/>
        <n v="208000"/>
        <n v="210000"/>
        <n v="212000"/>
        <n v="214000"/>
        <n v="216000"/>
        <n v="218000"/>
        <n v="220000"/>
        <n v="222000"/>
        <n v="224000"/>
        <n v="226000"/>
        <n v="228000"/>
        <n v="230000"/>
        <n v="232000"/>
        <n v="234000"/>
        <n v="236000"/>
        <n v="238000"/>
        <n v="240000"/>
        <n v="242000"/>
        <n v="244000"/>
        <n v="246000"/>
        <n v="248000"/>
        <n v="250000"/>
        <n v="252000"/>
        <n v="254000"/>
        <n v="256000"/>
        <n v="258000"/>
        <n v="260000"/>
        <n v="262000"/>
        <n v="264000"/>
        <n v="266000"/>
        <n v="268000"/>
        <n v="270000"/>
        <n v="272000"/>
        <n v="274000"/>
        <n v="276000"/>
        <n v="278000"/>
        <n v="280000"/>
        <n v="282000"/>
        <n v="284000"/>
        <n v="286000"/>
        <n v="288000"/>
        <n v="290000"/>
        <n v="292000"/>
        <n v="294000"/>
        <n v="296000"/>
        <n v="298000"/>
        <n v="300000"/>
        <n v="302000"/>
        <n v="304000"/>
        <n v="306000"/>
        <n v="308000"/>
        <n v="310000"/>
        <n v="312000"/>
        <n v="314000"/>
        <n v="316000"/>
        <n v="318000"/>
        <n v="320000"/>
        <n v="322000"/>
        <n v="324000"/>
        <n v="326000"/>
        <n v="328000"/>
        <n v="330000"/>
        <n v="332000"/>
        <n v="334000"/>
        <n v="336000"/>
        <n v="338000"/>
        <n v="340000"/>
        <n v="342000"/>
        <n v="344000"/>
        <n v="346000"/>
        <n v="348000"/>
        <n v="350000"/>
        <n v="352000"/>
        <n v="354000"/>
        <n v="356000"/>
        <n v="358000"/>
        <n v="360000"/>
        <n v="362000"/>
        <n v="364000"/>
        <n v="366000"/>
        <n v="368000"/>
        <n v="370000"/>
        <n v="372000"/>
        <n v="374000"/>
        <n v="376000"/>
        <n v="378000"/>
        <n v="380000"/>
        <n v="382000"/>
        <n v="384000"/>
        <n v="386000"/>
        <n v="388000"/>
        <n v="390000"/>
        <n v="392000"/>
        <n v="394000"/>
        <n v="396000"/>
        <n v="398000"/>
        <n v="400000"/>
        <n v="402000"/>
        <n v="404000"/>
        <n v="406000"/>
        <n v="408000"/>
        <n v="410000"/>
        <n v="412000"/>
        <n v="414000"/>
        <n v="416000"/>
        <n v="418000"/>
        <n v="420000"/>
        <n v="422000"/>
        <n v="424000"/>
        <n v="426000"/>
        <n v="428000"/>
        <n v="430000"/>
        <n v="432000"/>
        <n v="434000"/>
        <n v="436000"/>
        <n v="438000"/>
        <n v="440000"/>
        <n v="442000"/>
        <n v="444000"/>
        <n v="446000"/>
        <n v="448000"/>
        <n v="450000"/>
        <n v="452000"/>
        <n v="454000"/>
        <n v="456000"/>
        <n v="458000"/>
        <n v="460000"/>
        <n v="462000"/>
        <n v="464000"/>
        <n v="466000"/>
        <n v="468000"/>
        <n v="470000"/>
        <n v="472000"/>
        <n v="474000"/>
        <n v="476000"/>
        <n v="478000"/>
        <n v="480000"/>
        <n v="482000"/>
        <n v="484000"/>
        <n v="486000"/>
        <n v="488000"/>
        <n v="490000"/>
        <n v="492000"/>
        <n v="494000"/>
        <n v="496000"/>
        <n v="498000"/>
        <n v="500000"/>
        <n v="502000"/>
        <n v="504000"/>
        <n v="506000"/>
        <n v="508000"/>
        <n v="510000"/>
        <n v="512000"/>
        <n v="514000"/>
        <n v="516000"/>
        <n v="518000"/>
        <n v="520000"/>
        <n v="522000"/>
        <n v="524000"/>
        <n v="526000"/>
        <n v="528000"/>
        <n v="530000"/>
        <n v="532000"/>
        <n v="534000"/>
        <n v="536000"/>
        <n v="538000"/>
        <n v="540000"/>
        <n v="542000"/>
        <n v="544000"/>
        <n v="546000"/>
        <n v="548000"/>
        <n v="550000"/>
        <n v="552000"/>
        <n v="554000"/>
        <n v="556000"/>
        <n v="558000"/>
        <n v="560000"/>
        <n v="562000"/>
        <n v="564000"/>
        <n v="566000"/>
        <n v="568000"/>
        <n v="570000"/>
        <n v="572000"/>
        <n v="574000"/>
        <n v="576000"/>
        <n v="578000"/>
        <n v="580000"/>
        <n v="582000"/>
        <n v="584000"/>
        <n v="586000"/>
        <n v="588000"/>
        <n v="590000"/>
        <n v="592000"/>
        <n v="594000"/>
        <n v="596000"/>
        <n v="598000"/>
        <n v="600000"/>
        <n v="602000"/>
        <n v="604000"/>
        <n v="606000"/>
        <n v="608000"/>
        <n v="610000"/>
        <n v="612000"/>
        <n v="614000"/>
        <n v="616000"/>
        <n v="618000"/>
        <n v="620000"/>
        <n v="622000"/>
        <n v="624000"/>
        <n v="626000"/>
        <n v="628000"/>
        <n v="630000"/>
        <n v="632000"/>
        <n v="634000"/>
        <n v="636000"/>
        <n v="638000"/>
        <n v="640000"/>
        <n v="642000"/>
        <n v="644000"/>
        <n v="646000"/>
        <n v="648000"/>
        <n v="650000"/>
        <n v="652000"/>
        <n v="654000"/>
        <n v="656000"/>
        <n v="658000"/>
        <n v="660000"/>
        <n v="662000"/>
        <n v="664000"/>
        <n v="666000"/>
        <n v="668000"/>
        <n v="670000"/>
        <n v="672000"/>
        <n v="674000"/>
        <n v="676000"/>
        <n v="678000"/>
        <n v="680000"/>
        <n v="682000"/>
        <n v="684000"/>
        <n v="686000"/>
        <n v="688000"/>
        <n v="690000"/>
        <n v="692000"/>
        <n v="694000"/>
        <n v="696000"/>
        <n v="698000"/>
        <n v="700000"/>
        <n v="702000"/>
        <n v="704000"/>
        <n v="706000"/>
        <n v="708000"/>
        <n v="710000"/>
        <n v="712000"/>
        <n v="714000"/>
        <n v="716000"/>
        <n v="718000"/>
        <n v="720000"/>
        <n v="722000"/>
        <n v="724000"/>
        <n v="726000"/>
        <n v="728000"/>
        <n v="730000"/>
        <n v="732000"/>
        <n v="734000"/>
        <n v="736000"/>
        <n v="738000"/>
        <n v="740000"/>
        <n v="742000"/>
        <n v="744000"/>
        <n v="746000"/>
        <n v="748000"/>
        <n v="750000"/>
        <n v="752000"/>
        <n v="754000"/>
        <n v="756000"/>
        <n v="758000"/>
        <n v="760000"/>
        <n v="762000"/>
        <n v="764000"/>
        <n v="766000"/>
        <n v="768000"/>
        <n v="770000"/>
        <n v="772000"/>
        <n v="774000"/>
        <n v="776000"/>
        <n v="778000"/>
        <n v="780000"/>
        <n v="782000"/>
        <n v="784000"/>
        <n v="786000"/>
        <n v="788000"/>
        <n v="790000"/>
        <n v="792000"/>
        <n v="794000"/>
        <n v="796000"/>
        <n v="798000"/>
        <n v="800000"/>
        <n v="802000"/>
        <n v="804000"/>
        <n v="806000"/>
        <n v="808000"/>
        <n v="810000"/>
        <n v="812000"/>
        <n v="814000"/>
        <n v="816000"/>
        <n v="818000"/>
        <n v="820000"/>
        <n v="822000"/>
        <n v="824000"/>
        <n v="826000"/>
        <n v="828000"/>
        <n v="830000"/>
        <n v="832000"/>
        <n v="834000"/>
        <n v="836000"/>
        <n v="838000"/>
        <n v="840000"/>
        <n v="842000"/>
        <n v="844000"/>
        <n v="846000"/>
        <n v="848000"/>
        <n v="850000"/>
        <n v="852000"/>
        <n v="854000"/>
        <n v="856000"/>
        <n v="858000"/>
        <n v="860000"/>
        <n v="862000"/>
        <n v="864000"/>
        <n v="866000"/>
        <n v="868000"/>
        <n v="870000"/>
        <n v="872000"/>
        <n v="874000"/>
        <n v="876000"/>
        <n v="878000"/>
        <n v="880000"/>
        <n v="882000"/>
        <n v="884000"/>
        <n v="886000"/>
        <n v="888000"/>
        <n v="890000"/>
        <n v="892000"/>
        <n v="894000"/>
        <n v="896000"/>
        <n v="898000"/>
        <n v="900000"/>
        <n v="902000"/>
        <n v="904000"/>
        <n v="906000"/>
        <n v="908000"/>
        <n v="910000"/>
        <n v="912000"/>
        <n v="914000"/>
        <n v="916000"/>
        <n v="918000"/>
        <n v="920000"/>
        <n v="922000"/>
        <n v="924000"/>
        <n v="926000"/>
        <n v="928000"/>
        <n v="930000"/>
        <n v="932000"/>
        <n v="934000"/>
        <n v="936000"/>
        <n v="938000"/>
        <n v="940000"/>
        <n v="942000"/>
        <n v="944000"/>
        <n v="946000"/>
        <n v="948000"/>
        <n v="950000"/>
        <n v="952000"/>
        <n v="954000"/>
        <n v="956000"/>
        <n v="958000"/>
        <n v="960000"/>
        <n v="962000"/>
        <n v="964000"/>
        <n v="966000"/>
        <n v="968000"/>
        <n v="970000"/>
        <n v="972000"/>
        <n v="974000"/>
        <n v="976000"/>
        <n v="978000"/>
        <n v="980000"/>
        <n v="982000"/>
        <n v="984000"/>
        <n v="986000"/>
        <n v="988000"/>
        <n v="990000"/>
        <n v="992000"/>
        <n v="994000"/>
        <n v="996000"/>
        <n v="998000"/>
        <n v="1000000"/>
        <n v="1002000"/>
        <n v="1004000"/>
        <n v="1006000"/>
        <n v="1008000"/>
        <n v="1010000"/>
        <n v="1012000"/>
        <n v="1014000"/>
        <n v="1016000"/>
        <n v="1018000"/>
        <n v="1020000"/>
        <n v="1022000"/>
        <n v="1024000"/>
        <n v="1026000"/>
        <n v="1028000"/>
        <n v="1030000"/>
        <n v="1032000"/>
        <n v="1034000"/>
        <n v="1036000"/>
        <n v="1038000"/>
        <n v="1040000"/>
        <n v="1042000"/>
        <n v="1044000"/>
        <n v="1046000"/>
        <n v="1048000"/>
        <n v="1050000"/>
        <n v="1052000"/>
        <n v="1054000"/>
        <n v="1056000"/>
        <n v="1058000"/>
        <n v="1060000"/>
        <n v="1062000"/>
        <n v="1064000"/>
        <n v="1066000"/>
        <n v="1068000"/>
        <n v="1070000"/>
        <n v="1072000"/>
        <n v="1074000"/>
        <n v="1076000"/>
        <n v="1078000"/>
        <n v="1080000"/>
        <n v="1082000"/>
        <n v="1084000"/>
        <n v="1086000"/>
        <n v="1088000"/>
        <n v="1090000"/>
        <n v="1092000"/>
        <n v="1094000"/>
        <n v="1096000"/>
        <n v="1098000"/>
        <n v="1100000"/>
        <n v="1102000"/>
        <n v="1104000"/>
        <n v="1106000"/>
        <n v="1108000"/>
        <n v="1110000"/>
        <n v="1112000"/>
        <n v="1114000"/>
        <n v="1116000"/>
        <n v="1118000"/>
        <n v="1120000"/>
        <n v="1122000"/>
        <n v="1124000"/>
        <n v="1126000"/>
        <n v="1128000"/>
        <n v="1130000"/>
        <n v="1132000"/>
        <n v="1134000"/>
        <n v="1136000"/>
        <n v="1138000"/>
        <n v="1140000"/>
        <n v="1142000"/>
        <n v="1144000"/>
        <n v="1146000"/>
        <n v="1148000"/>
        <n v="1150000"/>
        <n v="1152000"/>
        <n v="1154000"/>
        <n v="1156000"/>
        <n v="1158000"/>
        <n v="1160000"/>
        <n v="1162000"/>
        <n v="1164000"/>
        <n v="1166000"/>
        <n v="1168000"/>
        <n v="1170000"/>
        <n v="1172000"/>
        <n v="1174000"/>
        <n v="1176000"/>
        <n v="1178000"/>
        <n v="1180000"/>
        <n v="1182000"/>
        <n v="1184000"/>
        <n v="1186000"/>
        <n v="1188000"/>
        <n v="1190000"/>
        <n v="1192000"/>
        <n v="1194000"/>
        <n v="1196000"/>
        <n v="1198000"/>
        <n v="1200000"/>
        <n v="1202000"/>
        <n v="1204000"/>
        <n v="1206000"/>
        <n v="1208000"/>
        <n v="1210000"/>
        <n v="1212000"/>
        <n v="1214000"/>
        <n v="1216000"/>
        <n v="1218000"/>
        <n v="1220000"/>
        <n v="1222000"/>
        <n v="1224000"/>
        <n v="1226000"/>
        <n v="1228000"/>
        <n v="1230000"/>
        <n v="1232000"/>
        <n v="1234000"/>
        <n v="1236000"/>
        <n v="1238000"/>
        <n v="1240000"/>
        <n v="1242000"/>
        <n v="1244000"/>
        <n v="1246000"/>
        <n v="1248000"/>
        <n v="1250000"/>
        <n v="1252000"/>
        <n v="1254000"/>
        <n v="1256000"/>
        <n v="1258000"/>
        <n v="1260000"/>
        <n v="1262000"/>
        <n v="1264000"/>
        <n v="1266000"/>
        <n v="1268000"/>
        <n v="1270000"/>
        <n v="1272000"/>
        <n v="1274000"/>
        <n v="1276000"/>
        <n v="1278000"/>
        <n v="1280000"/>
        <n v="1282000"/>
        <n v="1284000"/>
        <n v="1286000"/>
        <n v="1288000"/>
        <n v="1290000"/>
        <n v="1292000"/>
        <n v="1294000"/>
        <n v="1296000"/>
        <n v="1298000"/>
        <n v="1300000"/>
        <n v="1302000"/>
        <n v="1304000"/>
        <n v="1306000"/>
        <n v="1308000"/>
        <n v="1310000"/>
        <n v="1312000"/>
        <n v="1314000"/>
        <n v="1316000"/>
        <n v="1318000"/>
        <n v="1320000"/>
        <n v="1322000"/>
        <n v="1324000"/>
        <n v="1326000"/>
        <n v="1328000"/>
        <n v="1330000"/>
        <n v="1332000"/>
        <n v="1334000"/>
        <n v="1336000"/>
        <n v="1338000"/>
        <n v="1340000"/>
        <n v="1342000"/>
        <n v="1344000"/>
        <n v="1346000"/>
        <n v="1348000"/>
        <n v="1350000"/>
        <n v="1352000"/>
        <n v="1354000"/>
        <n v="1356000"/>
        <n v="1358000"/>
        <n v="1360000"/>
        <n v="1362000"/>
        <n v="1364000"/>
        <n v="1366000"/>
        <n v="1368000"/>
        <n v="1370000"/>
        <n v="1372000"/>
        <n v="1374000"/>
        <n v="1376000"/>
        <n v="1378000"/>
        <n v="1380000"/>
        <n v="1382000"/>
        <n v="1384000"/>
        <n v="1386000"/>
        <n v="1388000"/>
        <n v="1390000"/>
        <n v="1392000"/>
        <n v="1394000"/>
        <n v="1396000"/>
        <n v="1398000"/>
        <n v="1400000"/>
        <n v="1402000"/>
        <n v="1404000"/>
        <n v="1406000"/>
        <n v="1408000"/>
        <n v="154892"/>
        <n v="243879"/>
        <n v="271490"/>
        <n v="284760"/>
        <n v="519382"/>
        <n v="371296"/>
        <n v="275439"/>
        <n v="318902"/>
        <n v="364982"/>
        <n v="251398"/>
        <n v="195478"/>
        <n v="367920"/>
        <n v="295274"/>
        <n v="358972"/>
        <n v="310294"/>
        <n v="375480"/>
        <n v="253972"/>
        <n v="265870"/>
        <n v="154396"/>
        <n v="413290"/>
        <n v="375420"/>
        <n v="286739"/>
        <n v="295374"/>
        <n v="312874"/>
        <n v="350974"/>
        <n v="278964"/>
        <n v="543290"/>
        <n v="415290"/>
        <n v="271890"/>
        <n v="429871"/>
        <n v="354782"/>
        <n v="415972"/>
        <n v="251472"/>
        <n v="358974"/>
        <n v="154928"/>
        <n v="162493"/>
        <n v="364972"/>
        <n v="154873"/>
        <n v="347920"/>
        <n v="371928"/>
        <n v="283794"/>
        <n v="254983"/>
        <n v="145972"/>
        <n v="306491"/>
        <n v="290478"/>
        <n v="374820"/>
        <n v="367394"/>
        <n v="416273"/>
        <n v="320879"/>
        <n v="290376"/>
        <n v="416920"/>
        <n v="527380"/>
        <n v="154927"/>
        <n v="263479"/>
        <n v="278394"/>
        <n v="253478"/>
        <n v="254970"/>
        <n v="348920"/>
        <n v="290379"/>
        <n v="315490"/>
        <n v="172398"/>
        <n v="310274"/>
        <n v="371486"/>
        <n v="164920"/>
        <n v="274893"/>
        <n v="293476"/>
        <n v="315278"/>
        <n v="241879"/>
        <n v="153928"/>
        <n v="520294"/>
        <n v="146279"/>
        <n v="357490"/>
        <n v="350927"/>
        <n v="216478"/>
        <n v="354979"/>
        <n v="372960"/>
        <n v="315479"/>
        <n v="284769"/>
        <n v="467829"/>
        <n v="325780"/>
        <n v="203948"/>
        <n v="275394"/>
        <n v="241896"/>
        <n v="314920"/>
        <n v="245973"/>
        <n v="186470"/>
        <n v="162398"/>
        <n v="371972"/>
        <n v="270384"/>
        <n v="174290"/>
        <n v="126492"/>
      </sharedItems>
    </cacheField>
    <cacheField name="Bonus" numFmtId="0">
      <sharedItems containsSemiMixedTypes="0" containsString="0" containsNumber="1" minValue="0" maxValue="0.4"/>
    </cacheField>
    <cacheField name="Status" numFmtId="0">
      <sharedItems count="2">
        <s v="Inactive"/>
        <s v="Active"/>
      </sharedItems>
    </cacheField>
    <cacheField name="years" numFmtId="0">
      <sharedItems containsSemiMixedTypes="0" containsString="0" containsNumber="1" containsInteger="1" minValue="0" maxValue="6"/>
    </cacheField>
    <cacheField name="Age[10]" numFmtId="0">
      <sharedItems containsSemiMixedTypes="0" containsString="0" containsNumber="1" containsInteger="1" minValue="20" maxValue="50" count="4">
        <n v="40"/>
        <n v="30"/>
        <n v="20"/>
        <n v="50"/>
      </sharedItems>
    </cacheField>
    <cacheField name="Age range" numFmtId="0">
      <sharedItems/>
    </cacheField>
    <cacheField name="Field1" numFmtId="0" formula=" AVERAGE(Annual)/COUNT(EEID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x v="0"/>
    <x v="0"/>
    <x v="0"/>
    <n v="47"/>
    <x v="0"/>
    <x v="0"/>
    <s v="Corporate"/>
    <d v="2020-10-12T00:00:00"/>
    <d v="2022-10-23T00:00:00"/>
    <x v="0"/>
    <n v="0"/>
    <x v="0"/>
    <n v="2"/>
    <x v="0"/>
    <s v="40-49"/>
  </r>
  <r>
    <x v="1"/>
    <x v="1"/>
    <x v="1"/>
    <n v="36"/>
    <x v="1"/>
    <x v="0"/>
    <s v="Products"/>
    <d v="2022-01-27T00:00:00"/>
    <m/>
    <x v="0"/>
    <n v="0"/>
    <x v="1"/>
    <n v="4"/>
    <x v="1"/>
    <s v="30-39"/>
  </r>
  <r>
    <x v="2"/>
    <x v="2"/>
    <x v="0"/>
    <n v="41"/>
    <x v="2"/>
    <x v="1"/>
    <s v="Corporate"/>
    <d v="2024-02-15T00:00:00"/>
    <m/>
    <x v="1"/>
    <n v="0"/>
    <x v="1"/>
    <n v="1"/>
    <x v="0"/>
    <s v="40-49"/>
  </r>
  <r>
    <x v="3"/>
    <x v="3"/>
    <x v="1"/>
    <n v="30"/>
    <x v="3"/>
    <x v="0"/>
    <s v="Products"/>
    <d v="2024-02-10T00:00:00"/>
    <m/>
    <x v="2"/>
    <n v="0"/>
    <x v="1"/>
    <n v="1"/>
    <x v="1"/>
    <s v="30-39"/>
  </r>
  <r>
    <x v="4"/>
    <x v="4"/>
    <x v="0"/>
    <n v="30"/>
    <x v="2"/>
    <x v="1"/>
    <s v="R&amp;D"/>
    <d v="2020-12-18T00:00:00"/>
    <d v="2024-05-18T00:00:00"/>
    <x v="3"/>
    <n v="0"/>
    <x v="0"/>
    <n v="3"/>
    <x v="1"/>
    <s v="30-39"/>
  </r>
  <r>
    <x v="5"/>
    <x v="5"/>
    <x v="1"/>
    <n v="38"/>
    <x v="0"/>
    <x v="0"/>
    <s v="Products"/>
    <d v="2020-01-07T00:00:00"/>
    <d v="2024-05-18T00:00:00"/>
    <x v="4"/>
    <n v="0.15"/>
    <x v="0"/>
    <n v="4"/>
    <x v="1"/>
    <s v="30-39"/>
  </r>
  <r>
    <x v="6"/>
    <x v="6"/>
    <x v="0"/>
    <n v="28"/>
    <x v="0"/>
    <x v="0"/>
    <s v="R&amp;D"/>
    <d v="2023-10-07T00:00:00"/>
    <m/>
    <x v="5"/>
    <n v="0"/>
    <x v="1"/>
    <n v="2"/>
    <x v="2"/>
    <s v="20-29"/>
  </r>
  <r>
    <x v="7"/>
    <x v="7"/>
    <x v="1"/>
    <n v="39"/>
    <x v="4"/>
    <x v="2"/>
    <s v="R&amp;D"/>
    <d v="2021-10-18T00:00:00"/>
    <m/>
    <x v="6"/>
    <n v="0.11"/>
    <x v="1"/>
    <n v="4"/>
    <x v="1"/>
    <s v="30-39"/>
  </r>
  <r>
    <x v="8"/>
    <x v="8"/>
    <x v="0"/>
    <n v="31"/>
    <x v="4"/>
    <x v="3"/>
    <s v="Products"/>
    <d v="2022-08-18T00:00:00"/>
    <m/>
    <x v="7"/>
    <n v="0.12"/>
    <x v="1"/>
    <n v="3"/>
    <x v="1"/>
    <s v="30-39"/>
  </r>
  <r>
    <x v="9"/>
    <x v="9"/>
    <x v="0"/>
    <n v="45"/>
    <x v="4"/>
    <x v="4"/>
    <s v="Corporate"/>
    <d v="2024-05-28T00:00:00"/>
    <m/>
    <x v="8"/>
    <n v="0"/>
    <x v="1"/>
    <n v="1"/>
    <x v="0"/>
    <s v="40-49"/>
  </r>
  <r>
    <x v="10"/>
    <x v="10"/>
    <x v="0"/>
    <n v="50"/>
    <x v="5"/>
    <x v="0"/>
    <s v="Manufacturing"/>
    <d v="2022-09-07T00:00:00"/>
    <m/>
    <x v="9"/>
    <n v="0.12"/>
    <x v="1"/>
    <n v="3"/>
    <x v="3"/>
    <s v="50-59"/>
  </r>
  <r>
    <x v="11"/>
    <x v="11"/>
    <x v="1"/>
    <n v="36"/>
    <x v="4"/>
    <x v="3"/>
    <s v="Manufacturing"/>
    <d v="2024-01-03T00:00:00"/>
    <m/>
    <x v="10"/>
    <n v="0.15"/>
    <x v="1"/>
    <n v="2"/>
    <x v="1"/>
    <s v="30-39"/>
  </r>
  <r>
    <x v="12"/>
    <x v="12"/>
    <x v="0"/>
    <n v="45"/>
    <x v="6"/>
    <x v="5"/>
    <s v="R&amp;D"/>
    <d v="2023-05-28T00:00:00"/>
    <m/>
    <x v="11"/>
    <n v="0"/>
    <x v="1"/>
    <n v="2"/>
    <x v="0"/>
    <s v="40-49"/>
  </r>
  <r>
    <x v="13"/>
    <x v="13"/>
    <x v="1"/>
    <n v="29"/>
    <x v="5"/>
    <x v="0"/>
    <s v="Products"/>
    <d v="2023-11-15T00:00:00"/>
    <m/>
    <x v="12"/>
    <n v="0"/>
    <x v="1"/>
    <n v="2"/>
    <x v="2"/>
    <s v="20-29"/>
  </r>
  <r>
    <x v="14"/>
    <x v="14"/>
    <x v="1"/>
    <n v="41"/>
    <x v="5"/>
    <x v="0"/>
    <s v="R&amp;D"/>
    <d v="2020-01-21T00:00:00"/>
    <d v="2022-10-23T00:00:00"/>
    <x v="13"/>
    <n v="0.15"/>
    <x v="0"/>
    <n v="2"/>
    <x v="0"/>
    <s v="40-49"/>
  </r>
  <r>
    <x v="15"/>
    <x v="15"/>
    <x v="1"/>
    <n v="47"/>
    <x v="7"/>
    <x v="0"/>
    <s v="Corporate"/>
    <d v="2023-10-07T00:00:00"/>
    <d v="2024-09-02T00:00:00"/>
    <x v="14"/>
    <n v="0"/>
    <x v="0"/>
    <n v="0"/>
    <x v="0"/>
    <s v="40-49"/>
  </r>
  <r>
    <x v="16"/>
    <x v="16"/>
    <x v="1"/>
    <n v="38"/>
    <x v="6"/>
    <x v="5"/>
    <s v="Products"/>
    <d v="2024-04-19T00:00:00"/>
    <m/>
    <x v="15"/>
    <n v="0"/>
    <x v="1"/>
    <n v="1"/>
    <x v="1"/>
    <s v="30-39"/>
  </r>
  <r>
    <x v="17"/>
    <x v="17"/>
    <x v="0"/>
    <n v="40"/>
    <x v="7"/>
    <x v="0"/>
    <s v="R&amp;D"/>
    <d v="2020-09-09T00:00:00"/>
    <m/>
    <x v="16"/>
    <n v="0.15"/>
    <x v="1"/>
    <n v="5"/>
    <x v="0"/>
    <s v="40-49"/>
  </r>
  <r>
    <x v="18"/>
    <x v="18"/>
    <x v="1"/>
    <n v="45"/>
    <x v="7"/>
    <x v="0"/>
    <s v="Manufacturing"/>
    <d v="2023-11-03T00:00:00"/>
    <m/>
    <x v="17"/>
    <n v="0"/>
    <x v="1"/>
    <n v="2"/>
    <x v="0"/>
    <s v="40-49"/>
  </r>
  <r>
    <x v="19"/>
    <x v="19"/>
    <x v="0"/>
    <n v="26"/>
    <x v="6"/>
    <x v="5"/>
    <s v="Manufacturing"/>
    <d v="2024-04-30T00:00:00"/>
    <m/>
    <x v="18"/>
    <n v="0"/>
    <x v="1"/>
    <n v="1"/>
    <x v="2"/>
    <s v="20-29"/>
  </r>
  <r>
    <x v="20"/>
    <x v="20"/>
    <x v="1"/>
    <n v="35"/>
    <x v="0"/>
    <x v="0"/>
    <s v="Manufacturing"/>
    <d v="2020-02-26T00:00:00"/>
    <d v="2021-09-07T00:00:00"/>
    <x v="19"/>
    <n v="0"/>
    <x v="0"/>
    <n v="1"/>
    <x v="1"/>
    <s v="30-39"/>
  </r>
  <r>
    <x v="21"/>
    <x v="21"/>
    <x v="0"/>
    <n v="29"/>
    <x v="1"/>
    <x v="0"/>
    <s v="Manufacturing"/>
    <d v="2022-09-11T00:00:00"/>
    <m/>
    <x v="20"/>
    <n v="0"/>
    <x v="1"/>
    <n v="3"/>
    <x v="2"/>
    <s v="20-29"/>
  </r>
  <r>
    <x v="22"/>
    <x v="22"/>
    <x v="0"/>
    <n v="35"/>
    <x v="8"/>
    <x v="2"/>
    <s v="Manufacturing"/>
    <d v="2024-05-18T00:00:00"/>
    <m/>
    <x v="21"/>
    <n v="0"/>
    <x v="1"/>
    <n v="1"/>
    <x v="1"/>
    <s v="30-39"/>
  </r>
  <r>
    <x v="23"/>
    <x v="23"/>
    <x v="1"/>
    <n v="27"/>
    <x v="5"/>
    <x v="0"/>
    <s v="Corporate"/>
    <d v="2021-11-09T00:00:00"/>
    <m/>
    <x v="22"/>
    <n v="0.12"/>
    <x v="1"/>
    <n v="4"/>
    <x v="2"/>
    <s v="20-29"/>
  </r>
  <r>
    <x v="24"/>
    <x v="24"/>
    <x v="1"/>
    <n v="26"/>
    <x v="7"/>
    <x v="0"/>
    <s v="Products"/>
    <d v="2020-05-12T00:00:00"/>
    <d v="2022-10-23T00:00:00"/>
    <x v="23"/>
    <n v="0.15"/>
    <x v="0"/>
    <n v="2"/>
    <x v="2"/>
    <s v="20-29"/>
  </r>
  <r>
    <x v="25"/>
    <x v="25"/>
    <x v="1"/>
    <n v="27"/>
    <x v="3"/>
    <x v="0"/>
    <s v="Manufacturing"/>
    <d v="2022-09-11T00:00:00"/>
    <m/>
    <x v="24"/>
    <n v="0"/>
    <x v="1"/>
    <n v="3"/>
    <x v="2"/>
    <s v="20-29"/>
  </r>
  <r>
    <x v="26"/>
    <x v="26"/>
    <x v="1"/>
    <n v="30"/>
    <x v="8"/>
    <x v="4"/>
    <s v="R&amp;D"/>
    <d v="2022-10-23T00:00:00"/>
    <m/>
    <x v="25"/>
    <n v="0"/>
    <x v="1"/>
    <n v="3"/>
    <x v="1"/>
    <s v="30-39"/>
  </r>
  <r>
    <x v="27"/>
    <x v="27"/>
    <x v="0"/>
    <n v="36"/>
    <x v="9"/>
    <x v="5"/>
    <s v="Manufacturing"/>
    <d v="2020-08-23T00:00:00"/>
    <d v="2024-05-18T00:00:00"/>
    <x v="26"/>
    <n v="0"/>
    <x v="0"/>
    <n v="3"/>
    <x v="1"/>
    <s v="30-39"/>
  </r>
  <r>
    <x v="28"/>
    <x v="28"/>
    <x v="1"/>
    <n v="45"/>
    <x v="8"/>
    <x v="3"/>
    <s v="Products"/>
    <d v="2023-11-07T00:00:00"/>
    <m/>
    <x v="27"/>
    <n v="0"/>
    <x v="1"/>
    <n v="2"/>
    <x v="0"/>
    <s v="40-49"/>
  </r>
  <r>
    <x v="29"/>
    <x v="29"/>
    <x v="0"/>
    <n v="37"/>
    <x v="1"/>
    <x v="0"/>
    <s v="R&amp;D"/>
    <d v="2023-10-07T00:00:00"/>
    <m/>
    <x v="28"/>
    <n v="0"/>
    <x v="1"/>
    <n v="2"/>
    <x v="1"/>
    <s v="30-39"/>
  </r>
  <r>
    <x v="30"/>
    <x v="30"/>
    <x v="0"/>
    <n v="32"/>
    <x v="9"/>
    <x v="5"/>
    <s v="R&amp;D"/>
    <d v="2022-04-26T00:00:00"/>
    <m/>
    <x v="29"/>
    <n v="0.12"/>
    <x v="1"/>
    <n v="3"/>
    <x v="1"/>
    <s v="30-39"/>
  </r>
  <r>
    <x v="31"/>
    <x v="31"/>
    <x v="0"/>
    <n v="45"/>
    <x v="3"/>
    <x v="0"/>
    <s v="Corporate"/>
    <d v="2020-02-28T00:00:00"/>
    <m/>
    <x v="30"/>
    <n v="0.15"/>
    <x v="1"/>
    <n v="5"/>
    <x v="0"/>
    <s v="40-49"/>
  </r>
  <r>
    <x v="32"/>
    <x v="32"/>
    <x v="0"/>
    <n v="51"/>
    <x v="0"/>
    <x v="0"/>
    <s v="Corporate"/>
    <d v="2020-10-12T00:00:00"/>
    <m/>
    <x v="31"/>
    <n v="0.15"/>
    <x v="1"/>
    <n v="5"/>
    <x v="3"/>
    <s v="50-59"/>
  </r>
  <r>
    <x v="33"/>
    <x v="33"/>
    <x v="0"/>
    <n v="56"/>
    <x v="1"/>
    <x v="0"/>
    <s v="Products"/>
    <d v="2022-01-27T00:00:00"/>
    <m/>
    <x v="32"/>
    <n v="0.1"/>
    <x v="1"/>
    <n v="4"/>
    <x v="3"/>
    <s v="50-59"/>
  </r>
  <r>
    <x v="34"/>
    <x v="34"/>
    <x v="1"/>
    <n v="53"/>
    <x v="2"/>
    <x v="1"/>
    <s v="Corporate"/>
    <d v="2020-02-15T00:00:00"/>
    <d v="2023-08-07T00:00:00"/>
    <x v="33"/>
    <n v="0"/>
    <x v="0"/>
    <n v="3"/>
    <x v="3"/>
    <s v="50-59"/>
  </r>
  <r>
    <x v="35"/>
    <x v="35"/>
    <x v="0"/>
    <n v="47"/>
    <x v="3"/>
    <x v="0"/>
    <s v="Products"/>
    <d v="2020-02-10T00:00:00"/>
    <d v="2021-02-24T00:00:00"/>
    <x v="34"/>
    <n v="0.13"/>
    <x v="0"/>
    <n v="1"/>
    <x v="0"/>
    <s v="40-49"/>
  </r>
  <r>
    <x v="36"/>
    <x v="36"/>
    <x v="0"/>
    <n v="36"/>
    <x v="2"/>
    <x v="1"/>
    <s v="R&amp;D"/>
    <d v="2020-12-18T00:00:00"/>
    <m/>
    <x v="35"/>
    <n v="0.37"/>
    <x v="1"/>
    <n v="5"/>
    <x v="1"/>
    <s v="30-39"/>
  </r>
  <r>
    <x v="37"/>
    <x v="37"/>
    <x v="0"/>
    <n v="41"/>
    <x v="0"/>
    <x v="0"/>
    <s v="Products"/>
    <d v="2020-01-07T00:00:00"/>
    <m/>
    <x v="36"/>
    <n v="0"/>
    <x v="1"/>
    <n v="6"/>
    <x v="0"/>
    <s v="40-49"/>
  </r>
  <r>
    <x v="38"/>
    <x v="38"/>
    <x v="1"/>
    <n v="30"/>
    <x v="0"/>
    <x v="0"/>
    <s v="R&amp;D"/>
    <d v="2023-10-07T00:00:00"/>
    <m/>
    <x v="37"/>
    <n v="0"/>
    <x v="1"/>
    <n v="2"/>
    <x v="1"/>
    <s v="30-39"/>
  </r>
  <r>
    <x v="39"/>
    <x v="39"/>
    <x v="1"/>
    <n v="30"/>
    <x v="4"/>
    <x v="2"/>
    <s v="R&amp;D"/>
    <d v="2022-10-18T00:00:00"/>
    <d v="2024-02-22T00:00:00"/>
    <x v="38"/>
    <n v="0"/>
    <x v="0"/>
    <n v="1"/>
    <x v="1"/>
    <s v="30-39"/>
  </r>
  <r>
    <x v="40"/>
    <x v="40"/>
    <x v="1"/>
    <n v="38"/>
    <x v="4"/>
    <x v="3"/>
    <s v="Products"/>
    <d v="2022-08-18T00:00:00"/>
    <m/>
    <x v="39"/>
    <n v="7.0000000000000007E-2"/>
    <x v="1"/>
    <n v="3"/>
    <x v="1"/>
    <s v="30-39"/>
  </r>
  <r>
    <x v="41"/>
    <x v="41"/>
    <x v="0"/>
    <n v="28"/>
    <x v="4"/>
    <x v="4"/>
    <s v="Corporate"/>
    <d v="2022-05-28T00:00:00"/>
    <d v="2024-05-18T00:00:00"/>
    <x v="40"/>
    <n v="0.35"/>
    <x v="0"/>
    <n v="1"/>
    <x v="2"/>
    <s v="20-29"/>
  </r>
  <r>
    <x v="42"/>
    <x v="42"/>
    <x v="1"/>
    <n v="46"/>
    <x v="5"/>
    <x v="0"/>
    <s v="Manufacturing"/>
    <d v="2022-09-07T00:00:00"/>
    <m/>
    <x v="41"/>
    <n v="0"/>
    <x v="1"/>
    <n v="3"/>
    <x v="0"/>
    <s v="40-49"/>
  </r>
  <r>
    <x v="43"/>
    <x v="43"/>
    <x v="0"/>
    <n v="31"/>
    <x v="4"/>
    <x v="3"/>
    <s v="Manufacturing"/>
    <d v="2021-01-03T00:00:00"/>
    <d v="2021-09-26T00:00:00"/>
    <x v="42"/>
    <n v="0"/>
    <x v="0"/>
    <n v="0"/>
    <x v="1"/>
    <s v="30-39"/>
  </r>
  <r>
    <x v="44"/>
    <x v="44"/>
    <x v="1"/>
    <n v="45"/>
    <x v="6"/>
    <x v="5"/>
    <s v="R&amp;D"/>
    <d v="2023-05-28T00:00:00"/>
    <m/>
    <x v="43"/>
    <n v="0.2"/>
    <x v="1"/>
    <n v="2"/>
    <x v="0"/>
    <s v="40-49"/>
  </r>
  <r>
    <x v="45"/>
    <x v="45"/>
    <x v="1"/>
    <n v="50"/>
    <x v="5"/>
    <x v="0"/>
    <s v="Products"/>
    <d v="2023-11-15T00:00:00"/>
    <m/>
    <x v="44"/>
    <n v="0.09"/>
    <x v="1"/>
    <n v="2"/>
    <x v="3"/>
    <s v="50-59"/>
  </r>
  <r>
    <x v="46"/>
    <x v="46"/>
    <x v="1"/>
    <n v="46"/>
    <x v="5"/>
    <x v="0"/>
    <s v="R&amp;D"/>
    <d v="2020-01-21T00:00:00"/>
    <m/>
    <x v="45"/>
    <n v="0"/>
    <x v="1"/>
    <n v="6"/>
    <x v="0"/>
    <s v="40-49"/>
  </r>
  <r>
    <x v="47"/>
    <x v="47"/>
    <x v="1"/>
    <n v="45"/>
    <x v="7"/>
    <x v="0"/>
    <s v="Corporate"/>
    <d v="2023-10-07T00:00:00"/>
    <m/>
    <x v="46"/>
    <n v="0.4"/>
    <x v="1"/>
    <n v="2"/>
    <x v="0"/>
    <s v="40-49"/>
  </r>
  <r>
    <x v="48"/>
    <x v="48"/>
    <x v="1"/>
    <n v="29"/>
    <x v="6"/>
    <x v="5"/>
    <s v="Products"/>
    <d v="2020-04-19T00:00:00"/>
    <d v="2022-03-27T00:00:00"/>
    <x v="47"/>
    <n v="0"/>
    <x v="0"/>
    <n v="1"/>
    <x v="2"/>
    <s v="20-29"/>
  </r>
  <r>
    <x v="49"/>
    <x v="49"/>
    <x v="1"/>
    <n v="41"/>
    <x v="7"/>
    <x v="0"/>
    <s v="R&amp;D"/>
    <d v="2020-09-09T00:00:00"/>
    <d v="2024-08-10T00:00:00"/>
    <x v="48"/>
    <n v="0"/>
    <x v="0"/>
    <n v="3"/>
    <x v="0"/>
    <s v="40-49"/>
  </r>
  <r>
    <x v="50"/>
    <x v="50"/>
    <x v="0"/>
    <n v="47"/>
    <x v="7"/>
    <x v="0"/>
    <s v="Manufacturing"/>
    <d v="2023-11-03T00:00:00"/>
    <d v="2024-05-18T00:00:00"/>
    <x v="49"/>
    <n v="0.08"/>
    <x v="0"/>
    <n v="0"/>
    <x v="0"/>
    <s v="40-49"/>
  </r>
  <r>
    <x v="51"/>
    <x v="51"/>
    <x v="1"/>
    <n v="46"/>
    <x v="6"/>
    <x v="5"/>
    <s v="Manufacturing"/>
    <d v="2024-04-30T00:00:00"/>
    <m/>
    <x v="50"/>
    <n v="0"/>
    <x v="1"/>
    <n v="1"/>
    <x v="0"/>
    <s v="40-49"/>
  </r>
  <r>
    <x v="52"/>
    <x v="52"/>
    <x v="0"/>
    <n v="40"/>
    <x v="0"/>
    <x v="0"/>
    <s v="Manufacturing"/>
    <d v="2020-02-26T00:00:00"/>
    <m/>
    <x v="51"/>
    <n v="0.15"/>
    <x v="1"/>
    <n v="5"/>
    <x v="0"/>
    <s v="40-49"/>
  </r>
  <r>
    <x v="53"/>
    <x v="53"/>
    <x v="1"/>
    <n v="45"/>
    <x v="1"/>
    <x v="0"/>
    <s v="Manufacturing"/>
    <d v="2022-09-11T00:00:00"/>
    <m/>
    <x v="52"/>
    <n v="0"/>
    <x v="1"/>
    <n v="3"/>
    <x v="0"/>
    <s v="40-49"/>
  </r>
  <r>
    <x v="54"/>
    <x v="54"/>
    <x v="1"/>
    <n v="26"/>
    <x v="8"/>
    <x v="2"/>
    <s v="Manufacturing"/>
    <d v="2024-05-18T00:00:00"/>
    <m/>
    <x v="53"/>
    <n v="0.11"/>
    <x v="1"/>
    <n v="1"/>
    <x v="2"/>
    <s v="20-29"/>
  </r>
  <r>
    <x v="55"/>
    <x v="55"/>
    <x v="0"/>
    <n v="35"/>
    <x v="5"/>
    <x v="0"/>
    <s v="Corporate"/>
    <d v="2021-11-09T00:00:00"/>
    <m/>
    <x v="54"/>
    <n v="0"/>
    <x v="1"/>
    <n v="4"/>
    <x v="1"/>
    <s v="30-39"/>
  </r>
  <r>
    <x v="56"/>
    <x v="56"/>
    <x v="1"/>
    <n v="29"/>
    <x v="7"/>
    <x v="0"/>
    <s v="Products"/>
    <d v="2020-05-12T00:00:00"/>
    <d v="2022-12-12T00:00:00"/>
    <x v="55"/>
    <n v="0.28000000000000003"/>
    <x v="0"/>
    <n v="2"/>
    <x v="2"/>
    <s v="20-29"/>
  </r>
  <r>
    <x v="57"/>
    <x v="57"/>
    <x v="1"/>
    <n v="35"/>
    <x v="3"/>
    <x v="0"/>
    <s v="Manufacturing"/>
    <d v="2022-09-11T00:00:00"/>
    <m/>
    <x v="56"/>
    <n v="0.27"/>
    <x v="1"/>
    <n v="3"/>
    <x v="1"/>
    <s v="30-39"/>
  </r>
  <r>
    <x v="58"/>
    <x v="58"/>
    <x v="1"/>
    <n v="27"/>
    <x v="8"/>
    <x v="4"/>
    <s v="R&amp;D"/>
    <d v="2022-10-23T00:00:00"/>
    <m/>
    <x v="57"/>
    <n v="0"/>
    <x v="1"/>
    <n v="3"/>
    <x v="2"/>
    <s v="20-29"/>
  </r>
  <r>
    <x v="59"/>
    <x v="59"/>
    <x v="1"/>
    <n v="26"/>
    <x v="9"/>
    <x v="5"/>
    <s v="Manufacturing"/>
    <d v="2024-08-23T00:00:00"/>
    <m/>
    <x v="58"/>
    <n v="0.3"/>
    <x v="1"/>
    <n v="1"/>
    <x v="2"/>
    <s v="20-29"/>
  </r>
  <r>
    <x v="60"/>
    <x v="60"/>
    <x v="0"/>
    <n v="27"/>
    <x v="8"/>
    <x v="3"/>
    <s v="Products"/>
    <d v="2023-11-07T00:00:00"/>
    <m/>
    <x v="59"/>
    <n v="0"/>
    <x v="1"/>
    <n v="2"/>
    <x v="2"/>
    <s v="20-29"/>
  </r>
  <r>
    <x v="61"/>
    <x v="61"/>
    <x v="0"/>
    <n v="30"/>
    <x v="1"/>
    <x v="0"/>
    <s v="R&amp;D"/>
    <d v="2023-10-07T00:00:00"/>
    <m/>
    <x v="60"/>
    <n v="0"/>
    <x v="1"/>
    <n v="2"/>
    <x v="1"/>
    <s v="30-39"/>
  </r>
  <r>
    <x v="62"/>
    <x v="62"/>
    <x v="0"/>
    <n v="36"/>
    <x v="9"/>
    <x v="5"/>
    <s v="R&amp;D"/>
    <d v="2022-04-26T00:00:00"/>
    <m/>
    <x v="61"/>
    <n v="0"/>
    <x v="1"/>
    <n v="3"/>
    <x v="1"/>
    <s v="30-39"/>
  </r>
  <r>
    <x v="63"/>
    <x v="63"/>
    <x v="0"/>
    <n v="45"/>
    <x v="3"/>
    <x v="0"/>
    <s v="Corporate"/>
    <d v="2020-02-28T00:00:00"/>
    <d v="2023-12-22T00:00:00"/>
    <x v="62"/>
    <n v="0.1"/>
    <x v="0"/>
    <n v="3"/>
    <x v="0"/>
    <s v="40-49"/>
  </r>
  <r>
    <x v="64"/>
    <x v="64"/>
    <x v="0"/>
    <n v="37"/>
    <x v="0"/>
    <x v="0"/>
    <s v="Corporate"/>
    <d v="2020-10-12T00:00:00"/>
    <d v="2024-02-10T00:00:00"/>
    <x v="63"/>
    <n v="0.15"/>
    <x v="0"/>
    <n v="3"/>
    <x v="1"/>
    <s v="30-39"/>
  </r>
  <r>
    <x v="65"/>
    <x v="65"/>
    <x v="0"/>
    <n v="38"/>
    <x v="1"/>
    <x v="0"/>
    <s v="Products"/>
    <d v="2022-01-27T00:00:00"/>
    <d v="2024-05-18T00:00:00"/>
    <x v="64"/>
    <n v="0"/>
    <x v="0"/>
    <n v="2"/>
    <x v="1"/>
    <s v="30-39"/>
  </r>
  <r>
    <x v="66"/>
    <x v="66"/>
    <x v="0"/>
    <n v="45"/>
    <x v="2"/>
    <x v="1"/>
    <s v="Corporate"/>
    <d v="2024-02-15T00:00:00"/>
    <m/>
    <x v="65"/>
    <n v="0"/>
    <x v="1"/>
    <n v="1"/>
    <x v="0"/>
    <s v="40-49"/>
  </r>
  <r>
    <x v="67"/>
    <x v="67"/>
    <x v="0"/>
    <n v="51"/>
    <x v="3"/>
    <x v="0"/>
    <s v="Products"/>
    <d v="2024-02-10T00:00:00"/>
    <m/>
    <x v="66"/>
    <n v="0"/>
    <x v="1"/>
    <n v="1"/>
    <x v="3"/>
    <s v="50-59"/>
  </r>
  <r>
    <x v="68"/>
    <x v="68"/>
    <x v="1"/>
    <n v="56"/>
    <x v="2"/>
    <x v="1"/>
    <s v="R&amp;D"/>
    <d v="2020-12-18T00:00:00"/>
    <m/>
    <x v="67"/>
    <n v="0.13"/>
    <x v="1"/>
    <n v="5"/>
    <x v="3"/>
    <s v="50-59"/>
  </r>
  <r>
    <x v="69"/>
    <x v="69"/>
    <x v="0"/>
    <n v="53"/>
    <x v="0"/>
    <x v="0"/>
    <s v="Products"/>
    <d v="2020-01-07T00:00:00"/>
    <m/>
    <x v="68"/>
    <n v="0.3"/>
    <x v="1"/>
    <n v="6"/>
    <x v="3"/>
    <s v="50-59"/>
  </r>
  <r>
    <x v="70"/>
    <x v="70"/>
    <x v="0"/>
    <n v="47"/>
    <x v="0"/>
    <x v="0"/>
    <s v="R&amp;D"/>
    <d v="2023-10-07T00:00:00"/>
    <m/>
    <x v="69"/>
    <n v="0"/>
    <x v="1"/>
    <n v="2"/>
    <x v="0"/>
    <s v="40-49"/>
  </r>
  <r>
    <x v="71"/>
    <x v="71"/>
    <x v="0"/>
    <n v="36"/>
    <x v="4"/>
    <x v="2"/>
    <s v="R&amp;D"/>
    <d v="2021-10-18T00:00:00"/>
    <m/>
    <x v="70"/>
    <n v="0.08"/>
    <x v="1"/>
    <n v="4"/>
    <x v="1"/>
    <s v="30-39"/>
  </r>
  <r>
    <x v="72"/>
    <x v="72"/>
    <x v="0"/>
    <n v="41"/>
    <x v="4"/>
    <x v="3"/>
    <s v="Products"/>
    <d v="2022-08-18T00:00:00"/>
    <m/>
    <x v="71"/>
    <n v="0.3"/>
    <x v="1"/>
    <n v="3"/>
    <x v="0"/>
    <s v="40-49"/>
  </r>
  <r>
    <x v="73"/>
    <x v="73"/>
    <x v="0"/>
    <n v="30"/>
    <x v="4"/>
    <x v="4"/>
    <s v="Corporate"/>
    <d v="2024-05-28T00:00:00"/>
    <m/>
    <x v="72"/>
    <n v="0"/>
    <x v="1"/>
    <n v="1"/>
    <x v="1"/>
    <s v="30-39"/>
  </r>
  <r>
    <x v="74"/>
    <x v="74"/>
    <x v="1"/>
    <n v="30"/>
    <x v="5"/>
    <x v="0"/>
    <s v="Manufacturing"/>
    <d v="2022-09-07T00:00:00"/>
    <m/>
    <x v="73"/>
    <n v="0.09"/>
    <x v="1"/>
    <n v="3"/>
    <x v="1"/>
    <s v="30-39"/>
  </r>
  <r>
    <x v="1"/>
    <x v="75"/>
    <x v="0"/>
    <n v="38"/>
    <x v="4"/>
    <x v="3"/>
    <s v="Manufacturing"/>
    <d v="2024-01-03T00:00:00"/>
    <m/>
    <x v="74"/>
    <n v="0"/>
    <x v="1"/>
    <n v="2"/>
    <x v="1"/>
    <s v="30-39"/>
  </r>
  <r>
    <x v="75"/>
    <x v="76"/>
    <x v="1"/>
    <n v="28"/>
    <x v="6"/>
    <x v="5"/>
    <s v="R&amp;D"/>
    <d v="2023-05-28T00:00:00"/>
    <m/>
    <x v="75"/>
    <n v="0.16"/>
    <x v="1"/>
    <n v="2"/>
    <x v="2"/>
    <s v="20-29"/>
  </r>
  <r>
    <x v="76"/>
    <x v="77"/>
    <x v="0"/>
    <n v="39"/>
    <x v="5"/>
    <x v="0"/>
    <s v="Products"/>
    <d v="2023-11-15T00:00:00"/>
    <d v="2024-08-10T00:00:00"/>
    <x v="76"/>
    <n v="0"/>
    <x v="0"/>
    <n v="0"/>
    <x v="1"/>
    <s v="30-39"/>
  </r>
  <r>
    <x v="77"/>
    <x v="78"/>
    <x v="1"/>
    <n v="31"/>
    <x v="5"/>
    <x v="0"/>
    <s v="R&amp;D"/>
    <d v="2020-01-21T00:00:00"/>
    <d v="2024-02-10T00:00:00"/>
    <x v="77"/>
    <n v="0.1"/>
    <x v="0"/>
    <n v="4"/>
    <x v="1"/>
    <s v="30-39"/>
  </r>
  <r>
    <x v="78"/>
    <x v="79"/>
    <x v="1"/>
    <n v="45"/>
    <x v="7"/>
    <x v="0"/>
    <s v="Corporate"/>
    <d v="2023-10-07T00:00:00"/>
    <m/>
    <x v="78"/>
    <n v="0"/>
    <x v="1"/>
    <n v="2"/>
    <x v="0"/>
    <s v="40-49"/>
  </r>
  <r>
    <x v="79"/>
    <x v="80"/>
    <x v="1"/>
    <n v="50"/>
    <x v="6"/>
    <x v="5"/>
    <s v="Products"/>
    <d v="2024-04-19T00:00:00"/>
    <m/>
    <x v="79"/>
    <n v="0"/>
    <x v="1"/>
    <n v="1"/>
    <x v="3"/>
    <s v="50-59"/>
  </r>
  <r>
    <x v="80"/>
    <x v="81"/>
    <x v="0"/>
    <n v="36"/>
    <x v="7"/>
    <x v="0"/>
    <s v="R&amp;D"/>
    <d v="2020-09-09T00:00:00"/>
    <m/>
    <x v="80"/>
    <n v="0"/>
    <x v="1"/>
    <n v="5"/>
    <x v="1"/>
    <s v="30-39"/>
  </r>
  <r>
    <x v="81"/>
    <x v="82"/>
    <x v="1"/>
    <n v="45"/>
    <x v="7"/>
    <x v="0"/>
    <s v="Manufacturing"/>
    <d v="2023-11-03T00:00:00"/>
    <m/>
    <x v="81"/>
    <n v="0.26"/>
    <x v="1"/>
    <n v="2"/>
    <x v="0"/>
    <s v="40-49"/>
  </r>
  <r>
    <x v="2"/>
    <x v="83"/>
    <x v="1"/>
    <n v="29"/>
    <x v="6"/>
    <x v="5"/>
    <s v="Manufacturing"/>
    <d v="2024-04-30T00:00:00"/>
    <m/>
    <x v="82"/>
    <n v="0"/>
    <x v="1"/>
    <n v="1"/>
    <x v="2"/>
    <s v="20-29"/>
  </r>
  <r>
    <x v="82"/>
    <x v="84"/>
    <x v="1"/>
    <n v="41"/>
    <x v="0"/>
    <x v="0"/>
    <s v="Manufacturing"/>
    <d v="2020-02-26T00:00:00"/>
    <d v="2024-02-10T00:00:00"/>
    <x v="83"/>
    <n v="0.15"/>
    <x v="0"/>
    <n v="3"/>
    <x v="0"/>
    <s v="40-49"/>
  </r>
  <r>
    <x v="83"/>
    <x v="85"/>
    <x v="1"/>
    <n v="47"/>
    <x v="1"/>
    <x v="0"/>
    <s v="Manufacturing"/>
    <d v="2022-09-11T00:00:00"/>
    <m/>
    <x v="84"/>
    <n v="0"/>
    <x v="1"/>
    <n v="3"/>
    <x v="0"/>
    <s v="40-49"/>
  </r>
  <r>
    <x v="84"/>
    <x v="86"/>
    <x v="0"/>
    <n v="38"/>
    <x v="8"/>
    <x v="2"/>
    <s v="Manufacturing"/>
    <d v="2024-05-18T00:00:00"/>
    <m/>
    <x v="85"/>
    <n v="0.21"/>
    <x v="1"/>
    <n v="1"/>
    <x v="1"/>
    <s v="30-39"/>
  </r>
  <r>
    <x v="85"/>
    <x v="87"/>
    <x v="0"/>
    <n v="40"/>
    <x v="5"/>
    <x v="0"/>
    <s v="Corporate"/>
    <d v="2021-11-09T00:00:00"/>
    <m/>
    <x v="86"/>
    <n v="0.37"/>
    <x v="1"/>
    <n v="4"/>
    <x v="0"/>
    <s v="40-49"/>
  </r>
  <r>
    <x v="86"/>
    <x v="88"/>
    <x v="1"/>
    <n v="45"/>
    <x v="7"/>
    <x v="0"/>
    <s v="Products"/>
    <d v="2020-05-12T00:00:00"/>
    <d v="2024-02-10T00:00:00"/>
    <x v="87"/>
    <n v="0.15"/>
    <x v="0"/>
    <n v="3"/>
    <x v="0"/>
    <s v="40-49"/>
  </r>
  <r>
    <x v="87"/>
    <x v="89"/>
    <x v="1"/>
    <n v="26"/>
    <x v="3"/>
    <x v="0"/>
    <s v="Manufacturing"/>
    <d v="2022-09-11T00:00:00"/>
    <m/>
    <x v="88"/>
    <n v="0.14000000000000001"/>
    <x v="1"/>
    <n v="3"/>
    <x v="2"/>
    <s v="20-29"/>
  </r>
  <r>
    <x v="88"/>
    <x v="90"/>
    <x v="1"/>
    <n v="35"/>
    <x v="8"/>
    <x v="4"/>
    <s v="R&amp;D"/>
    <d v="2022-10-23T00:00:00"/>
    <m/>
    <x v="89"/>
    <n v="0"/>
    <x v="1"/>
    <n v="3"/>
    <x v="1"/>
    <s v="30-39"/>
  </r>
  <r>
    <x v="89"/>
    <x v="91"/>
    <x v="1"/>
    <n v="29"/>
    <x v="9"/>
    <x v="5"/>
    <s v="Manufacturing"/>
    <d v="2024-08-23T00:00:00"/>
    <m/>
    <x v="90"/>
    <n v="0"/>
    <x v="1"/>
    <n v="1"/>
    <x v="2"/>
    <s v="20-29"/>
  </r>
  <r>
    <x v="90"/>
    <x v="92"/>
    <x v="0"/>
    <n v="35"/>
    <x v="8"/>
    <x v="3"/>
    <s v="Products"/>
    <d v="2023-11-07T00:00:00"/>
    <m/>
    <x v="91"/>
    <n v="7.0000000000000007E-2"/>
    <x v="1"/>
    <n v="2"/>
    <x v="1"/>
    <s v="30-39"/>
  </r>
  <r>
    <x v="91"/>
    <x v="93"/>
    <x v="1"/>
    <n v="27"/>
    <x v="1"/>
    <x v="0"/>
    <s v="R&amp;D"/>
    <d v="2023-10-07T00:00:00"/>
    <m/>
    <x v="92"/>
    <n v="0"/>
    <x v="1"/>
    <n v="2"/>
    <x v="2"/>
    <s v="20-29"/>
  </r>
  <r>
    <x v="92"/>
    <x v="94"/>
    <x v="0"/>
    <n v="26"/>
    <x v="9"/>
    <x v="5"/>
    <s v="R&amp;D"/>
    <d v="2022-04-26T00:00:00"/>
    <m/>
    <x v="93"/>
    <n v="0"/>
    <x v="1"/>
    <n v="3"/>
    <x v="2"/>
    <s v="20-29"/>
  </r>
  <r>
    <x v="93"/>
    <x v="95"/>
    <x v="0"/>
    <n v="27"/>
    <x v="3"/>
    <x v="0"/>
    <s v="Corporate"/>
    <d v="2020-02-28T00:00:00"/>
    <d v="2024-02-10T00:00:00"/>
    <x v="94"/>
    <n v="0"/>
    <x v="0"/>
    <n v="3"/>
    <x v="2"/>
    <s v="20-29"/>
  </r>
  <r>
    <x v="94"/>
    <x v="96"/>
    <x v="0"/>
    <n v="30"/>
    <x v="0"/>
    <x v="0"/>
    <s v="Corporate"/>
    <d v="2020-10-12T00:00:00"/>
    <m/>
    <x v="95"/>
    <n v="0.1"/>
    <x v="1"/>
    <n v="5"/>
    <x v="1"/>
    <s v="30-39"/>
  </r>
  <r>
    <x v="95"/>
    <x v="97"/>
    <x v="0"/>
    <n v="36"/>
    <x v="1"/>
    <x v="0"/>
    <s v="Products"/>
    <d v="2022-01-27T00:00:00"/>
    <m/>
    <x v="96"/>
    <n v="0"/>
    <x v="1"/>
    <n v="4"/>
    <x v="1"/>
    <s v="30-39"/>
  </r>
  <r>
    <x v="96"/>
    <x v="98"/>
    <x v="0"/>
    <n v="45"/>
    <x v="2"/>
    <x v="1"/>
    <s v="Corporate"/>
    <d v="2024-02-15T00:00:00"/>
    <m/>
    <x v="97"/>
    <n v="0"/>
    <x v="1"/>
    <n v="1"/>
    <x v="0"/>
    <s v="40-49"/>
  </r>
  <r>
    <x v="97"/>
    <x v="99"/>
    <x v="0"/>
    <n v="37"/>
    <x v="3"/>
    <x v="0"/>
    <s v="Products"/>
    <d v="2024-02-10T00:00:00"/>
    <m/>
    <x v="98"/>
    <n v="0"/>
    <x v="1"/>
    <n v="1"/>
    <x v="1"/>
    <s v="30-39"/>
  </r>
  <r>
    <x v="98"/>
    <x v="100"/>
    <x v="0"/>
    <n v="38"/>
    <x v="2"/>
    <x v="1"/>
    <s v="R&amp;D"/>
    <d v="2020-12-18T00:00:00"/>
    <m/>
    <x v="99"/>
    <n v="0"/>
    <x v="1"/>
    <n v="5"/>
    <x v="1"/>
    <s v="30-39"/>
  </r>
  <r>
    <x v="99"/>
    <x v="101"/>
    <x v="1"/>
    <n v="45"/>
    <x v="0"/>
    <x v="0"/>
    <s v="Products"/>
    <d v="2020-01-07T00:00:00"/>
    <m/>
    <x v="100"/>
    <n v="0"/>
    <x v="1"/>
    <n v="6"/>
    <x v="0"/>
    <s v="40-49"/>
  </r>
  <r>
    <x v="100"/>
    <x v="102"/>
    <x v="0"/>
    <n v="51"/>
    <x v="0"/>
    <x v="0"/>
    <s v="R&amp;D"/>
    <d v="2023-10-07T00:00:00"/>
    <m/>
    <x v="101"/>
    <n v="0.33"/>
    <x v="1"/>
    <n v="2"/>
    <x v="3"/>
    <s v="50-59"/>
  </r>
  <r>
    <x v="101"/>
    <x v="103"/>
    <x v="1"/>
    <n v="56"/>
    <x v="4"/>
    <x v="2"/>
    <s v="R&amp;D"/>
    <d v="2021-10-18T00:00:00"/>
    <d v="2023-01-05T00:00:00"/>
    <x v="102"/>
    <n v="0.12"/>
    <x v="0"/>
    <n v="1"/>
    <x v="3"/>
    <s v="50-59"/>
  </r>
  <r>
    <x v="102"/>
    <x v="104"/>
    <x v="1"/>
    <n v="53"/>
    <x v="4"/>
    <x v="3"/>
    <s v="Products"/>
    <d v="2022-08-18T00:00:00"/>
    <m/>
    <x v="103"/>
    <n v="0"/>
    <x v="1"/>
    <n v="3"/>
    <x v="3"/>
    <s v="50-59"/>
  </r>
  <r>
    <x v="103"/>
    <x v="105"/>
    <x v="1"/>
    <n v="47"/>
    <x v="4"/>
    <x v="4"/>
    <s v="Corporate"/>
    <d v="2024-05-28T00:00:00"/>
    <m/>
    <x v="104"/>
    <n v="0.28000000000000003"/>
    <x v="1"/>
    <n v="1"/>
    <x v="0"/>
    <s v="40-49"/>
  </r>
  <r>
    <x v="10"/>
    <x v="106"/>
    <x v="0"/>
    <n v="36"/>
    <x v="5"/>
    <x v="0"/>
    <s v="Manufacturing"/>
    <d v="2022-09-07T00:00:00"/>
    <m/>
    <x v="105"/>
    <n v="0"/>
    <x v="1"/>
    <n v="3"/>
    <x v="1"/>
    <s v="30-39"/>
  </r>
  <r>
    <x v="104"/>
    <x v="107"/>
    <x v="1"/>
    <n v="41"/>
    <x v="4"/>
    <x v="3"/>
    <s v="Manufacturing"/>
    <d v="2024-01-03T00:00:00"/>
    <m/>
    <x v="106"/>
    <n v="0.4"/>
    <x v="1"/>
    <n v="2"/>
    <x v="0"/>
    <s v="40-49"/>
  </r>
  <r>
    <x v="105"/>
    <x v="108"/>
    <x v="0"/>
    <n v="30"/>
    <x v="6"/>
    <x v="5"/>
    <s v="R&amp;D"/>
    <d v="2023-05-28T00:00:00"/>
    <m/>
    <x v="107"/>
    <n v="0"/>
    <x v="1"/>
    <n v="2"/>
    <x v="1"/>
    <s v="30-39"/>
  </r>
  <r>
    <x v="106"/>
    <x v="109"/>
    <x v="1"/>
    <n v="30"/>
    <x v="5"/>
    <x v="0"/>
    <s v="Products"/>
    <d v="2023-11-15T00:00:00"/>
    <m/>
    <x v="108"/>
    <n v="0.37"/>
    <x v="1"/>
    <n v="2"/>
    <x v="1"/>
    <s v="30-39"/>
  </r>
  <r>
    <x v="107"/>
    <x v="110"/>
    <x v="0"/>
    <n v="38"/>
    <x v="5"/>
    <x v="0"/>
    <s v="R&amp;D"/>
    <d v="2020-01-21T00:00:00"/>
    <m/>
    <x v="109"/>
    <n v="0.3"/>
    <x v="1"/>
    <n v="6"/>
    <x v="1"/>
    <s v="30-39"/>
  </r>
  <r>
    <x v="108"/>
    <x v="111"/>
    <x v="1"/>
    <n v="28"/>
    <x v="7"/>
    <x v="0"/>
    <s v="Corporate"/>
    <d v="2023-10-07T00:00:00"/>
    <m/>
    <x v="110"/>
    <n v="0"/>
    <x v="1"/>
    <n v="2"/>
    <x v="2"/>
    <s v="20-29"/>
  </r>
  <r>
    <x v="109"/>
    <x v="112"/>
    <x v="0"/>
    <n v="39"/>
    <x v="6"/>
    <x v="5"/>
    <s v="Products"/>
    <d v="2024-04-19T00:00:00"/>
    <m/>
    <x v="111"/>
    <n v="0"/>
    <x v="1"/>
    <n v="1"/>
    <x v="1"/>
    <s v="30-39"/>
  </r>
  <r>
    <x v="110"/>
    <x v="113"/>
    <x v="1"/>
    <n v="31"/>
    <x v="7"/>
    <x v="0"/>
    <s v="R&amp;D"/>
    <d v="2020-09-09T00:00:00"/>
    <m/>
    <x v="112"/>
    <n v="0"/>
    <x v="1"/>
    <n v="5"/>
    <x v="1"/>
    <s v="30-39"/>
  </r>
  <r>
    <x v="111"/>
    <x v="114"/>
    <x v="1"/>
    <n v="45"/>
    <x v="7"/>
    <x v="0"/>
    <s v="Manufacturing"/>
    <d v="2023-11-03T00:00:00"/>
    <m/>
    <x v="113"/>
    <n v="0.3"/>
    <x v="1"/>
    <n v="2"/>
    <x v="0"/>
    <s v="40-49"/>
  </r>
  <r>
    <x v="112"/>
    <x v="115"/>
    <x v="0"/>
    <n v="50"/>
    <x v="6"/>
    <x v="5"/>
    <s v="Manufacturing"/>
    <d v="2024-04-30T00:00:00"/>
    <m/>
    <x v="114"/>
    <n v="0.33"/>
    <x v="1"/>
    <n v="1"/>
    <x v="3"/>
    <s v="50-59"/>
  </r>
  <r>
    <x v="113"/>
    <x v="116"/>
    <x v="0"/>
    <n v="36"/>
    <x v="0"/>
    <x v="0"/>
    <s v="Manufacturing"/>
    <d v="2020-02-26T00:00:00"/>
    <m/>
    <x v="115"/>
    <n v="0"/>
    <x v="1"/>
    <n v="5"/>
    <x v="1"/>
    <s v="30-39"/>
  </r>
  <r>
    <x v="114"/>
    <x v="117"/>
    <x v="0"/>
    <n v="45"/>
    <x v="1"/>
    <x v="0"/>
    <s v="Manufacturing"/>
    <d v="2022-09-11T00:00:00"/>
    <m/>
    <x v="116"/>
    <n v="0"/>
    <x v="1"/>
    <n v="3"/>
    <x v="0"/>
    <s v="40-49"/>
  </r>
  <r>
    <x v="115"/>
    <x v="118"/>
    <x v="1"/>
    <n v="29"/>
    <x v="8"/>
    <x v="2"/>
    <s v="Manufacturing"/>
    <d v="2024-05-18T00:00:00"/>
    <m/>
    <x v="117"/>
    <n v="0.08"/>
    <x v="1"/>
    <n v="1"/>
    <x v="2"/>
    <s v="20-29"/>
  </r>
  <r>
    <x v="116"/>
    <x v="119"/>
    <x v="1"/>
    <n v="41"/>
    <x v="5"/>
    <x v="0"/>
    <s v="Corporate"/>
    <d v="2021-11-09T00:00:00"/>
    <m/>
    <x v="118"/>
    <n v="0.14000000000000001"/>
    <x v="1"/>
    <n v="4"/>
    <x v="0"/>
    <s v="40-49"/>
  </r>
  <r>
    <x v="3"/>
    <x v="120"/>
    <x v="0"/>
    <n v="47"/>
    <x v="7"/>
    <x v="0"/>
    <s v="Products"/>
    <d v="2020-05-12T00:00:00"/>
    <m/>
    <x v="119"/>
    <n v="0"/>
    <x v="1"/>
    <n v="5"/>
    <x v="0"/>
    <s v="40-49"/>
  </r>
  <r>
    <x v="44"/>
    <x v="121"/>
    <x v="0"/>
    <n v="38"/>
    <x v="3"/>
    <x v="0"/>
    <s v="Manufacturing"/>
    <d v="2022-09-11T00:00:00"/>
    <m/>
    <x v="120"/>
    <n v="0"/>
    <x v="1"/>
    <n v="3"/>
    <x v="1"/>
    <s v="30-39"/>
  </r>
  <r>
    <x v="117"/>
    <x v="122"/>
    <x v="0"/>
    <n v="40"/>
    <x v="8"/>
    <x v="4"/>
    <s v="R&amp;D"/>
    <d v="2022-10-23T00:00:00"/>
    <m/>
    <x v="121"/>
    <n v="0"/>
    <x v="1"/>
    <n v="3"/>
    <x v="0"/>
    <s v="40-49"/>
  </r>
  <r>
    <x v="118"/>
    <x v="123"/>
    <x v="1"/>
    <n v="45"/>
    <x v="9"/>
    <x v="5"/>
    <s v="Manufacturing"/>
    <d v="2024-08-23T00:00:00"/>
    <m/>
    <x v="122"/>
    <n v="0"/>
    <x v="1"/>
    <n v="1"/>
    <x v="0"/>
    <s v="40-49"/>
  </r>
  <r>
    <x v="119"/>
    <x v="124"/>
    <x v="1"/>
    <n v="26"/>
    <x v="8"/>
    <x v="3"/>
    <s v="Products"/>
    <d v="2023-11-07T00:00:00"/>
    <m/>
    <x v="123"/>
    <n v="0"/>
    <x v="1"/>
    <n v="2"/>
    <x v="2"/>
    <s v="20-29"/>
  </r>
  <r>
    <x v="120"/>
    <x v="125"/>
    <x v="0"/>
    <n v="35"/>
    <x v="1"/>
    <x v="0"/>
    <s v="R&amp;D"/>
    <d v="2023-10-07T00:00:00"/>
    <m/>
    <x v="124"/>
    <n v="0"/>
    <x v="1"/>
    <n v="2"/>
    <x v="1"/>
    <s v="30-39"/>
  </r>
  <r>
    <x v="121"/>
    <x v="126"/>
    <x v="1"/>
    <n v="29"/>
    <x v="9"/>
    <x v="5"/>
    <s v="R&amp;D"/>
    <d v="2022-04-26T00:00:00"/>
    <m/>
    <x v="125"/>
    <n v="0"/>
    <x v="1"/>
    <n v="3"/>
    <x v="2"/>
    <s v="20-29"/>
  </r>
  <r>
    <x v="122"/>
    <x v="127"/>
    <x v="0"/>
    <n v="35"/>
    <x v="3"/>
    <x v="0"/>
    <s v="Corporate"/>
    <d v="2020-02-28T00:00:00"/>
    <m/>
    <x v="126"/>
    <n v="0"/>
    <x v="1"/>
    <n v="5"/>
    <x v="1"/>
    <s v="30-39"/>
  </r>
  <r>
    <x v="123"/>
    <x v="128"/>
    <x v="0"/>
    <n v="27"/>
    <x v="0"/>
    <x v="0"/>
    <s v="Corporate"/>
    <d v="2020-10-12T00:00:00"/>
    <m/>
    <x v="127"/>
    <n v="0"/>
    <x v="1"/>
    <n v="5"/>
    <x v="2"/>
    <s v="20-29"/>
  </r>
  <r>
    <x v="124"/>
    <x v="129"/>
    <x v="0"/>
    <n v="26"/>
    <x v="1"/>
    <x v="0"/>
    <s v="Products"/>
    <d v="2022-01-27T00:00:00"/>
    <m/>
    <x v="128"/>
    <n v="0.1"/>
    <x v="1"/>
    <n v="4"/>
    <x v="2"/>
    <s v="20-29"/>
  </r>
  <r>
    <x v="125"/>
    <x v="130"/>
    <x v="0"/>
    <n v="27"/>
    <x v="2"/>
    <x v="1"/>
    <s v="Corporate"/>
    <d v="2024-02-15T00:00:00"/>
    <m/>
    <x v="129"/>
    <n v="0.33"/>
    <x v="1"/>
    <n v="1"/>
    <x v="2"/>
    <s v="20-29"/>
  </r>
  <r>
    <x v="52"/>
    <x v="131"/>
    <x v="1"/>
    <n v="30"/>
    <x v="3"/>
    <x v="0"/>
    <s v="Products"/>
    <d v="2024-02-10T00:00:00"/>
    <m/>
    <x v="130"/>
    <n v="0.05"/>
    <x v="1"/>
    <n v="1"/>
    <x v="1"/>
    <s v="30-39"/>
  </r>
  <r>
    <x v="61"/>
    <x v="132"/>
    <x v="0"/>
    <n v="36"/>
    <x v="2"/>
    <x v="1"/>
    <s v="R&amp;D"/>
    <d v="2020-12-18T00:00:00"/>
    <d v="2023-12-13T00:00:00"/>
    <x v="131"/>
    <n v="0"/>
    <x v="0"/>
    <n v="2"/>
    <x v="1"/>
    <s v="30-39"/>
  </r>
  <r>
    <x v="126"/>
    <x v="133"/>
    <x v="1"/>
    <n v="45"/>
    <x v="0"/>
    <x v="0"/>
    <s v="Products"/>
    <d v="2020-01-07T00:00:00"/>
    <m/>
    <x v="132"/>
    <n v="0.15"/>
    <x v="1"/>
    <n v="6"/>
    <x v="0"/>
    <s v="40-49"/>
  </r>
  <r>
    <x v="127"/>
    <x v="134"/>
    <x v="0"/>
    <n v="37"/>
    <x v="0"/>
    <x v="0"/>
    <s v="R&amp;D"/>
    <d v="2023-10-07T00:00:00"/>
    <m/>
    <x v="133"/>
    <n v="0"/>
    <x v="1"/>
    <n v="2"/>
    <x v="1"/>
    <s v="30-39"/>
  </r>
  <r>
    <x v="128"/>
    <x v="135"/>
    <x v="0"/>
    <n v="38"/>
    <x v="4"/>
    <x v="2"/>
    <s v="R&amp;D"/>
    <d v="2021-10-18T00:00:00"/>
    <m/>
    <x v="134"/>
    <n v="0"/>
    <x v="1"/>
    <n v="4"/>
    <x v="1"/>
    <s v="30-39"/>
  </r>
  <r>
    <x v="129"/>
    <x v="136"/>
    <x v="1"/>
    <n v="45"/>
    <x v="4"/>
    <x v="3"/>
    <s v="Products"/>
    <d v="2022-08-18T00:00:00"/>
    <m/>
    <x v="135"/>
    <n v="0"/>
    <x v="1"/>
    <n v="3"/>
    <x v="0"/>
    <s v="40-49"/>
  </r>
  <r>
    <x v="130"/>
    <x v="137"/>
    <x v="1"/>
    <n v="51"/>
    <x v="4"/>
    <x v="4"/>
    <s v="Corporate"/>
    <d v="2024-05-28T00:00:00"/>
    <m/>
    <x v="136"/>
    <n v="0.31"/>
    <x v="1"/>
    <n v="1"/>
    <x v="3"/>
    <s v="50-59"/>
  </r>
  <r>
    <x v="131"/>
    <x v="138"/>
    <x v="0"/>
    <n v="56"/>
    <x v="5"/>
    <x v="0"/>
    <s v="Manufacturing"/>
    <d v="2022-09-07T00:00:00"/>
    <m/>
    <x v="137"/>
    <n v="0.28999999999999998"/>
    <x v="1"/>
    <n v="3"/>
    <x v="3"/>
    <s v="50-59"/>
  </r>
  <r>
    <x v="132"/>
    <x v="139"/>
    <x v="1"/>
    <n v="53"/>
    <x v="4"/>
    <x v="3"/>
    <s v="Manufacturing"/>
    <d v="2024-01-03T00:00:00"/>
    <m/>
    <x v="138"/>
    <n v="0.15"/>
    <x v="1"/>
    <n v="2"/>
    <x v="3"/>
    <s v="50-59"/>
  </r>
  <r>
    <x v="4"/>
    <x v="140"/>
    <x v="0"/>
    <n v="47"/>
    <x v="6"/>
    <x v="5"/>
    <s v="R&amp;D"/>
    <d v="2023-05-28T00:00:00"/>
    <m/>
    <x v="139"/>
    <n v="0"/>
    <x v="1"/>
    <n v="2"/>
    <x v="0"/>
    <s v="40-49"/>
  </r>
  <r>
    <x v="133"/>
    <x v="141"/>
    <x v="0"/>
    <n v="36"/>
    <x v="5"/>
    <x v="0"/>
    <s v="Products"/>
    <d v="2023-11-15T00:00:00"/>
    <m/>
    <x v="140"/>
    <n v="0.4"/>
    <x v="1"/>
    <n v="2"/>
    <x v="1"/>
    <s v="30-39"/>
  </r>
  <r>
    <x v="134"/>
    <x v="142"/>
    <x v="1"/>
    <n v="41"/>
    <x v="5"/>
    <x v="0"/>
    <s v="R&amp;D"/>
    <d v="2020-01-21T00:00:00"/>
    <m/>
    <x v="141"/>
    <n v="0.14000000000000001"/>
    <x v="1"/>
    <n v="6"/>
    <x v="0"/>
    <s v="40-49"/>
  </r>
  <r>
    <x v="135"/>
    <x v="143"/>
    <x v="1"/>
    <n v="30"/>
    <x v="7"/>
    <x v="0"/>
    <s v="Corporate"/>
    <d v="2023-10-07T00:00:00"/>
    <m/>
    <x v="142"/>
    <n v="0"/>
    <x v="1"/>
    <n v="2"/>
    <x v="1"/>
    <s v="30-39"/>
  </r>
  <r>
    <x v="136"/>
    <x v="144"/>
    <x v="1"/>
    <n v="30"/>
    <x v="6"/>
    <x v="5"/>
    <s v="Products"/>
    <d v="2024-04-19T00:00:00"/>
    <m/>
    <x v="143"/>
    <n v="0"/>
    <x v="1"/>
    <n v="1"/>
    <x v="1"/>
    <s v="30-39"/>
  </r>
  <r>
    <x v="137"/>
    <x v="145"/>
    <x v="0"/>
    <n v="38"/>
    <x v="7"/>
    <x v="0"/>
    <s v="R&amp;D"/>
    <d v="2020-09-09T00:00:00"/>
    <m/>
    <x v="144"/>
    <n v="0.39"/>
    <x v="1"/>
    <n v="5"/>
    <x v="1"/>
    <s v="30-39"/>
  </r>
  <r>
    <x v="138"/>
    <x v="146"/>
    <x v="1"/>
    <n v="28"/>
    <x v="7"/>
    <x v="0"/>
    <s v="Manufacturing"/>
    <d v="2023-11-03T00:00:00"/>
    <m/>
    <x v="145"/>
    <n v="0.21"/>
    <x v="1"/>
    <n v="2"/>
    <x v="2"/>
    <s v="20-29"/>
  </r>
  <r>
    <x v="139"/>
    <x v="147"/>
    <x v="0"/>
    <n v="39"/>
    <x v="6"/>
    <x v="5"/>
    <s v="Manufacturing"/>
    <d v="2024-04-30T00:00:00"/>
    <m/>
    <x v="146"/>
    <n v="0.1"/>
    <x v="1"/>
    <n v="1"/>
    <x v="1"/>
    <s v="30-39"/>
  </r>
  <r>
    <x v="140"/>
    <x v="148"/>
    <x v="1"/>
    <n v="31"/>
    <x v="0"/>
    <x v="0"/>
    <s v="Manufacturing"/>
    <d v="2020-02-26T00:00:00"/>
    <m/>
    <x v="147"/>
    <n v="0.05"/>
    <x v="1"/>
    <n v="5"/>
    <x v="1"/>
    <s v="30-39"/>
  </r>
  <r>
    <x v="141"/>
    <x v="149"/>
    <x v="0"/>
    <n v="45"/>
    <x v="1"/>
    <x v="0"/>
    <s v="Manufacturing"/>
    <d v="2022-09-11T00:00:00"/>
    <m/>
    <x v="148"/>
    <n v="0.1"/>
    <x v="1"/>
    <n v="3"/>
    <x v="0"/>
    <s v="40-49"/>
  </r>
  <r>
    <x v="142"/>
    <x v="150"/>
    <x v="1"/>
    <n v="50"/>
    <x v="8"/>
    <x v="2"/>
    <s v="Manufacturing"/>
    <d v="2024-05-18T00:00:00"/>
    <m/>
    <x v="149"/>
    <n v="0.31"/>
    <x v="1"/>
    <n v="1"/>
    <x v="3"/>
    <s v="50-59"/>
  </r>
  <r>
    <x v="143"/>
    <x v="151"/>
    <x v="0"/>
    <n v="36"/>
    <x v="5"/>
    <x v="0"/>
    <s v="Corporate"/>
    <d v="2021-11-09T00:00:00"/>
    <m/>
    <x v="150"/>
    <n v="0"/>
    <x v="1"/>
    <n v="4"/>
    <x v="1"/>
    <s v="30-39"/>
  </r>
  <r>
    <x v="144"/>
    <x v="152"/>
    <x v="0"/>
    <n v="45"/>
    <x v="7"/>
    <x v="0"/>
    <s v="Products"/>
    <d v="2020-05-12T00:00:00"/>
    <m/>
    <x v="151"/>
    <n v="0.08"/>
    <x v="1"/>
    <n v="5"/>
    <x v="0"/>
    <s v="40-49"/>
  </r>
  <r>
    <x v="145"/>
    <x v="153"/>
    <x v="1"/>
    <n v="29"/>
    <x v="3"/>
    <x v="0"/>
    <s v="Manufacturing"/>
    <d v="2022-09-11T00:00:00"/>
    <m/>
    <x v="152"/>
    <n v="0"/>
    <x v="1"/>
    <n v="3"/>
    <x v="2"/>
    <s v="20-29"/>
  </r>
  <r>
    <x v="146"/>
    <x v="154"/>
    <x v="1"/>
    <n v="41"/>
    <x v="8"/>
    <x v="4"/>
    <s v="R&amp;D"/>
    <d v="2022-10-23T00:00:00"/>
    <m/>
    <x v="153"/>
    <n v="0"/>
    <x v="1"/>
    <n v="3"/>
    <x v="0"/>
    <s v="40-49"/>
  </r>
  <r>
    <x v="147"/>
    <x v="155"/>
    <x v="1"/>
    <n v="47"/>
    <x v="9"/>
    <x v="5"/>
    <s v="Manufacturing"/>
    <d v="2024-08-23T00:00:00"/>
    <m/>
    <x v="154"/>
    <n v="0"/>
    <x v="1"/>
    <n v="1"/>
    <x v="0"/>
    <s v="40-49"/>
  </r>
  <r>
    <x v="148"/>
    <x v="156"/>
    <x v="0"/>
    <n v="38"/>
    <x v="8"/>
    <x v="3"/>
    <s v="Products"/>
    <d v="2023-11-07T00:00:00"/>
    <m/>
    <x v="155"/>
    <n v="0"/>
    <x v="1"/>
    <n v="2"/>
    <x v="1"/>
    <s v="30-39"/>
  </r>
  <r>
    <x v="149"/>
    <x v="157"/>
    <x v="0"/>
    <n v="40"/>
    <x v="1"/>
    <x v="0"/>
    <s v="R&amp;D"/>
    <d v="2023-10-07T00:00:00"/>
    <m/>
    <x v="156"/>
    <n v="0"/>
    <x v="1"/>
    <n v="2"/>
    <x v="0"/>
    <s v="40-49"/>
  </r>
  <r>
    <x v="150"/>
    <x v="158"/>
    <x v="1"/>
    <n v="45"/>
    <x v="9"/>
    <x v="5"/>
    <s v="R&amp;D"/>
    <d v="2022-04-26T00:00:00"/>
    <m/>
    <x v="157"/>
    <n v="0"/>
    <x v="1"/>
    <n v="3"/>
    <x v="0"/>
    <s v="40-49"/>
  </r>
  <r>
    <x v="151"/>
    <x v="159"/>
    <x v="0"/>
    <n v="26"/>
    <x v="3"/>
    <x v="0"/>
    <s v="Corporate"/>
    <d v="2020-02-28T00:00:00"/>
    <m/>
    <x v="158"/>
    <n v="0"/>
    <x v="1"/>
    <n v="5"/>
    <x v="2"/>
    <s v="20-29"/>
  </r>
  <r>
    <x v="152"/>
    <x v="160"/>
    <x v="0"/>
    <n v="35"/>
    <x v="0"/>
    <x v="0"/>
    <s v="Corporate"/>
    <d v="2020-10-12T00:00:00"/>
    <m/>
    <x v="159"/>
    <n v="0"/>
    <x v="1"/>
    <n v="5"/>
    <x v="1"/>
    <s v="30-39"/>
  </r>
  <r>
    <x v="153"/>
    <x v="161"/>
    <x v="0"/>
    <n v="29"/>
    <x v="1"/>
    <x v="0"/>
    <s v="Products"/>
    <d v="2022-01-27T00:00:00"/>
    <m/>
    <x v="160"/>
    <n v="0.15"/>
    <x v="1"/>
    <n v="4"/>
    <x v="2"/>
    <s v="20-29"/>
  </r>
  <r>
    <x v="154"/>
    <x v="162"/>
    <x v="0"/>
    <n v="35"/>
    <x v="2"/>
    <x v="1"/>
    <s v="Corporate"/>
    <d v="2024-02-15T00:00:00"/>
    <m/>
    <x v="161"/>
    <n v="0"/>
    <x v="1"/>
    <n v="1"/>
    <x v="1"/>
    <s v="30-39"/>
  </r>
  <r>
    <x v="155"/>
    <x v="163"/>
    <x v="0"/>
    <n v="27"/>
    <x v="3"/>
    <x v="0"/>
    <s v="Products"/>
    <d v="2024-02-10T00:00:00"/>
    <m/>
    <x v="162"/>
    <n v="0.13"/>
    <x v="1"/>
    <n v="1"/>
    <x v="2"/>
    <s v="20-29"/>
  </r>
  <r>
    <x v="156"/>
    <x v="164"/>
    <x v="1"/>
    <n v="26"/>
    <x v="2"/>
    <x v="1"/>
    <s v="R&amp;D"/>
    <d v="2020-12-18T00:00:00"/>
    <m/>
    <x v="163"/>
    <n v="0"/>
    <x v="1"/>
    <n v="5"/>
    <x v="2"/>
    <s v="20-29"/>
  </r>
  <r>
    <x v="157"/>
    <x v="165"/>
    <x v="0"/>
    <n v="27"/>
    <x v="0"/>
    <x v="0"/>
    <s v="Products"/>
    <d v="2020-01-07T00:00:00"/>
    <m/>
    <x v="164"/>
    <n v="0.1"/>
    <x v="1"/>
    <n v="6"/>
    <x v="2"/>
    <s v="20-29"/>
  </r>
  <r>
    <x v="158"/>
    <x v="166"/>
    <x v="1"/>
    <n v="30"/>
    <x v="0"/>
    <x v="0"/>
    <s v="R&amp;D"/>
    <d v="2023-10-07T00:00:00"/>
    <m/>
    <x v="165"/>
    <n v="0.3"/>
    <x v="1"/>
    <n v="2"/>
    <x v="1"/>
    <s v="30-39"/>
  </r>
  <r>
    <x v="159"/>
    <x v="167"/>
    <x v="0"/>
    <n v="36"/>
    <x v="4"/>
    <x v="2"/>
    <s v="R&amp;D"/>
    <d v="2021-10-18T00:00:00"/>
    <m/>
    <x v="166"/>
    <n v="0"/>
    <x v="1"/>
    <n v="4"/>
    <x v="1"/>
    <s v="30-39"/>
  </r>
  <r>
    <x v="160"/>
    <x v="168"/>
    <x v="1"/>
    <n v="45"/>
    <x v="4"/>
    <x v="3"/>
    <s v="Products"/>
    <d v="2022-08-18T00:00:00"/>
    <m/>
    <x v="167"/>
    <n v="0.06"/>
    <x v="1"/>
    <n v="3"/>
    <x v="0"/>
    <s v="40-49"/>
  </r>
  <r>
    <x v="161"/>
    <x v="169"/>
    <x v="0"/>
    <n v="37"/>
    <x v="4"/>
    <x v="4"/>
    <s v="Corporate"/>
    <d v="2024-05-28T00:00:00"/>
    <m/>
    <x v="168"/>
    <n v="0"/>
    <x v="1"/>
    <n v="1"/>
    <x v="1"/>
    <s v="30-39"/>
  </r>
  <r>
    <x v="162"/>
    <x v="170"/>
    <x v="0"/>
    <n v="38"/>
    <x v="5"/>
    <x v="0"/>
    <s v="Manufacturing"/>
    <d v="2022-09-07T00:00:00"/>
    <m/>
    <x v="169"/>
    <n v="0.3"/>
    <x v="1"/>
    <n v="3"/>
    <x v="1"/>
    <s v="30-39"/>
  </r>
  <r>
    <x v="163"/>
    <x v="171"/>
    <x v="0"/>
    <n v="45"/>
    <x v="4"/>
    <x v="3"/>
    <s v="Manufacturing"/>
    <d v="2024-01-03T00:00:00"/>
    <m/>
    <x v="170"/>
    <n v="0"/>
    <x v="1"/>
    <n v="2"/>
    <x v="0"/>
    <s v="40-49"/>
  </r>
  <r>
    <x v="164"/>
    <x v="172"/>
    <x v="1"/>
    <n v="51"/>
    <x v="6"/>
    <x v="5"/>
    <s v="R&amp;D"/>
    <d v="2023-05-28T00:00:00"/>
    <d v="2024-09-01T00:00:00"/>
    <x v="171"/>
    <n v="0.32"/>
    <x v="0"/>
    <n v="1"/>
    <x v="3"/>
    <s v="50-59"/>
  </r>
  <r>
    <x v="165"/>
    <x v="173"/>
    <x v="0"/>
    <n v="56"/>
    <x v="5"/>
    <x v="0"/>
    <s v="Products"/>
    <d v="2023-11-15T00:00:00"/>
    <m/>
    <x v="172"/>
    <n v="0"/>
    <x v="1"/>
    <n v="2"/>
    <x v="3"/>
    <s v="50-59"/>
  </r>
  <r>
    <x v="166"/>
    <x v="174"/>
    <x v="0"/>
    <n v="53"/>
    <x v="5"/>
    <x v="0"/>
    <s v="R&amp;D"/>
    <d v="2020-01-21T00:00:00"/>
    <m/>
    <x v="173"/>
    <n v="0"/>
    <x v="1"/>
    <n v="6"/>
    <x v="3"/>
    <s v="50-59"/>
  </r>
  <r>
    <x v="167"/>
    <x v="175"/>
    <x v="1"/>
    <n v="47"/>
    <x v="7"/>
    <x v="0"/>
    <s v="Corporate"/>
    <d v="2023-10-07T00:00:00"/>
    <m/>
    <x v="174"/>
    <n v="0.39"/>
    <x v="1"/>
    <n v="2"/>
    <x v="0"/>
    <s v="40-49"/>
  </r>
  <r>
    <x v="168"/>
    <x v="176"/>
    <x v="0"/>
    <n v="36"/>
    <x v="6"/>
    <x v="5"/>
    <s v="Products"/>
    <d v="2024-04-19T00:00:00"/>
    <m/>
    <x v="175"/>
    <n v="0"/>
    <x v="1"/>
    <n v="1"/>
    <x v="1"/>
    <s v="30-39"/>
  </r>
  <r>
    <x v="169"/>
    <x v="177"/>
    <x v="1"/>
    <n v="41"/>
    <x v="7"/>
    <x v="0"/>
    <s v="R&amp;D"/>
    <d v="2020-09-09T00:00:00"/>
    <m/>
    <x v="176"/>
    <n v="0.22"/>
    <x v="1"/>
    <n v="5"/>
    <x v="0"/>
    <s v="40-49"/>
  </r>
  <r>
    <x v="170"/>
    <x v="178"/>
    <x v="1"/>
    <n v="30"/>
    <x v="7"/>
    <x v="0"/>
    <s v="Manufacturing"/>
    <d v="2023-11-03T00:00:00"/>
    <m/>
    <x v="177"/>
    <n v="0"/>
    <x v="1"/>
    <n v="2"/>
    <x v="1"/>
    <s v="30-39"/>
  </r>
  <r>
    <x v="171"/>
    <x v="179"/>
    <x v="1"/>
    <n v="30"/>
    <x v="6"/>
    <x v="5"/>
    <s v="Manufacturing"/>
    <d v="2024-04-30T00:00:00"/>
    <m/>
    <x v="178"/>
    <n v="0"/>
    <x v="1"/>
    <n v="1"/>
    <x v="1"/>
    <s v="30-39"/>
  </r>
  <r>
    <x v="172"/>
    <x v="180"/>
    <x v="0"/>
    <n v="38"/>
    <x v="0"/>
    <x v="0"/>
    <s v="Manufacturing"/>
    <d v="2020-02-26T00:00:00"/>
    <m/>
    <x v="179"/>
    <n v="7.0000000000000007E-2"/>
    <x v="1"/>
    <n v="5"/>
    <x v="1"/>
    <s v="30-39"/>
  </r>
  <r>
    <x v="173"/>
    <x v="181"/>
    <x v="1"/>
    <n v="28"/>
    <x v="1"/>
    <x v="0"/>
    <s v="Manufacturing"/>
    <d v="2022-09-11T00:00:00"/>
    <m/>
    <x v="180"/>
    <n v="0"/>
    <x v="1"/>
    <n v="3"/>
    <x v="2"/>
    <s v="20-29"/>
  </r>
  <r>
    <x v="174"/>
    <x v="182"/>
    <x v="0"/>
    <n v="39"/>
    <x v="8"/>
    <x v="2"/>
    <s v="Manufacturing"/>
    <d v="2024-05-18T00:00:00"/>
    <m/>
    <x v="181"/>
    <n v="0.4"/>
    <x v="1"/>
    <n v="1"/>
    <x v="1"/>
    <s v="30-39"/>
  </r>
  <r>
    <x v="175"/>
    <x v="183"/>
    <x v="1"/>
    <n v="31"/>
    <x v="5"/>
    <x v="0"/>
    <s v="Corporate"/>
    <d v="2021-11-09T00:00:00"/>
    <m/>
    <x v="182"/>
    <n v="0"/>
    <x v="1"/>
    <n v="4"/>
    <x v="1"/>
    <s v="30-39"/>
  </r>
  <r>
    <x v="176"/>
    <x v="184"/>
    <x v="1"/>
    <n v="45"/>
    <x v="7"/>
    <x v="0"/>
    <s v="Products"/>
    <d v="2020-05-12T00:00:00"/>
    <m/>
    <x v="183"/>
    <n v="0.15"/>
    <x v="1"/>
    <n v="5"/>
    <x v="0"/>
    <s v="40-49"/>
  </r>
  <r>
    <x v="177"/>
    <x v="185"/>
    <x v="0"/>
    <n v="50"/>
    <x v="3"/>
    <x v="0"/>
    <s v="Manufacturing"/>
    <d v="2022-09-11T00:00:00"/>
    <m/>
    <x v="184"/>
    <n v="0"/>
    <x v="1"/>
    <n v="3"/>
    <x v="3"/>
    <s v="50-59"/>
  </r>
  <r>
    <x v="178"/>
    <x v="186"/>
    <x v="0"/>
    <n v="36"/>
    <x v="8"/>
    <x v="4"/>
    <s v="R&amp;D"/>
    <d v="2022-10-23T00:00:00"/>
    <m/>
    <x v="185"/>
    <n v="0.05"/>
    <x v="1"/>
    <n v="3"/>
    <x v="1"/>
    <s v="30-39"/>
  </r>
  <r>
    <x v="179"/>
    <x v="187"/>
    <x v="1"/>
    <n v="45"/>
    <x v="9"/>
    <x v="5"/>
    <s v="Manufacturing"/>
    <d v="2024-08-23T00:00:00"/>
    <m/>
    <x v="186"/>
    <n v="0"/>
    <x v="1"/>
    <n v="1"/>
    <x v="0"/>
    <s v="40-49"/>
  </r>
  <r>
    <x v="180"/>
    <x v="188"/>
    <x v="1"/>
    <n v="29"/>
    <x v="8"/>
    <x v="3"/>
    <s v="Products"/>
    <d v="2023-11-07T00:00:00"/>
    <m/>
    <x v="187"/>
    <n v="0"/>
    <x v="1"/>
    <n v="2"/>
    <x v="2"/>
    <s v="20-29"/>
  </r>
  <r>
    <x v="181"/>
    <x v="189"/>
    <x v="1"/>
    <n v="41"/>
    <x v="1"/>
    <x v="0"/>
    <s v="R&amp;D"/>
    <d v="2023-10-07T00:00:00"/>
    <m/>
    <x v="188"/>
    <n v="0"/>
    <x v="1"/>
    <n v="2"/>
    <x v="0"/>
    <s v="40-49"/>
  </r>
  <r>
    <x v="182"/>
    <x v="190"/>
    <x v="0"/>
    <n v="47"/>
    <x v="9"/>
    <x v="5"/>
    <s v="R&amp;D"/>
    <d v="2022-04-26T00:00:00"/>
    <m/>
    <x v="189"/>
    <n v="0.37"/>
    <x v="1"/>
    <n v="3"/>
    <x v="0"/>
    <s v="40-49"/>
  </r>
  <r>
    <x v="183"/>
    <x v="191"/>
    <x v="1"/>
    <n v="46"/>
    <x v="3"/>
    <x v="0"/>
    <s v="Corporate"/>
    <d v="2020-02-28T00:00:00"/>
    <m/>
    <x v="190"/>
    <n v="0"/>
    <x v="1"/>
    <n v="5"/>
    <x v="0"/>
    <s v="40-49"/>
  </r>
  <r>
    <x v="184"/>
    <x v="192"/>
    <x v="1"/>
    <n v="46"/>
    <x v="0"/>
    <x v="0"/>
    <s v="Corporate"/>
    <d v="2020-10-12T00:00:00"/>
    <m/>
    <x v="191"/>
    <n v="0"/>
    <x v="1"/>
    <n v="5"/>
    <x v="0"/>
    <s v="40-49"/>
  </r>
  <r>
    <x v="185"/>
    <x v="193"/>
    <x v="0"/>
    <n v="45"/>
    <x v="1"/>
    <x v="0"/>
    <s v="Products"/>
    <d v="2022-01-27T00:00:00"/>
    <m/>
    <x v="192"/>
    <n v="0.36"/>
    <x v="1"/>
    <n v="4"/>
    <x v="0"/>
    <s v="40-49"/>
  </r>
  <r>
    <x v="186"/>
    <x v="194"/>
    <x v="0"/>
    <n v="26"/>
    <x v="2"/>
    <x v="1"/>
    <s v="Corporate"/>
    <d v="2024-02-15T00:00:00"/>
    <m/>
    <x v="193"/>
    <n v="0"/>
    <x v="1"/>
    <n v="1"/>
    <x v="2"/>
    <s v="20-29"/>
  </r>
  <r>
    <x v="187"/>
    <x v="195"/>
    <x v="0"/>
    <n v="35"/>
    <x v="3"/>
    <x v="0"/>
    <s v="Products"/>
    <d v="2024-02-10T00:00:00"/>
    <m/>
    <x v="194"/>
    <n v="0"/>
    <x v="1"/>
    <n v="1"/>
    <x v="1"/>
    <s v="30-39"/>
  </r>
  <r>
    <x v="188"/>
    <x v="196"/>
    <x v="1"/>
    <n v="29"/>
    <x v="2"/>
    <x v="1"/>
    <s v="R&amp;D"/>
    <d v="2020-12-18T00:00:00"/>
    <m/>
    <x v="195"/>
    <n v="0"/>
    <x v="1"/>
    <n v="5"/>
    <x v="2"/>
    <s v="20-29"/>
  </r>
  <r>
    <x v="189"/>
    <x v="197"/>
    <x v="0"/>
    <n v="35"/>
    <x v="0"/>
    <x v="0"/>
    <s v="Products"/>
    <d v="2020-01-07T00:00:00"/>
    <m/>
    <x v="196"/>
    <n v="0"/>
    <x v="1"/>
    <n v="6"/>
    <x v="1"/>
    <s v="30-39"/>
  </r>
  <r>
    <x v="190"/>
    <x v="198"/>
    <x v="1"/>
    <n v="27"/>
    <x v="0"/>
    <x v="0"/>
    <s v="R&amp;D"/>
    <d v="2023-10-07T00:00:00"/>
    <m/>
    <x v="197"/>
    <n v="0"/>
    <x v="1"/>
    <n v="2"/>
    <x v="2"/>
    <s v="20-29"/>
  </r>
  <r>
    <x v="191"/>
    <x v="199"/>
    <x v="0"/>
    <n v="26"/>
    <x v="4"/>
    <x v="2"/>
    <s v="R&amp;D"/>
    <d v="2021-10-18T00:00:00"/>
    <m/>
    <x v="198"/>
    <n v="0.19"/>
    <x v="1"/>
    <n v="4"/>
    <x v="2"/>
    <s v="20-29"/>
  </r>
  <r>
    <x v="192"/>
    <x v="200"/>
    <x v="1"/>
    <n v="27"/>
    <x v="4"/>
    <x v="3"/>
    <s v="Products"/>
    <d v="2022-08-18T00:00:00"/>
    <d v="2024-01-15T00:00:00"/>
    <x v="199"/>
    <n v="0.15"/>
    <x v="0"/>
    <n v="1"/>
    <x v="2"/>
    <s v="20-29"/>
  </r>
  <r>
    <x v="193"/>
    <x v="201"/>
    <x v="1"/>
    <n v="30"/>
    <x v="4"/>
    <x v="4"/>
    <s v="Corporate"/>
    <d v="2024-05-28T00:00:00"/>
    <m/>
    <x v="200"/>
    <n v="0"/>
    <x v="1"/>
    <n v="1"/>
    <x v="1"/>
    <s v="30-39"/>
  </r>
  <r>
    <x v="194"/>
    <x v="202"/>
    <x v="1"/>
    <n v="46"/>
    <x v="5"/>
    <x v="0"/>
    <s v="Manufacturing"/>
    <d v="2022-09-07T00:00:00"/>
    <m/>
    <x v="201"/>
    <n v="0.09"/>
    <x v="1"/>
    <n v="3"/>
    <x v="0"/>
    <s v="40-49"/>
  </r>
  <r>
    <x v="195"/>
    <x v="203"/>
    <x v="0"/>
    <n v="45"/>
    <x v="4"/>
    <x v="3"/>
    <s v="Manufacturing"/>
    <d v="2024-01-03T00:00:00"/>
    <m/>
    <x v="202"/>
    <n v="0"/>
    <x v="1"/>
    <n v="2"/>
    <x v="0"/>
    <s v="40-49"/>
  </r>
  <r>
    <x v="196"/>
    <x v="204"/>
    <x v="1"/>
    <n v="46"/>
    <x v="6"/>
    <x v="5"/>
    <s v="R&amp;D"/>
    <d v="2023-05-28T00:00:00"/>
    <m/>
    <x v="203"/>
    <n v="0"/>
    <x v="1"/>
    <n v="2"/>
    <x v="0"/>
    <s v="40-49"/>
  </r>
  <r>
    <x v="197"/>
    <x v="205"/>
    <x v="0"/>
    <n v="38"/>
    <x v="5"/>
    <x v="0"/>
    <s v="Products"/>
    <d v="2023-11-15T00:00:00"/>
    <m/>
    <x v="204"/>
    <n v="0.4"/>
    <x v="1"/>
    <n v="2"/>
    <x v="1"/>
    <s v="30-39"/>
  </r>
  <r>
    <x v="198"/>
    <x v="206"/>
    <x v="0"/>
    <n v="45"/>
    <x v="5"/>
    <x v="0"/>
    <s v="R&amp;D"/>
    <d v="2020-01-21T00:00:00"/>
    <m/>
    <x v="205"/>
    <n v="0.09"/>
    <x v="1"/>
    <n v="6"/>
    <x v="0"/>
    <s v="40-49"/>
  </r>
  <r>
    <x v="199"/>
    <x v="207"/>
    <x v="0"/>
    <n v="51"/>
    <x v="7"/>
    <x v="0"/>
    <s v="Corporate"/>
    <d v="2023-10-07T00:00:00"/>
    <m/>
    <x v="206"/>
    <n v="0.31"/>
    <x v="1"/>
    <n v="2"/>
    <x v="3"/>
    <s v="50-59"/>
  </r>
  <r>
    <x v="200"/>
    <x v="208"/>
    <x v="0"/>
    <n v="56"/>
    <x v="6"/>
    <x v="5"/>
    <s v="Products"/>
    <d v="2024-04-19T00:00:00"/>
    <m/>
    <x v="207"/>
    <n v="0"/>
    <x v="1"/>
    <n v="1"/>
    <x v="3"/>
    <s v="50-59"/>
  </r>
  <r>
    <x v="201"/>
    <x v="209"/>
    <x v="0"/>
    <n v="53"/>
    <x v="7"/>
    <x v="0"/>
    <s v="R&amp;D"/>
    <d v="2020-09-09T00:00:00"/>
    <d v="2023-05-06T00:00:00"/>
    <x v="208"/>
    <n v="0"/>
    <x v="0"/>
    <n v="2"/>
    <x v="3"/>
    <s v="50-59"/>
  </r>
  <r>
    <x v="202"/>
    <x v="210"/>
    <x v="1"/>
    <n v="47"/>
    <x v="7"/>
    <x v="0"/>
    <s v="Manufacturing"/>
    <d v="2023-11-03T00:00:00"/>
    <m/>
    <x v="209"/>
    <n v="0"/>
    <x v="1"/>
    <n v="2"/>
    <x v="0"/>
    <s v="40-49"/>
  </r>
  <r>
    <x v="203"/>
    <x v="211"/>
    <x v="1"/>
    <n v="36"/>
    <x v="6"/>
    <x v="5"/>
    <s v="Manufacturing"/>
    <d v="2021-04-30T00:00:00"/>
    <d v="2023-07-17T00:00:00"/>
    <x v="210"/>
    <n v="0.14000000000000001"/>
    <x v="0"/>
    <n v="2"/>
    <x v="1"/>
    <s v="30-39"/>
  </r>
  <r>
    <x v="204"/>
    <x v="212"/>
    <x v="0"/>
    <n v="41"/>
    <x v="0"/>
    <x v="0"/>
    <s v="Manufacturing"/>
    <d v="2020-02-26T00:00:00"/>
    <m/>
    <x v="211"/>
    <n v="0"/>
    <x v="1"/>
    <n v="5"/>
    <x v="0"/>
    <s v="40-49"/>
  </r>
  <r>
    <x v="205"/>
    <x v="213"/>
    <x v="1"/>
    <n v="30"/>
    <x v="1"/>
    <x v="0"/>
    <s v="Manufacturing"/>
    <d v="2022-09-11T00:00:00"/>
    <m/>
    <x v="212"/>
    <n v="0.15"/>
    <x v="1"/>
    <n v="3"/>
    <x v="1"/>
    <s v="30-39"/>
  </r>
  <r>
    <x v="206"/>
    <x v="214"/>
    <x v="0"/>
    <n v="30"/>
    <x v="8"/>
    <x v="2"/>
    <s v="Manufacturing"/>
    <d v="2024-05-18T00:00:00"/>
    <m/>
    <x v="213"/>
    <n v="0"/>
    <x v="1"/>
    <n v="1"/>
    <x v="1"/>
    <s v="30-39"/>
  </r>
  <r>
    <x v="207"/>
    <x v="215"/>
    <x v="1"/>
    <n v="38"/>
    <x v="5"/>
    <x v="0"/>
    <s v="Corporate"/>
    <d v="2021-11-09T00:00:00"/>
    <d v="2023-06-25T00:00:00"/>
    <x v="214"/>
    <n v="0.22"/>
    <x v="0"/>
    <n v="1"/>
    <x v="1"/>
    <s v="30-39"/>
  </r>
  <r>
    <x v="208"/>
    <x v="216"/>
    <x v="1"/>
    <n v="31"/>
    <x v="7"/>
    <x v="0"/>
    <s v="Products"/>
    <d v="2020-05-12T00:00:00"/>
    <m/>
    <x v="215"/>
    <n v="0.3"/>
    <x v="1"/>
    <n v="5"/>
    <x v="1"/>
    <s v="30-39"/>
  </r>
  <r>
    <x v="209"/>
    <x v="217"/>
    <x v="0"/>
    <n v="39"/>
    <x v="3"/>
    <x v="0"/>
    <s v="Manufacturing"/>
    <d v="2022-09-11T00:00:00"/>
    <m/>
    <x v="216"/>
    <n v="7.0000000000000007E-2"/>
    <x v="1"/>
    <n v="3"/>
    <x v="1"/>
    <s v="30-39"/>
  </r>
  <r>
    <x v="210"/>
    <x v="218"/>
    <x v="1"/>
    <n v="31"/>
    <x v="8"/>
    <x v="4"/>
    <s v="R&amp;D"/>
    <d v="2022-10-23T00:00:00"/>
    <m/>
    <x v="217"/>
    <n v="0.11"/>
    <x v="1"/>
    <n v="3"/>
    <x v="1"/>
    <s v="30-39"/>
  </r>
  <r>
    <x v="211"/>
    <x v="219"/>
    <x v="0"/>
    <n v="45"/>
    <x v="9"/>
    <x v="5"/>
    <s v="Manufacturing"/>
    <d v="2024-08-23T00:00:00"/>
    <m/>
    <x v="218"/>
    <n v="0.06"/>
    <x v="1"/>
    <n v="1"/>
    <x v="0"/>
    <s v="40-49"/>
  </r>
  <r>
    <x v="212"/>
    <x v="220"/>
    <x v="1"/>
    <n v="50"/>
    <x v="8"/>
    <x v="3"/>
    <s v="Products"/>
    <d v="2023-11-07T00:00:00"/>
    <m/>
    <x v="219"/>
    <n v="0.12"/>
    <x v="1"/>
    <n v="2"/>
    <x v="3"/>
    <s v="50-59"/>
  </r>
  <r>
    <x v="213"/>
    <x v="221"/>
    <x v="1"/>
    <n v="36"/>
    <x v="1"/>
    <x v="0"/>
    <s v="R&amp;D"/>
    <d v="2023-10-07T00:00:00"/>
    <m/>
    <x v="220"/>
    <n v="0.16"/>
    <x v="1"/>
    <n v="2"/>
    <x v="1"/>
    <s v="30-39"/>
  </r>
  <r>
    <x v="214"/>
    <x v="222"/>
    <x v="0"/>
    <n v="45"/>
    <x v="9"/>
    <x v="5"/>
    <s v="R&amp;D"/>
    <d v="2022-04-26T00:00:00"/>
    <m/>
    <x v="221"/>
    <n v="0.35"/>
    <x v="1"/>
    <n v="3"/>
    <x v="0"/>
    <s v="40-49"/>
  </r>
  <r>
    <x v="215"/>
    <x v="223"/>
    <x v="1"/>
    <n v="31"/>
    <x v="3"/>
    <x v="0"/>
    <s v="Corporate"/>
    <d v="2020-02-28T00:00:00"/>
    <m/>
    <x v="222"/>
    <n v="0.18"/>
    <x v="1"/>
    <n v="5"/>
    <x v="1"/>
    <s v="30-39"/>
  </r>
  <r>
    <x v="216"/>
    <x v="224"/>
    <x v="0"/>
    <n v="41"/>
    <x v="0"/>
    <x v="0"/>
    <s v="Corporate"/>
    <d v="2020-10-12T00:00:00"/>
    <m/>
    <x v="223"/>
    <n v="0.1"/>
    <x v="1"/>
    <n v="5"/>
    <x v="0"/>
    <s v="40-49"/>
  </r>
  <r>
    <x v="217"/>
    <x v="225"/>
    <x v="0"/>
    <n v="47"/>
    <x v="1"/>
    <x v="0"/>
    <s v="Products"/>
    <d v="2022-01-27T00:00:00"/>
    <m/>
    <x v="224"/>
    <n v="0.11"/>
    <x v="1"/>
    <n v="4"/>
    <x v="0"/>
    <s v="40-49"/>
  </r>
  <r>
    <x v="218"/>
    <x v="226"/>
    <x v="0"/>
    <n v="38"/>
    <x v="2"/>
    <x v="1"/>
    <s v="Corporate"/>
    <d v="2024-02-15T00:00:00"/>
    <m/>
    <x v="225"/>
    <n v="0"/>
    <x v="1"/>
    <n v="1"/>
    <x v="1"/>
    <s v="30-39"/>
  </r>
  <r>
    <x v="219"/>
    <x v="227"/>
    <x v="0"/>
    <n v="40"/>
    <x v="3"/>
    <x v="0"/>
    <s v="Products"/>
    <d v="2024-02-10T00:00:00"/>
    <m/>
    <x v="226"/>
    <n v="0"/>
    <x v="1"/>
    <n v="1"/>
    <x v="0"/>
    <s v="40-49"/>
  </r>
  <r>
    <x v="220"/>
    <x v="228"/>
    <x v="0"/>
    <n v="45"/>
    <x v="2"/>
    <x v="1"/>
    <s v="R&amp;D"/>
    <d v="2020-12-18T00:00:00"/>
    <m/>
    <x v="227"/>
    <n v="0"/>
    <x v="1"/>
    <n v="5"/>
    <x v="0"/>
    <s v="40-49"/>
  </r>
  <r>
    <x v="221"/>
    <x v="229"/>
    <x v="1"/>
    <n v="31"/>
    <x v="0"/>
    <x v="0"/>
    <s v="Products"/>
    <d v="2020-01-07T00:00:00"/>
    <m/>
    <x v="228"/>
    <n v="0"/>
    <x v="1"/>
    <n v="6"/>
    <x v="1"/>
    <s v="30-39"/>
  </r>
  <r>
    <x v="222"/>
    <x v="230"/>
    <x v="0"/>
    <n v="35"/>
    <x v="0"/>
    <x v="0"/>
    <s v="R&amp;D"/>
    <d v="2023-10-07T00:00:00"/>
    <m/>
    <x v="229"/>
    <n v="0.2"/>
    <x v="1"/>
    <n v="2"/>
    <x v="1"/>
    <s v="30-39"/>
  </r>
  <r>
    <x v="223"/>
    <x v="231"/>
    <x v="1"/>
    <n v="31"/>
    <x v="4"/>
    <x v="2"/>
    <s v="R&amp;D"/>
    <d v="2021-10-18T00:00:00"/>
    <m/>
    <x v="230"/>
    <n v="0"/>
    <x v="1"/>
    <n v="4"/>
    <x v="1"/>
    <s v="30-39"/>
  </r>
  <r>
    <x v="224"/>
    <x v="232"/>
    <x v="0"/>
    <n v="35"/>
    <x v="4"/>
    <x v="3"/>
    <s v="Products"/>
    <d v="2022-08-18T00:00:00"/>
    <m/>
    <x v="231"/>
    <n v="0"/>
    <x v="1"/>
    <n v="3"/>
    <x v="1"/>
    <s v="30-39"/>
  </r>
  <r>
    <x v="225"/>
    <x v="233"/>
    <x v="1"/>
    <n v="31"/>
    <x v="4"/>
    <x v="4"/>
    <s v="Corporate"/>
    <d v="2024-05-28T00:00:00"/>
    <m/>
    <x v="232"/>
    <n v="0.33"/>
    <x v="1"/>
    <n v="1"/>
    <x v="1"/>
    <s v="30-39"/>
  </r>
  <r>
    <x v="226"/>
    <x v="234"/>
    <x v="1"/>
    <n v="31"/>
    <x v="5"/>
    <x v="0"/>
    <s v="Manufacturing"/>
    <d v="2022-09-07T00:00:00"/>
    <m/>
    <x v="233"/>
    <n v="0.14000000000000001"/>
    <x v="1"/>
    <n v="3"/>
    <x v="1"/>
    <s v="30-39"/>
  </r>
  <r>
    <x v="227"/>
    <x v="235"/>
    <x v="1"/>
    <n v="27"/>
    <x v="4"/>
    <x v="3"/>
    <s v="Manufacturing"/>
    <d v="2022-01-03T00:00:00"/>
    <d v="2023-06-17T00:00:00"/>
    <x v="234"/>
    <n v="0"/>
    <x v="0"/>
    <n v="1"/>
    <x v="2"/>
    <s v="20-29"/>
  </r>
  <r>
    <x v="228"/>
    <x v="236"/>
    <x v="0"/>
    <n v="30"/>
    <x v="6"/>
    <x v="5"/>
    <s v="R&amp;D"/>
    <d v="2023-05-28T00:00:00"/>
    <m/>
    <x v="235"/>
    <n v="0.38"/>
    <x v="1"/>
    <n v="2"/>
    <x v="1"/>
    <s v="30-39"/>
  </r>
  <r>
    <x v="229"/>
    <x v="237"/>
    <x v="1"/>
    <n v="36"/>
    <x v="5"/>
    <x v="0"/>
    <s v="Products"/>
    <d v="2023-11-15T00:00:00"/>
    <m/>
    <x v="236"/>
    <n v="0.3"/>
    <x v="1"/>
    <n v="2"/>
    <x v="1"/>
    <s v="30-39"/>
  </r>
  <r>
    <x v="230"/>
    <x v="238"/>
    <x v="0"/>
    <n v="45"/>
    <x v="5"/>
    <x v="0"/>
    <s v="R&amp;D"/>
    <d v="2020-01-21T00:00:00"/>
    <m/>
    <x v="237"/>
    <n v="0.31"/>
    <x v="1"/>
    <n v="6"/>
    <x v="0"/>
    <s v="40-49"/>
  </r>
  <r>
    <x v="231"/>
    <x v="239"/>
    <x v="1"/>
    <n v="37"/>
    <x v="7"/>
    <x v="0"/>
    <s v="Corporate"/>
    <d v="2023-10-07T00:00:00"/>
    <m/>
    <x v="238"/>
    <n v="0.14000000000000001"/>
    <x v="1"/>
    <n v="2"/>
    <x v="1"/>
    <s v="30-39"/>
  </r>
  <r>
    <x v="232"/>
    <x v="240"/>
    <x v="1"/>
    <n v="38"/>
    <x v="6"/>
    <x v="5"/>
    <s v="Products"/>
    <d v="2024-04-19T00:00:00"/>
    <m/>
    <x v="239"/>
    <n v="0"/>
    <x v="1"/>
    <n v="1"/>
    <x v="1"/>
    <s v="30-39"/>
  </r>
  <r>
    <x v="233"/>
    <x v="241"/>
    <x v="0"/>
    <n v="45"/>
    <x v="7"/>
    <x v="0"/>
    <s v="R&amp;D"/>
    <d v="2020-09-09T00:00:00"/>
    <m/>
    <x v="240"/>
    <n v="0"/>
    <x v="1"/>
    <n v="5"/>
    <x v="0"/>
    <s v="40-49"/>
  </r>
  <r>
    <x v="54"/>
    <x v="242"/>
    <x v="0"/>
    <n v="51"/>
    <x v="7"/>
    <x v="0"/>
    <s v="Manufacturing"/>
    <d v="2023-11-03T00:00:00"/>
    <m/>
    <x v="241"/>
    <n v="0.09"/>
    <x v="1"/>
    <n v="2"/>
    <x v="3"/>
    <s v="50-59"/>
  </r>
  <r>
    <x v="234"/>
    <x v="243"/>
    <x v="0"/>
    <n v="56"/>
    <x v="6"/>
    <x v="5"/>
    <s v="Manufacturing"/>
    <d v="2024-04-30T00:00:00"/>
    <m/>
    <x v="242"/>
    <n v="0.28999999999999998"/>
    <x v="1"/>
    <n v="1"/>
    <x v="3"/>
    <s v="50-59"/>
  </r>
  <r>
    <x v="235"/>
    <x v="244"/>
    <x v="0"/>
    <n v="53"/>
    <x v="0"/>
    <x v="0"/>
    <s v="Manufacturing"/>
    <d v="2020-02-26T00:00:00"/>
    <m/>
    <x v="243"/>
    <n v="0"/>
    <x v="1"/>
    <n v="5"/>
    <x v="3"/>
    <s v="50-59"/>
  </r>
  <r>
    <x v="236"/>
    <x v="245"/>
    <x v="0"/>
    <n v="47"/>
    <x v="1"/>
    <x v="0"/>
    <s v="Manufacturing"/>
    <d v="2022-09-11T00:00:00"/>
    <m/>
    <x v="244"/>
    <n v="0.3"/>
    <x v="1"/>
    <n v="3"/>
    <x v="0"/>
    <s v="40-49"/>
  </r>
  <r>
    <x v="237"/>
    <x v="246"/>
    <x v="1"/>
    <n v="36"/>
    <x v="8"/>
    <x v="2"/>
    <s v="Manufacturing"/>
    <d v="2024-05-18T00:00:00"/>
    <m/>
    <x v="245"/>
    <n v="0"/>
    <x v="1"/>
    <n v="1"/>
    <x v="1"/>
    <s v="30-39"/>
  </r>
  <r>
    <x v="238"/>
    <x v="247"/>
    <x v="0"/>
    <n v="41"/>
    <x v="5"/>
    <x v="0"/>
    <s v="Corporate"/>
    <d v="2021-11-09T00:00:00"/>
    <m/>
    <x v="246"/>
    <n v="0"/>
    <x v="1"/>
    <n v="4"/>
    <x v="0"/>
    <s v="40-49"/>
  </r>
  <r>
    <x v="239"/>
    <x v="248"/>
    <x v="1"/>
    <n v="31"/>
    <x v="7"/>
    <x v="0"/>
    <s v="Products"/>
    <d v="2020-05-12T00:00:00"/>
    <m/>
    <x v="247"/>
    <n v="0.23"/>
    <x v="1"/>
    <n v="5"/>
    <x v="1"/>
    <s v="30-39"/>
  </r>
  <r>
    <x v="5"/>
    <x v="249"/>
    <x v="1"/>
    <n v="31"/>
    <x v="3"/>
    <x v="0"/>
    <s v="Manufacturing"/>
    <d v="2022-09-11T00:00:00"/>
    <m/>
    <x v="248"/>
    <n v="0"/>
    <x v="1"/>
    <n v="3"/>
    <x v="1"/>
    <s v="30-39"/>
  </r>
  <r>
    <x v="240"/>
    <x v="250"/>
    <x v="0"/>
    <n v="38"/>
    <x v="8"/>
    <x v="4"/>
    <s v="R&amp;D"/>
    <d v="2022-10-23T00:00:00"/>
    <m/>
    <x v="249"/>
    <n v="0"/>
    <x v="1"/>
    <n v="3"/>
    <x v="1"/>
    <s v="30-39"/>
  </r>
  <r>
    <x v="241"/>
    <x v="251"/>
    <x v="1"/>
    <n v="31"/>
    <x v="9"/>
    <x v="5"/>
    <s v="Manufacturing"/>
    <d v="2024-08-23T00:00:00"/>
    <m/>
    <x v="250"/>
    <n v="0.15"/>
    <x v="1"/>
    <n v="1"/>
    <x v="1"/>
    <s v="30-39"/>
  </r>
  <r>
    <x v="242"/>
    <x v="252"/>
    <x v="1"/>
    <n v="39"/>
    <x v="8"/>
    <x v="3"/>
    <s v="Products"/>
    <d v="2023-11-07T00:00:00"/>
    <m/>
    <x v="251"/>
    <n v="0"/>
    <x v="1"/>
    <n v="2"/>
    <x v="1"/>
    <s v="30-39"/>
  </r>
  <r>
    <x v="81"/>
    <x v="253"/>
    <x v="1"/>
    <n v="31"/>
    <x v="1"/>
    <x v="0"/>
    <s v="R&amp;D"/>
    <d v="2023-10-07T00:00:00"/>
    <m/>
    <x v="252"/>
    <n v="0"/>
    <x v="1"/>
    <n v="2"/>
    <x v="1"/>
    <s v="30-39"/>
  </r>
  <r>
    <x v="243"/>
    <x v="254"/>
    <x v="0"/>
    <n v="45"/>
    <x v="9"/>
    <x v="5"/>
    <s v="R&amp;D"/>
    <d v="2022-04-26T00:00:00"/>
    <m/>
    <x v="253"/>
    <n v="0.31"/>
    <x v="1"/>
    <n v="3"/>
    <x v="0"/>
    <s v="40-49"/>
  </r>
  <r>
    <x v="6"/>
    <x v="255"/>
    <x v="0"/>
    <n v="50"/>
    <x v="3"/>
    <x v="0"/>
    <s v="Corporate"/>
    <d v="2020-02-28T00:00:00"/>
    <m/>
    <x v="254"/>
    <n v="0"/>
    <x v="1"/>
    <n v="5"/>
    <x v="3"/>
    <s v="50-59"/>
  </r>
  <r>
    <x v="244"/>
    <x v="256"/>
    <x v="1"/>
    <n v="36"/>
    <x v="0"/>
    <x v="0"/>
    <s v="Corporate"/>
    <d v="2020-10-12T00:00:00"/>
    <m/>
    <x v="255"/>
    <n v="0"/>
    <x v="1"/>
    <n v="5"/>
    <x v="1"/>
    <s v="30-39"/>
  </r>
  <r>
    <x v="245"/>
    <x v="257"/>
    <x v="0"/>
    <n v="45"/>
    <x v="1"/>
    <x v="0"/>
    <s v="Products"/>
    <d v="2022-01-27T00:00:00"/>
    <m/>
    <x v="256"/>
    <n v="0.39"/>
    <x v="1"/>
    <n v="4"/>
    <x v="0"/>
    <s v="40-49"/>
  </r>
  <r>
    <x v="246"/>
    <x v="258"/>
    <x v="0"/>
    <n v="29"/>
    <x v="2"/>
    <x v="1"/>
    <s v="Corporate"/>
    <d v="2024-02-15T00:00:00"/>
    <m/>
    <x v="257"/>
    <n v="0"/>
    <x v="1"/>
    <n v="1"/>
    <x v="2"/>
    <s v="20-29"/>
  </r>
  <r>
    <x v="247"/>
    <x v="259"/>
    <x v="0"/>
    <n v="41"/>
    <x v="3"/>
    <x v="0"/>
    <s v="Products"/>
    <d v="2024-02-10T00:00:00"/>
    <m/>
    <x v="258"/>
    <n v="0"/>
    <x v="1"/>
    <n v="1"/>
    <x v="0"/>
    <s v="40-49"/>
  </r>
  <r>
    <x v="248"/>
    <x v="260"/>
    <x v="0"/>
    <n v="47"/>
    <x v="2"/>
    <x v="1"/>
    <s v="R&amp;D"/>
    <d v="2020-12-18T00:00:00"/>
    <m/>
    <x v="259"/>
    <n v="0"/>
    <x v="1"/>
    <n v="5"/>
    <x v="0"/>
    <s v="40-49"/>
  </r>
  <r>
    <x v="249"/>
    <x v="261"/>
    <x v="1"/>
    <n v="38"/>
    <x v="0"/>
    <x v="0"/>
    <s v="Products"/>
    <d v="2020-01-07T00:00:00"/>
    <m/>
    <x v="260"/>
    <n v="0.15"/>
    <x v="1"/>
    <n v="6"/>
    <x v="1"/>
    <s v="30-39"/>
  </r>
  <r>
    <x v="250"/>
    <x v="262"/>
    <x v="0"/>
    <n v="40"/>
    <x v="0"/>
    <x v="0"/>
    <s v="R&amp;D"/>
    <d v="2023-10-07T00:00:00"/>
    <m/>
    <x v="261"/>
    <n v="0"/>
    <x v="1"/>
    <n v="2"/>
    <x v="0"/>
    <s v="40-49"/>
  </r>
  <r>
    <x v="251"/>
    <x v="263"/>
    <x v="0"/>
    <n v="45"/>
    <x v="4"/>
    <x v="2"/>
    <s v="R&amp;D"/>
    <d v="2021-10-18T00:00:00"/>
    <m/>
    <x v="262"/>
    <n v="0.15"/>
    <x v="1"/>
    <n v="4"/>
    <x v="0"/>
    <s v="40-49"/>
  </r>
  <r>
    <x v="252"/>
    <x v="264"/>
    <x v="0"/>
    <n v="26"/>
    <x v="4"/>
    <x v="3"/>
    <s v="Products"/>
    <d v="2022-08-18T00:00:00"/>
    <d v="2024-10-11T00:00:00"/>
    <x v="263"/>
    <n v="0"/>
    <x v="0"/>
    <n v="2"/>
    <x v="2"/>
    <s v="20-29"/>
  </r>
  <r>
    <x v="253"/>
    <x v="265"/>
    <x v="1"/>
    <n v="35"/>
    <x v="4"/>
    <x v="4"/>
    <s v="Corporate"/>
    <d v="2024-05-28T00:00:00"/>
    <m/>
    <x v="264"/>
    <n v="0.17"/>
    <x v="1"/>
    <n v="1"/>
    <x v="1"/>
    <s v="30-39"/>
  </r>
  <r>
    <x v="254"/>
    <x v="266"/>
    <x v="1"/>
    <n v="31"/>
    <x v="5"/>
    <x v="0"/>
    <s v="Manufacturing"/>
    <d v="2022-09-07T00:00:00"/>
    <m/>
    <x v="265"/>
    <n v="0"/>
    <x v="1"/>
    <n v="3"/>
    <x v="1"/>
    <s v="30-39"/>
  </r>
  <r>
    <x v="255"/>
    <x v="267"/>
    <x v="1"/>
    <n v="35"/>
    <x v="4"/>
    <x v="3"/>
    <s v="Manufacturing"/>
    <d v="2024-01-03T00:00:00"/>
    <m/>
    <x v="266"/>
    <n v="0.14000000000000001"/>
    <x v="1"/>
    <n v="2"/>
    <x v="1"/>
    <s v="30-39"/>
  </r>
  <r>
    <x v="256"/>
    <x v="268"/>
    <x v="0"/>
    <n v="27"/>
    <x v="6"/>
    <x v="5"/>
    <s v="R&amp;D"/>
    <d v="2023-05-28T00:00:00"/>
    <m/>
    <x v="267"/>
    <n v="0.23"/>
    <x v="1"/>
    <n v="2"/>
    <x v="2"/>
    <s v="20-29"/>
  </r>
  <r>
    <x v="257"/>
    <x v="269"/>
    <x v="1"/>
    <n v="31"/>
    <x v="5"/>
    <x v="0"/>
    <s v="Products"/>
    <d v="2023-11-15T00:00:00"/>
    <m/>
    <x v="268"/>
    <n v="0"/>
    <x v="1"/>
    <n v="2"/>
    <x v="1"/>
    <s v="30-39"/>
  </r>
  <r>
    <x v="258"/>
    <x v="270"/>
    <x v="0"/>
    <n v="27"/>
    <x v="5"/>
    <x v="0"/>
    <s v="R&amp;D"/>
    <d v="2020-01-21T00:00:00"/>
    <m/>
    <x v="269"/>
    <n v="7.0000000000000007E-2"/>
    <x v="1"/>
    <n v="6"/>
    <x v="2"/>
    <s v="20-29"/>
  </r>
  <r>
    <x v="259"/>
    <x v="271"/>
    <x v="0"/>
    <n v="30"/>
    <x v="7"/>
    <x v="0"/>
    <s v="Corporate"/>
    <d v="2023-10-07T00:00:00"/>
    <d v="2024-08-10T00:00:00"/>
    <x v="270"/>
    <n v="0"/>
    <x v="0"/>
    <n v="0"/>
    <x v="1"/>
    <s v="30-39"/>
  </r>
  <r>
    <x v="260"/>
    <x v="272"/>
    <x v="1"/>
    <n v="36"/>
    <x v="6"/>
    <x v="5"/>
    <s v="Products"/>
    <d v="2024-04-19T00:00:00"/>
    <m/>
    <x v="271"/>
    <n v="0"/>
    <x v="1"/>
    <n v="1"/>
    <x v="1"/>
    <s v="30-39"/>
  </r>
  <r>
    <x v="261"/>
    <x v="273"/>
    <x v="0"/>
    <n v="45"/>
    <x v="7"/>
    <x v="0"/>
    <s v="R&amp;D"/>
    <d v="2020-09-09T00:00:00"/>
    <m/>
    <x v="272"/>
    <n v="0"/>
    <x v="1"/>
    <n v="5"/>
    <x v="0"/>
    <s v="40-49"/>
  </r>
  <r>
    <x v="262"/>
    <x v="274"/>
    <x v="1"/>
    <n v="37"/>
    <x v="7"/>
    <x v="0"/>
    <s v="Manufacturing"/>
    <d v="2023-11-03T00:00:00"/>
    <m/>
    <x v="273"/>
    <n v="0"/>
    <x v="1"/>
    <n v="2"/>
    <x v="1"/>
    <s v="30-39"/>
  </r>
  <r>
    <x v="263"/>
    <x v="275"/>
    <x v="1"/>
    <n v="38"/>
    <x v="6"/>
    <x v="5"/>
    <s v="Manufacturing"/>
    <d v="2020-04-30T00:00:00"/>
    <d v="2023-07-27T00:00:00"/>
    <x v="274"/>
    <n v="0.27"/>
    <x v="0"/>
    <n v="3"/>
    <x v="1"/>
    <s v="30-39"/>
  </r>
  <r>
    <x v="264"/>
    <x v="276"/>
    <x v="0"/>
    <n v="45"/>
    <x v="0"/>
    <x v="0"/>
    <s v="Manufacturing"/>
    <d v="2020-02-26T00:00:00"/>
    <m/>
    <x v="275"/>
    <n v="0"/>
    <x v="1"/>
    <n v="5"/>
    <x v="0"/>
    <s v="40-49"/>
  </r>
  <r>
    <x v="265"/>
    <x v="277"/>
    <x v="0"/>
    <n v="51"/>
    <x v="1"/>
    <x v="0"/>
    <s v="Manufacturing"/>
    <d v="2022-09-11T00:00:00"/>
    <m/>
    <x v="276"/>
    <n v="0"/>
    <x v="1"/>
    <n v="3"/>
    <x v="3"/>
    <s v="50-59"/>
  </r>
  <r>
    <x v="266"/>
    <x v="278"/>
    <x v="0"/>
    <n v="56"/>
    <x v="8"/>
    <x v="2"/>
    <s v="Manufacturing"/>
    <d v="2024-05-18T00:00:00"/>
    <m/>
    <x v="277"/>
    <n v="0.15"/>
    <x v="1"/>
    <n v="1"/>
    <x v="3"/>
    <s v="50-59"/>
  </r>
  <r>
    <x v="267"/>
    <x v="279"/>
    <x v="0"/>
    <n v="53"/>
    <x v="5"/>
    <x v="0"/>
    <s v="Corporate"/>
    <d v="2021-11-09T00:00:00"/>
    <m/>
    <x v="278"/>
    <n v="0.15"/>
    <x v="1"/>
    <n v="4"/>
    <x v="3"/>
    <s v="50-59"/>
  </r>
  <r>
    <x v="268"/>
    <x v="280"/>
    <x v="1"/>
    <n v="47"/>
    <x v="7"/>
    <x v="0"/>
    <s v="Products"/>
    <d v="2020-05-12T00:00:00"/>
    <m/>
    <x v="279"/>
    <n v="0"/>
    <x v="1"/>
    <n v="5"/>
    <x v="0"/>
    <s v="40-49"/>
  </r>
  <r>
    <x v="269"/>
    <x v="281"/>
    <x v="1"/>
    <n v="36"/>
    <x v="3"/>
    <x v="0"/>
    <s v="Manufacturing"/>
    <d v="2022-09-11T00:00:00"/>
    <m/>
    <x v="280"/>
    <n v="0.1"/>
    <x v="1"/>
    <n v="3"/>
    <x v="1"/>
    <s v="30-39"/>
  </r>
  <r>
    <x v="270"/>
    <x v="282"/>
    <x v="0"/>
    <n v="41"/>
    <x v="8"/>
    <x v="4"/>
    <s v="R&amp;D"/>
    <d v="2022-10-23T00:00:00"/>
    <m/>
    <x v="281"/>
    <n v="0"/>
    <x v="1"/>
    <n v="3"/>
    <x v="0"/>
    <s v="40-49"/>
  </r>
  <r>
    <x v="271"/>
    <x v="283"/>
    <x v="0"/>
    <n v="30"/>
    <x v="9"/>
    <x v="5"/>
    <s v="Manufacturing"/>
    <d v="2024-08-23T00:00:00"/>
    <m/>
    <x v="282"/>
    <n v="0"/>
    <x v="1"/>
    <n v="1"/>
    <x v="1"/>
    <s v="30-39"/>
  </r>
  <r>
    <x v="272"/>
    <x v="284"/>
    <x v="1"/>
    <n v="31"/>
    <x v="8"/>
    <x v="3"/>
    <s v="Products"/>
    <d v="2023-11-07T00:00:00"/>
    <m/>
    <x v="283"/>
    <n v="0.14000000000000001"/>
    <x v="1"/>
    <n v="2"/>
    <x v="1"/>
    <s v="30-39"/>
  </r>
  <r>
    <x v="273"/>
    <x v="285"/>
    <x v="1"/>
    <n v="38"/>
    <x v="1"/>
    <x v="0"/>
    <s v="R&amp;D"/>
    <d v="2023-10-07T00:00:00"/>
    <m/>
    <x v="284"/>
    <n v="0.15"/>
    <x v="1"/>
    <n v="2"/>
    <x v="1"/>
    <s v="30-39"/>
  </r>
  <r>
    <x v="274"/>
    <x v="286"/>
    <x v="1"/>
    <n v="31"/>
    <x v="9"/>
    <x v="5"/>
    <s v="R&amp;D"/>
    <d v="2022-04-26T00:00:00"/>
    <m/>
    <x v="285"/>
    <n v="0"/>
    <x v="1"/>
    <n v="3"/>
    <x v="1"/>
    <s v="30-39"/>
  </r>
  <r>
    <x v="275"/>
    <x v="287"/>
    <x v="0"/>
    <n v="39"/>
    <x v="3"/>
    <x v="0"/>
    <s v="Corporate"/>
    <d v="2020-02-28T00:00:00"/>
    <m/>
    <x v="286"/>
    <n v="0.06"/>
    <x v="1"/>
    <n v="5"/>
    <x v="1"/>
    <s v="30-39"/>
  </r>
  <r>
    <x v="276"/>
    <x v="288"/>
    <x v="1"/>
    <n v="31"/>
    <x v="0"/>
    <x v="0"/>
    <s v="Corporate"/>
    <d v="2020-10-12T00:00:00"/>
    <m/>
    <x v="287"/>
    <n v="0.1"/>
    <x v="1"/>
    <n v="5"/>
    <x v="1"/>
    <s v="30-39"/>
  </r>
  <r>
    <x v="277"/>
    <x v="289"/>
    <x v="0"/>
    <n v="45"/>
    <x v="1"/>
    <x v="0"/>
    <s v="Products"/>
    <d v="2022-01-27T00:00:00"/>
    <m/>
    <x v="288"/>
    <n v="0.05"/>
    <x v="1"/>
    <n v="4"/>
    <x v="0"/>
    <s v="40-49"/>
  </r>
  <r>
    <x v="278"/>
    <x v="290"/>
    <x v="0"/>
    <n v="50"/>
    <x v="2"/>
    <x v="1"/>
    <s v="Corporate"/>
    <d v="2024-02-15T00:00:00"/>
    <m/>
    <x v="289"/>
    <n v="0.36"/>
    <x v="1"/>
    <n v="1"/>
    <x v="3"/>
    <s v="50-59"/>
  </r>
  <r>
    <x v="135"/>
    <x v="291"/>
    <x v="0"/>
    <n v="36"/>
    <x v="3"/>
    <x v="0"/>
    <s v="Products"/>
    <d v="2024-02-10T00:00:00"/>
    <m/>
    <x v="290"/>
    <n v="0.33"/>
    <x v="1"/>
    <n v="1"/>
    <x v="1"/>
    <s v="30-39"/>
  </r>
  <r>
    <x v="279"/>
    <x v="292"/>
    <x v="0"/>
    <n v="45"/>
    <x v="2"/>
    <x v="1"/>
    <s v="R&amp;D"/>
    <d v="2020-12-18T00:00:00"/>
    <m/>
    <x v="291"/>
    <n v="0.11"/>
    <x v="1"/>
    <n v="5"/>
    <x v="0"/>
    <s v="40-49"/>
  </r>
  <r>
    <x v="280"/>
    <x v="293"/>
    <x v="0"/>
    <n v="29"/>
    <x v="0"/>
    <x v="0"/>
    <s v="Products"/>
    <d v="2020-01-07T00:00:00"/>
    <d v="2023-10-07T00:00:00"/>
    <x v="292"/>
    <n v="0"/>
    <x v="0"/>
    <n v="3"/>
    <x v="2"/>
    <s v="20-29"/>
  </r>
  <r>
    <x v="281"/>
    <x v="294"/>
    <x v="0"/>
    <n v="41"/>
    <x v="0"/>
    <x v="0"/>
    <s v="R&amp;D"/>
    <d v="2023-10-07T00:00:00"/>
    <m/>
    <x v="293"/>
    <n v="0.06"/>
    <x v="1"/>
    <n v="2"/>
    <x v="0"/>
    <s v="40-49"/>
  </r>
  <r>
    <x v="105"/>
    <x v="295"/>
    <x v="0"/>
    <n v="47"/>
    <x v="4"/>
    <x v="2"/>
    <s v="R&amp;D"/>
    <d v="2021-10-18T00:00:00"/>
    <m/>
    <x v="294"/>
    <n v="0"/>
    <x v="1"/>
    <n v="4"/>
    <x v="0"/>
    <s v="40-49"/>
  </r>
  <r>
    <x v="282"/>
    <x v="296"/>
    <x v="1"/>
    <n v="38"/>
    <x v="4"/>
    <x v="3"/>
    <s v="Products"/>
    <d v="2022-08-18T00:00:00"/>
    <m/>
    <x v="295"/>
    <n v="0.06"/>
    <x v="1"/>
    <n v="3"/>
    <x v="1"/>
    <s v="30-39"/>
  </r>
  <r>
    <x v="283"/>
    <x v="297"/>
    <x v="0"/>
    <n v="40"/>
    <x v="4"/>
    <x v="4"/>
    <s v="Corporate"/>
    <d v="2024-05-28T00:00:00"/>
    <m/>
    <x v="296"/>
    <n v="0.39"/>
    <x v="1"/>
    <n v="1"/>
    <x v="0"/>
    <s v="40-49"/>
  </r>
  <r>
    <x v="284"/>
    <x v="298"/>
    <x v="0"/>
    <n v="45"/>
    <x v="5"/>
    <x v="0"/>
    <s v="Manufacturing"/>
    <d v="2022-09-07T00:00:00"/>
    <m/>
    <x v="297"/>
    <n v="0"/>
    <x v="1"/>
    <n v="3"/>
    <x v="0"/>
    <s v="40-49"/>
  </r>
  <r>
    <x v="285"/>
    <x v="299"/>
    <x v="1"/>
    <n v="31"/>
    <x v="4"/>
    <x v="3"/>
    <s v="Manufacturing"/>
    <d v="2024-01-03T00:00:00"/>
    <m/>
    <x v="298"/>
    <n v="0"/>
    <x v="1"/>
    <n v="2"/>
    <x v="1"/>
    <s v="30-39"/>
  </r>
  <r>
    <x v="286"/>
    <x v="300"/>
    <x v="1"/>
    <n v="35"/>
    <x v="6"/>
    <x v="5"/>
    <s v="R&amp;D"/>
    <d v="2023-05-28T00:00:00"/>
    <d v="2024-04-19T00:00:00"/>
    <x v="299"/>
    <n v="0.28999999999999998"/>
    <x v="0"/>
    <n v="0"/>
    <x v="1"/>
    <s v="30-39"/>
  </r>
  <r>
    <x v="287"/>
    <x v="301"/>
    <x v="0"/>
    <n v="29"/>
    <x v="5"/>
    <x v="0"/>
    <s v="Products"/>
    <d v="2023-11-15T00:00:00"/>
    <m/>
    <x v="300"/>
    <n v="0"/>
    <x v="1"/>
    <n v="2"/>
    <x v="2"/>
    <s v="20-29"/>
  </r>
  <r>
    <x v="288"/>
    <x v="302"/>
    <x v="1"/>
    <n v="35"/>
    <x v="5"/>
    <x v="0"/>
    <s v="R&amp;D"/>
    <d v="2020-01-21T00:00:00"/>
    <m/>
    <x v="301"/>
    <n v="0"/>
    <x v="1"/>
    <n v="6"/>
    <x v="1"/>
    <s v="30-39"/>
  </r>
  <r>
    <x v="289"/>
    <x v="303"/>
    <x v="0"/>
    <n v="27"/>
    <x v="7"/>
    <x v="0"/>
    <s v="Corporate"/>
    <d v="2023-10-07T00:00:00"/>
    <m/>
    <x v="302"/>
    <n v="0"/>
    <x v="1"/>
    <n v="2"/>
    <x v="2"/>
    <s v="20-29"/>
  </r>
  <r>
    <x v="290"/>
    <x v="304"/>
    <x v="0"/>
    <n v="26"/>
    <x v="6"/>
    <x v="5"/>
    <s v="Products"/>
    <d v="2024-04-19T00:00:00"/>
    <m/>
    <x v="303"/>
    <n v="0.2"/>
    <x v="1"/>
    <n v="1"/>
    <x v="2"/>
    <s v="20-29"/>
  </r>
  <r>
    <x v="291"/>
    <x v="305"/>
    <x v="1"/>
    <n v="31"/>
    <x v="7"/>
    <x v="0"/>
    <s v="R&amp;D"/>
    <d v="2020-09-09T00:00:00"/>
    <m/>
    <x v="304"/>
    <n v="0.28999999999999998"/>
    <x v="1"/>
    <n v="5"/>
    <x v="1"/>
    <s v="30-39"/>
  </r>
  <r>
    <x v="292"/>
    <x v="306"/>
    <x v="1"/>
    <n v="31"/>
    <x v="7"/>
    <x v="0"/>
    <s v="Manufacturing"/>
    <d v="2023-11-03T00:00:00"/>
    <m/>
    <x v="305"/>
    <n v="0"/>
    <x v="1"/>
    <n v="2"/>
    <x v="1"/>
    <s v="30-39"/>
  </r>
  <r>
    <x v="293"/>
    <x v="307"/>
    <x v="1"/>
    <n v="36"/>
    <x v="6"/>
    <x v="5"/>
    <s v="Manufacturing"/>
    <d v="2024-04-30T00:00:00"/>
    <m/>
    <x v="306"/>
    <n v="0"/>
    <x v="1"/>
    <n v="1"/>
    <x v="1"/>
    <s v="30-39"/>
  </r>
  <r>
    <x v="294"/>
    <x v="308"/>
    <x v="1"/>
    <n v="45"/>
    <x v="0"/>
    <x v="0"/>
    <s v="Manufacturing"/>
    <d v="2020-02-26T00:00:00"/>
    <m/>
    <x v="307"/>
    <n v="0"/>
    <x v="1"/>
    <n v="5"/>
    <x v="0"/>
    <s v="40-49"/>
  </r>
  <r>
    <x v="295"/>
    <x v="309"/>
    <x v="1"/>
    <n v="37"/>
    <x v="1"/>
    <x v="0"/>
    <s v="Manufacturing"/>
    <d v="2022-09-11T00:00:00"/>
    <m/>
    <x v="308"/>
    <n v="0.22"/>
    <x v="1"/>
    <n v="3"/>
    <x v="1"/>
    <s v="30-39"/>
  </r>
  <r>
    <x v="11"/>
    <x v="310"/>
    <x v="0"/>
    <n v="38"/>
    <x v="8"/>
    <x v="2"/>
    <s v="Manufacturing"/>
    <d v="2024-05-18T00:00:00"/>
    <m/>
    <x v="309"/>
    <n v="7.0000000000000007E-2"/>
    <x v="1"/>
    <n v="1"/>
    <x v="1"/>
    <s v="30-39"/>
  </r>
  <r>
    <x v="296"/>
    <x v="311"/>
    <x v="1"/>
    <n v="45"/>
    <x v="5"/>
    <x v="0"/>
    <s v="Corporate"/>
    <d v="2021-11-09T00:00:00"/>
    <m/>
    <x v="310"/>
    <n v="0"/>
    <x v="1"/>
    <n v="4"/>
    <x v="0"/>
    <s v="40-49"/>
  </r>
  <r>
    <x v="297"/>
    <x v="312"/>
    <x v="0"/>
    <n v="51"/>
    <x v="7"/>
    <x v="0"/>
    <s v="Products"/>
    <d v="2020-05-12T00:00:00"/>
    <m/>
    <x v="311"/>
    <n v="0"/>
    <x v="1"/>
    <n v="5"/>
    <x v="3"/>
    <s v="50-59"/>
  </r>
  <r>
    <x v="298"/>
    <x v="313"/>
    <x v="0"/>
    <n v="56"/>
    <x v="3"/>
    <x v="0"/>
    <s v="Manufacturing"/>
    <d v="2022-09-11T00:00:00"/>
    <m/>
    <x v="312"/>
    <n v="0"/>
    <x v="1"/>
    <n v="3"/>
    <x v="3"/>
    <s v="50-59"/>
  </r>
  <r>
    <x v="299"/>
    <x v="314"/>
    <x v="0"/>
    <n v="53"/>
    <x v="8"/>
    <x v="4"/>
    <s v="R&amp;D"/>
    <d v="2022-10-23T00:00:00"/>
    <m/>
    <x v="313"/>
    <n v="0"/>
    <x v="1"/>
    <n v="3"/>
    <x v="3"/>
    <s v="50-59"/>
  </r>
  <r>
    <x v="300"/>
    <x v="315"/>
    <x v="0"/>
    <n v="47"/>
    <x v="9"/>
    <x v="5"/>
    <s v="Manufacturing"/>
    <d v="2024-08-23T00:00:00"/>
    <m/>
    <x v="314"/>
    <n v="0.05"/>
    <x v="1"/>
    <n v="1"/>
    <x v="0"/>
    <s v="40-49"/>
  </r>
  <r>
    <x v="301"/>
    <x v="316"/>
    <x v="1"/>
    <n v="36"/>
    <x v="8"/>
    <x v="3"/>
    <s v="Products"/>
    <d v="2023-11-07T00:00:00"/>
    <m/>
    <x v="315"/>
    <n v="0.34"/>
    <x v="1"/>
    <n v="2"/>
    <x v="1"/>
    <s v="30-39"/>
  </r>
  <r>
    <x v="200"/>
    <x v="317"/>
    <x v="1"/>
    <n v="41"/>
    <x v="1"/>
    <x v="0"/>
    <s v="R&amp;D"/>
    <d v="2023-10-07T00:00:00"/>
    <m/>
    <x v="316"/>
    <n v="0.35"/>
    <x v="1"/>
    <n v="2"/>
    <x v="0"/>
    <s v="40-49"/>
  </r>
  <r>
    <x v="302"/>
    <x v="318"/>
    <x v="1"/>
    <n v="30"/>
    <x v="9"/>
    <x v="5"/>
    <s v="R&amp;D"/>
    <d v="2022-04-26T00:00:00"/>
    <d v="2024-04-30T00:00:00"/>
    <x v="317"/>
    <n v="0"/>
    <x v="0"/>
    <n v="2"/>
    <x v="1"/>
    <s v="30-39"/>
  </r>
  <r>
    <x v="303"/>
    <x v="319"/>
    <x v="1"/>
    <n v="31"/>
    <x v="3"/>
    <x v="0"/>
    <s v="Corporate"/>
    <d v="2020-02-28T00:00:00"/>
    <m/>
    <x v="318"/>
    <n v="0"/>
    <x v="1"/>
    <n v="5"/>
    <x v="1"/>
    <s v="30-39"/>
  </r>
  <r>
    <x v="304"/>
    <x v="320"/>
    <x v="0"/>
    <n v="38"/>
    <x v="0"/>
    <x v="0"/>
    <s v="Corporate"/>
    <d v="2020-10-12T00:00:00"/>
    <m/>
    <x v="319"/>
    <n v="0"/>
    <x v="1"/>
    <n v="5"/>
    <x v="1"/>
    <s v="30-39"/>
  </r>
  <r>
    <x v="305"/>
    <x v="321"/>
    <x v="1"/>
    <n v="31"/>
    <x v="1"/>
    <x v="0"/>
    <s v="Products"/>
    <d v="2022-01-27T00:00:00"/>
    <m/>
    <x v="320"/>
    <n v="0.28000000000000003"/>
    <x v="1"/>
    <n v="4"/>
    <x v="1"/>
    <s v="30-39"/>
  </r>
  <r>
    <x v="306"/>
    <x v="322"/>
    <x v="0"/>
    <n v="39"/>
    <x v="2"/>
    <x v="1"/>
    <s v="Corporate"/>
    <d v="2024-02-15T00:00:00"/>
    <m/>
    <x v="321"/>
    <n v="0.19"/>
    <x v="1"/>
    <n v="1"/>
    <x v="1"/>
    <s v="30-39"/>
  </r>
  <r>
    <x v="307"/>
    <x v="323"/>
    <x v="0"/>
    <n v="31"/>
    <x v="3"/>
    <x v="0"/>
    <s v="Products"/>
    <d v="2020-01-21T00:00:00"/>
    <d v="2024-05-28T00:00:00"/>
    <x v="322"/>
    <n v="0"/>
    <x v="0"/>
    <n v="4"/>
    <x v="1"/>
    <s v="30-39"/>
  </r>
  <r>
    <x v="308"/>
    <x v="324"/>
    <x v="0"/>
    <n v="45"/>
    <x v="2"/>
    <x v="1"/>
    <s v="R&amp;D"/>
    <d v="2020-12-18T00:00:00"/>
    <m/>
    <x v="323"/>
    <n v="0.28999999999999998"/>
    <x v="1"/>
    <n v="5"/>
    <x v="0"/>
    <s v="40-49"/>
  </r>
  <r>
    <x v="309"/>
    <x v="325"/>
    <x v="0"/>
    <n v="50"/>
    <x v="0"/>
    <x v="0"/>
    <s v="Products"/>
    <d v="2020-01-07T00:00:00"/>
    <m/>
    <x v="324"/>
    <n v="0"/>
    <x v="1"/>
    <n v="6"/>
    <x v="3"/>
    <s v="50-59"/>
  </r>
  <r>
    <x v="310"/>
    <x v="326"/>
    <x v="1"/>
    <n v="36"/>
    <x v="0"/>
    <x v="0"/>
    <s v="R&amp;D"/>
    <d v="2023-10-07T00:00:00"/>
    <m/>
    <x v="325"/>
    <n v="0"/>
    <x v="1"/>
    <n v="2"/>
    <x v="1"/>
    <s v="30-39"/>
  </r>
  <r>
    <x v="311"/>
    <x v="327"/>
    <x v="0"/>
    <n v="45"/>
    <x v="4"/>
    <x v="2"/>
    <s v="R&amp;D"/>
    <d v="2021-10-18T00:00:00"/>
    <m/>
    <x v="326"/>
    <n v="0"/>
    <x v="1"/>
    <n v="4"/>
    <x v="0"/>
    <s v="40-49"/>
  </r>
  <r>
    <x v="312"/>
    <x v="328"/>
    <x v="1"/>
    <n v="31"/>
    <x v="4"/>
    <x v="3"/>
    <s v="Products"/>
    <d v="2022-08-18T00:00:00"/>
    <m/>
    <x v="327"/>
    <n v="0.11"/>
    <x v="1"/>
    <n v="3"/>
    <x v="1"/>
    <s v="30-39"/>
  </r>
  <r>
    <x v="313"/>
    <x v="329"/>
    <x v="0"/>
    <n v="41"/>
    <x v="4"/>
    <x v="4"/>
    <s v="Corporate"/>
    <d v="2024-05-28T00:00:00"/>
    <m/>
    <x v="328"/>
    <n v="0"/>
    <x v="1"/>
    <n v="1"/>
    <x v="0"/>
    <s v="40-49"/>
  </r>
  <r>
    <x v="314"/>
    <x v="330"/>
    <x v="1"/>
    <n v="47"/>
    <x v="5"/>
    <x v="0"/>
    <s v="Manufacturing"/>
    <d v="2022-09-07T00:00:00"/>
    <m/>
    <x v="329"/>
    <n v="0"/>
    <x v="1"/>
    <n v="3"/>
    <x v="0"/>
    <s v="40-49"/>
  </r>
  <r>
    <x v="315"/>
    <x v="331"/>
    <x v="1"/>
    <n v="38"/>
    <x v="4"/>
    <x v="3"/>
    <s v="Manufacturing"/>
    <d v="2024-01-03T00:00:00"/>
    <m/>
    <x v="330"/>
    <n v="7.0000000000000007E-2"/>
    <x v="1"/>
    <n v="2"/>
    <x v="1"/>
    <s v="30-39"/>
  </r>
  <r>
    <x v="153"/>
    <x v="332"/>
    <x v="1"/>
    <n v="40"/>
    <x v="6"/>
    <x v="5"/>
    <s v="R&amp;D"/>
    <d v="2023-05-28T00:00:00"/>
    <m/>
    <x v="331"/>
    <n v="0.36"/>
    <x v="1"/>
    <n v="2"/>
    <x v="0"/>
    <s v="40-49"/>
  </r>
  <r>
    <x v="316"/>
    <x v="333"/>
    <x v="0"/>
    <n v="45"/>
    <x v="5"/>
    <x v="0"/>
    <s v="Products"/>
    <d v="2023-11-15T00:00:00"/>
    <m/>
    <x v="332"/>
    <n v="0"/>
    <x v="1"/>
    <n v="2"/>
    <x v="0"/>
    <s v="40-49"/>
  </r>
  <r>
    <x v="317"/>
    <x v="334"/>
    <x v="0"/>
    <n v="26"/>
    <x v="5"/>
    <x v="0"/>
    <s v="R&amp;D"/>
    <d v="2020-01-21T00:00:00"/>
    <m/>
    <x v="333"/>
    <n v="0.32"/>
    <x v="1"/>
    <n v="6"/>
    <x v="2"/>
    <s v="20-29"/>
  </r>
  <r>
    <x v="318"/>
    <x v="335"/>
    <x v="0"/>
    <n v="35"/>
    <x v="7"/>
    <x v="0"/>
    <s v="Corporate"/>
    <d v="2023-10-07T00:00:00"/>
    <m/>
    <x v="334"/>
    <n v="0"/>
    <x v="1"/>
    <n v="2"/>
    <x v="1"/>
    <s v="30-39"/>
  </r>
  <r>
    <x v="319"/>
    <x v="336"/>
    <x v="0"/>
    <n v="29"/>
    <x v="6"/>
    <x v="5"/>
    <s v="Products"/>
    <d v="2024-04-19T00:00:00"/>
    <m/>
    <x v="335"/>
    <n v="0.2"/>
    <x v="1"/>
    <n v="1"/>
    <x v="2"/>
    <s v="20-29"/>
  </r>
  <r>
    <x v="320"/>
    <x v="337"/>
    <x v="1"/>
    <n v="35"/>
    <x v="7"/>
    <x v="0"/>
    <s v="R&amp;D"/>
    <d v="2020-09-09T00:00:00"/>
    <m/>
    <x v="336"/>
    <n v="0.05"/>
    <x v="1"/>
    <n v="5"/>
    <x v="1"/>
    <s v="30-39"/>
  </r>
  <r>
    <x v="321"/>
    <x v="338"/>
    <x v="0"/>
    <n v="27"/>
    <x v="7"/>
    <x v="0"/>
    <s v="Manufacturing"/>
    <d v="2023-11-03T00:00:00"/>
    <m/>
    <x v="337"/>
    <n v="0.22"/>
    <x v="1"/>
    <n v="2"/>
    <x v="2"/>
    <s v="20-29"/>
  </r>
  <r>
    <x v="322"/>
    <x v="339"/>
    <x v="0"/>
    <n v="26"/>
    <x v="6"/>
    <x v="5"/>
    <s v="Manufacturing"/>
    <d v="2024-04-30T00:00:00"/>
    <m/>
    <x v="338"/>
    <n v="0"/>
    <x v="1"/>
    <n v="1"/>
    <x v="2"/>
    <s v="20-29"/>
  </r>
  <r>
    <x v="323"/>
    <x v="340"/>
    <x v="0"/>
    <n v="27"/>
    <x v="0"/>
    <x v="0"/>
    <s v="Manufacturing"/>
    <d v="2020-02-26T00:00:00"/>
    <m/>
    <x v="339"/>
    <n v="0"/>
    <x v="1"/>
    <n v="5"/>
    <x v="2"/>
    <s v="20-29"/>
  </r>
  <r>
    <x v="324"/>
    <x v="341"/>
    <x v="0"/>
    <n v="30"/>
    <x v="1"/>
    <x v="0"/>
    <s v="Manufacturing"/>
    <d v="2022-09-11T00:00:00"/>
    <m/>
    <x v="340"/>
    <n v="0"/>
    <x v="1"/>
    <n v="3"/>
    <x v="1"/>
    <s v="30-39"/>
  </r>
  <r>
    <x v="325"/>
    <x v="342"/>
    <x v="0"/>
    <n v="36"/>
    <x v="8"/>
    <x v="2"/>
    <s v="Manufacturing"/>
    <d v="2024-05-18T00:00:00"/>
    <m/>
    <x v="341"/>
    <n v="0.12"/>
    <x v="1"/>
    <n v="1"/>
    <x v="1"/>
    <s v="30-39"/>
  </r>
  <r>
    <x v="326"/>
    <x v="343"/>
    <x v="1"/>
    <n v="45"/>
    <x v="5"/>
    <x v="0"/>
    <s v="Corporate"/>
    <d v="2021-11-09T00:00:00"/>
    <m/>
    <x v="342"/>
    <n v="0"/>
    <x v="1"/>
    <n v="4"/>
    <x v="0"/>
    <s v="40-49"/>
  </r>
  <r>
    <x v="327"/>
    <x v="344"/>
    <x v="0"/>
    <n v="37"/>
    <x v="7"/>
    <x v="0"/>
    <s v="Products"/>
    <d v="2020-05-12T00:00:00"/>
    <m/>
    <x v="343"/>
    <n v="0"/>
    <x v="1"/>
    <n v="5"/>
    <x v="1"/>
    <s v="30-39"/>
  </r>
  <r>
    <x v="328"/>
    <x v="345"/>
    <x v="1"/>
    <n v="38"/>
    <x v="3"/>
    <x v="0"/>
    <s v="Manufacturing"/>
    <d v="2022-09-11T00:00:00"/>
    <m/>
    <x v="344"/>
    <n v="0.1"/>
    <x v="1"/>
    <n v="3"/>
    <x v="1"/>
    <s v="30-39"/>
  </r>
  <r>
    <x v="329"/>
    <x v="346"/>
    <x v="1"/>
    <n v="45"/>
    <x v="8"/>
    <x v="4"/>
    <s v="R&amp;D"/>
    <d v="2022-10-23T00:00:00"/>
    <m/>
    <x v="345"/>
    <n v="0.32"/>
    <x v="1"/>
    <n v="3"/>
    <x v="0"/>
    <s v="40-49"/>
  </r>
  <r>
    <x v="330"/>
    <x v="347"/>
    <x v="0"/>
    <n v="51"/>
    <x v="9"/>
    <x v="5"/>
    <s v="Manufacturing"/>
    <d v="2024-08-23T00:00:00"/>
    <m/>
    <x v="346"/>
    <n v="0.28999999999999998"/>
    <x v="1"/>
    <n v="1"/>
    <x v="3"/>
    <s v="50-59"/>
  </r>
  <r>
    <x v="331"/>
    <x v="348"/>
    <x v="0"/>
    <n v="56"/>
    <x v="8"/>
    <x v="3"/>
    <s v="Products"/>
    <d v="2023-11-07T00:00:00"/>
    <m/>
    <x v="347"/>
    <n v="0"/>
    <x v="1"/>
    <n v="2"/>
    <x v="3"/>
    <s v="50-59"/>
  </r>
  <r>
    <x v="332"/>
    <x v="349"/>
    <x v="0"/>
    <n v="53"/>
    <x v="1"/>
    <x v="0"/>
    <s v="R&amp;D"/>
    <d v="2020-01-07T00:00:00"/>
    <d v="2024-02-10T00:00:00"/>
    <x v="348"/>
    <n v="0"/>
    <x v="0"/>
    <n v="4"/>
    <x v="3"/>
    <s v="50-59"/>
  </r>
  <r>
    <x v="333"/>
    <x v="350"/>
    <x v="1"/>
    <n v="47"/>
    <x v="9"/>
    <x v="5"/>
    <s v="R&amp;D"/>
    <d v="2022-04-26T00:00:00"/>
    <m/>
    <x v="349"/>
    <n v="0.09"/>
    <x v="1"/>
    <n v="3"/>
    <x v="0"/>
    <s v="40-49"/>
  </r>
  <r>
    <x v="334"/>
    <x v="351"/>
    <x v="1"/>
    <n v="36"/>
    <x v="3"/>
    <x v="0"/>
    <s v="Corporate"/>
    <d v="2020-02-28T00:00:00"/>
    <m/>
    <x v="350"/>
    <n v="0"/>
    <x v="1"/>
    <n v="5"/>
    <x v="1"/>
    <s v="30-39"/>
  </r>
  <r>
    <x v="335"/>
    <x v="352"/>
    <x v="0"/>
    <n v="41"/>
    <x v="0"/>
    <x v="0"/>
    <s v="Corporate"/>
    <d v="2020-10-12T00:00:00"/>
    <m/>
    <x v="351"/>
    <n v="0.13"/>
    <x v="1"/>
    <n v="5"/>
    <x v="0"/>
    <s v="40-49"/>
  </r>
  <r>
    <x v="336"/>
    <x v="353"/>
    <x v="0"/>
    <n v="30"/>
    <x v="1"/>
    <x v="0"/>
    <s v="Products"/>
    <d v="2022-01-27T00:00:00"/>
    <m/>
    <x v="352"/>
    <n v="0"/>
    <x v="1"/>
    <n v="4"/>
    <x v="1"/>
    <s v="30-39"/>
  </r>
  <r>
    <x v="337"/>
    <x v="354"/>
    <x v="0"/>
    <n v="30"/>
    <x v="2"/>
    <x v="1"/>
    <s v="Corporate"/>
    <d v="2024-02-15T00:00:00"/>
    <m/>
    <x v="353"/>
    <n v="0"/>
    <x v="1"/>
    <n v="1"/>
    <x v="1"/>
    <s v="30-39"/>
  </r>
  <r>
    <x v="338"/>
    <x v="355"/>
    <x v="0"/>
    <n v="38"/>
    <x v="3"/>
    <x v="0"/>
    <s v="Products"/>
    <d v="2024-02-10T00:00:00"/>
    <m/>
    <x v="354"/>
    <n v="0.19"/>
    <x v="1"/>
    <n v="1"/>
    <x v="1"/>
    <s v="30-39"/>
  </r>
  <r>
    <x v="339"/>
    <x v="356"/>
    <x v="0"/>
    <n v="28"/>
    <x v="2"/>
    <x v="1"/>
    <s v="R&amp;D"/>
    <d v="2020-12-18T00:00:00"/>
    <m/>
    <x v="355"/>
    <n v="7.0000000000000007E-2"/>
    <x v="1"/>
    <n v="5"/>
    <x v="2"/>
    <s v="20-29"/>
  </r>
  <r>
    <x v="340"/>
    <x v="357"/>
    <x v="0"/>
    <n v="39"/>
    <x v="0"/>
    <x v="0"/>
    <s v="Products"/>
    <d v="2020-01-07T00:00:00"/>
    <m/>
    <x v="356"/>
    <n v="7.0000000000000007E-2"/>
    <x v="1"/>
    <n v="6"/>
    <x v="1"/>
    <s v="30-39"/>
  </r>
  <r>
    <x v="341"/>
    <x v="358"/>
    <x v="0"/>
    <n v="31"/>
    <x v="0"/>
    <x v="0"/>
    <s v="R&amp;D"/>
    <d v="2023-10-07T00:00:00"/>
    <m/>
    <x v="357"/>
    <n v="0.1"/>
    <x v="1"/>
    <n v="2"/>
    <x v="1"/>
    <s v="30-39"/>
  </r>
  <r>
    <x v="342"/>
    <x v="359"/>
    <x v="1"/>
    <n v="45"/>
    <x v="4"/>
    <x v="2"/>
    <s v="R&amp;D"/>
    <d v="2021-10-18T00:00:00"/>
    <m/>
    <x v="358"/>
    <n v="0.1"/>
    <x v="1"/>
    <n v="4"/>
    <x v="0"/>
    <s v="40-49"/>
  </r>
  <r>
    <x v="343"/>
    <x v="360"/>
    <x v="0"/>
    <n v="50"/>
    <x v="4"/>
    <x v="3"/>
    <s v="Products"/>
    <d v="2022-08-18T00:00:00"/>
    <m/>
    <x v="359"/>
    <n v="0"/>
    <x v="1"/>
    <n v="3"/>
    <x v="3"/>
    <s v="50-59"/>
  </r>
  <r>
    <x v="344"/>
    <x v="361"/>
    <x v="1"/>
    <n v="36"/>
    <x v="4"/>
    <x v="4"/>
    <s v="Corporate"/>
    <d v="2024-05-28T00:00:00"/>
    <m/>
    <x v="360"/>
    <n v="0"/>
    <x v="1"/>
    <n v="1"/>
    <x v="1"/>
    <s v="30-39"/>
  </r>
  <r>
    <x v="345"/>
    <x v="362"/>
    <x v="0"/>
    <n v="45"/>
    <x v="5"/>
    <x v="0"/>
    <s v="Manufacturing"/>
    <d v="2022-09-07T00:00:00"/>
    <m/>
    <x v="361"/>
    <n v="0.25"/>
    <x v="1"/>
    <n v="3"/>
    <x v="0"/>
    <s v="40-49"/>
  </r>
  <r>
    <x v="249"/>
    <x v="363"/>
    <x v="0"/>
    <n v="29"/>
    <x v="4"/>
    <x v="3"/>
    <s v="Manufacturing"/>
    <d v="2024-01-03T00:00:00"/>
    <m/>
    <x v="362"/>
    <n v="0.13"/>
    <x v="1"/>
    <n v="2"/>
    <x v="2"/>
    <s v="20-29"/>
  </r>
  <r>
    <x v="346"/>
    <x v="364"/>
    <x v="1"/>
    <n v="41"/>
    <x v="6"/>
    <x v="5"/>
    <s v="R&amp;D"/>
    <d v="2023-05-28T00:00:00"/>
    <m/>
    <x v="363"/>
    <n v="0"/>
    <x v="1"/>
    <n v="2"/>
    <x v="0"/>
    <s v="40-49"/>
  </r>
  <r>
    <x v="347"/>
    <x v="365"/>
    <x v="1"/>
    <n v="47"/>
    <x v="5"/>
    <x v="0"/>
    <s v="Products"/>
    <d v="2023-11-15T00:00:00"/>
    <m/>
    <x v="364"/>
    <n v="0.12"/>
    <x v="1"/>
    <n v="2"/>
    <x v="0"/>
    <s v="40-49"/>
  </r>
  <r>
    <x v="348"/>
    <x v="366"/>
    <x v="0"/>
    <n v="38"/>
    <x v="5"/>
    <x v="0"/>
    <s v="R&amp;D"/>
    <d v="2020-01-21T00:00:00"/>
    <m/>
    <x v="365"/>
    <n v="0"/>
    <x v="1"/>
    <n v="6"/>
    <x v="1"/>
    <s v="30-39"/>
  </r>
  <r>
    <x v="349"/>
    <x v="367"/>
    <x v="1"/>
    <n v="40"/>
    <x v="7"/>
    <x v="0"/>
    <s v="Corporate"/>
    <d v="2023-10-07T00:00:00"/>
    <m/>
    <x v="366"/>
    <n v="0"/>
    <x v="1"/>
    <n v="2"/>
    <x v="0"/>
    <s v="40-49"/>
  </r>
  <r>
    <x v="350"/>
    <x v="368"/>
    <x v="0"/>
    <n v="45"/>
    <x v="6"/>
    <x v="5"/>
    <s v="Products"/>
    <d v="2024-04-19T00:00:00"/>
    <m/>
    <x v="367"/>
    <n v="0.34"/>
    <x v="1"/>
    <n v="1"/>
    <x v="0"/>
    <s v="40-49"/>
  </r>
  <r>
    <x v="351"/>
    <x v="369"/>
    <x v="0"/>
    <n v="26"/>
    <x v="7"/>
    <x v="0"/>
    <s v="R&amp;D"/>
    <d v="2020-09-09T00:00:00"/>
    <m/>
    <x v="368"/>
    <n v="0.21"/>
    <x v="1"/>
    <n v="5"/>
    <x v="2"/>
    <s v="20-29"/>
  </r>
  <r>
    <x v="352"/>
    <x v="370"/>
    <x v="1"/>
    <n v="35"/>
    <x v="7"/>
    <x v="0"/>
    <s v="Manufacturing"/>
    <d v="2023-11-03T00:00:00"/>
    <m/>
    <x v="369"/>
    <n v="0"/>
    <x v="1"/>
    <n v="2"/>
    <x v="1"/>
    <s v="30-39"/>
  </r>
  <r>
    <x v="133"/>
    <x v="371"/>
    <x v="0"/>
    <n v="29"/>
    <x v="6"/>
    <x v="5"/>
    <s v="Manufacturing"/>
    <d v="2024-04-30T00:00:00"/>
    <m/>
    <x v="370"/>
    <n v="0.11"/>
    <x v="1"/>
    <n v="1"/>
    <x v="2"/>
    <s v="20-29"/>
  </r>
  <r>
    <x v="353"/>
    <x v="372"/>
    <x v="1"/>
    <n v="35"/>
    <x v="0"/>
    <x v="0"/>
    <s v="Manufacturing"/>
    <d v="2020-02-26T00:00:00"/>
    <m/>
    <x v="371"/>
    <n v="0"/>
    <x v="1"/>
    <n v="5"/>
    <x v="1"/>
    <s v="30-39"/>
  </r>
  <r>
    <x v="354"/>
    <x v="373"/>
    <x v="0"/>
    <n v="27"/>
    <x v="1"/>
    <x v="0"/>
    <s v="Manufacturing"/>
    <d v="2022-09-11T00:00:00"/>
    <d v="2023-11-07T00:00:00"/>
    <x v="372"/>
    <n v="0.13"/>
    <x v="0"/>
    <n v="1"/>
    <x v="2"/>
    <s v="20-29"/>
  </r>
  <r>
    <x v="355"/>
    <x v="374"/>
    <x v="0"/>
    <n v="31"/>
    <x v="8"/>
    <x v="2"/>
    <s v="Manufacturing"/>
    <d v="2024-05-18T00:00:00"/>
    <m/>
    <x v="373"/>
    <n v="0.21"/>
    <x v="1"/>
    <n v="1"/>
    <x v="1"/>
    <s v="30-39"/>
  </r>
  <r>
    <x v="356"/>
    <x v="375"/>
    <x v="0"/>
    <n v="31"/>
    <x v="5"/>
    <x v="0"/>
    <s v="Corporate"/>
    <d v="2021-11-09T00:00:00"/>
    <m/>
    <x v="374"/>
    <n v="0"/>
    <x v="1"/>
    <n v="4"/>
    <x v="1"/>
    <s v="30-39"/>
  </r>
  <r>
    <x v="357"/>
    <x v="376"/>
    <x v="0"/>
    <n v="31"/>
    <x v="7"/>
    <x v="0"/>
    <s v="Products"/>
    <d v="2020-05-12T00:00:00"/>
    <m/>
    <x v="375"/>
    <n v="0"/>
    <x v="1"/>
    <n v="5"/>
    <x v="1"/>
    <s v="30-39"/>
  </r>
  <r>
    <x v="358"/>
    <x v="377"/>
    <x v="0"/>
    <n v="36"/>
    <x v="3"/>
    <x v="0"/>
    <s v="Manufacturing"/>
    <d v="2022-09-11T00:00:00"/>
    <m/>
    <x v="376"/>
    <n v="0"/>
    <x v="1"/>
    <n v="3"/>
    <x v="1"/>
    <s v="30-39"/>
  </r>
  <r>
    <x v="359"/>
    <x v="378"/>
    <x v="1"/>
    <n v="45"/>
    <x v="8"/>
    <x v="4"/>
    <s v="R&amp;D"/>
    <d v="2022-10-23T00:00:00"/>
    <m/>
    <x v="377"/>
    <n v="0"/>
    <x v="1"/>
    <n v="3"/>
    <x v="0"/>
    <s v="40-49"/>
  </r>
  <r>
    <x v="360"/>
    <x v="379"/>
    <x v="1"/>
    <n v="37"/>
    <x v="9"/>
    <x v="5"/>
    <s v="Manufacturing"/>
    <d v="2024-08-23T00:00:00"/>
    <m/>
    <x v="378"/>
    <n v="0"/>
    <x v="1"/>
    <n v="1"/>
    <x v="1"/>
    <s v="30-39"/>
  </r>
  <r>
    <x v="361"/>
    <x v="380"/>
    <x v="0"/>
    <n v="38"/>
    <x v="8"/>
    <x v="3"/>
    <s v="Products"/>
    <d v="2023-11-07T00:00:00"/>
    <m/>
    <x v="379"/>
    <n v="0"/>
    <x v="1"/>
    <n v="2"/>
    <x v="1"/>
    <s v="30-39"/>
  </r>
  <r>
    <x v="362"/>
    <x v="381"/>
    <x v="1"/>
    <n v="45"/>
    <x v="1"/>
    <x v="0"/>
    <s v="R&amp;D"/>
    <d v="2023-10-07T00:00:00"/>
    <m/>
    <x v="380"/>
    <n v="0"/>
    <x v="1"/>
    <n v="2"/>
    <x v="0"/>
    <s v="40-49"/>
  </r>
  <r>
    <x v="363"/>
    <x v="382"/>
    <x v="0"/>
    <n v="51"/>
    <x v="9"/>
    <x v="5"/>
    <s v="R&amp;D"/>
    <d v="2022-04-26T00:00:00"/>
    <m/>
    <x v="381"/>
    <n v="0"/>
    <x v="1"/>
    <n v="3"/>
    <x v="3"/>
    <s v="50-59"/>
  </r>
  <r>
    <x v="364"/>
    <x v="383"/>
    <x v="0"/>
    <n v="56"/>
    <x v="3"/>
    <x v="0"/>
    <s v="Corporate"/>
    <d v="2020-02-28T00:00:00"/>
    <m/>
    <x v="382"/>
    <n v="0"/>
    <x v="1"/>
    <n v="5"/>
    <x v="3"/>
    <s v="50-59"/>
  </r>
  <r>
    <x v="365"/>
    <x v="384"/>
    <x v="0"/>
    <n v="53"/>
    <x v="0"/>
    <x v="0"/>
    <s v="Corporate"/>
    <d v="2020-10-12T00:00:00"/>
    <d v="2024-05-28T00:00:00"/>
    <x v="383"/>
    <n v="0.4"/>
    <x v="0"/>
    <n v="3"/>
    <x v="3"/>
    <s v="50-59"/>
  </r>
  <r>
    <x v="7"/>
    <x v="385"/>
    <x v="0"/>
    <n v="47"/>
    <x v="1"/>
    <x v="0"/>
    <s v="Products"/>
    <d v="2022-01-27T00:00:00"/>
    <m/>
    <x v="384"/>
    <n v="0"/>
    <x v="1"/>
    <n v="4"/>
    <x v="0"/>
    <s v="40-49"/>
  </r>
  <r>
    <x v="366"/>
    <x v="386"/>
    <x v="1"/>
    <n v="36"/>
    <x v="2"/>
    <x v="1"/>
    <s v="Corporate"/>
    <d v="2024-02-15T00:00:00"/>
    <m/>
    <x v="385"/>
    <n v="0.34"/>
    <x v="1"/>
    <n v="1"/>
    <x v="1"/>
    <s v="30-39"/>
  </r>
  <r>
    <x v="367"/>
    <x v="387"/>
    <x v="0"/>
    <n v="41"/>
    <x v="3"/>
    <x v="0"/>
    <s v="Products"/>
    <d v="2022-02-10T00:00:00"/>
    <d v="2024-05-28T00:00:00"/>
    <x v="386"/>
    <n v="0"/>
    <x v="0"/>
    <n v="2"/>
    <x v="0"/>
    <s v="40-49"/>
  </r>
  <r>
    <x v="368"/>
    <x v="388"/>
    <x v="0"/>
    <n v="31"/>
    <x v="2"/>
    <x v="1"/>
    <s v="R&amp;D"/>
    <d v="2020-12-18T00:00:00"/>
    <m/>
    <x v="387"/>
    <n v="0"/>
    <x v="1"/>
    <n v="5"/>
    <x v="1"/>
    <s v="30-39"/>
  </r>
  <r>
    <x v="7"/>
    <x v="389"/>
    <x v="0"/>
    <n v="31"/>
    <x v="0"/>
    <x v="0"/>
    <s v="Products"/>
    <d v="2020-01-07T00:00:00"/>
    <m/>
    <x v="388"/>
    <n v="0.11"/>
    <x v="1"/>
    <n v="6"/>
    <x v="1"/>
    <s v="30-39"/>
  </r>
  <r>
    <x v="8"/>
    <x v="390"/>
    <x v="0"/>
    <n v="38"/>
    <x v="0"/>
    <x v="0"/>
    <s v="R&amp;D"/>
    <d v="2023-10-07T00:00:00"/>
    <m/>
    <x v="389"/>
    <n v="0.12"/>
    <x v="1"/>
    <n v="2"/>
    <x v="1"/>
    <s v="30-39"/>
  </r>
  <r>
    <x v="369"/>
    <x v="391"/>
    <x v="0"/>
    <n v="31"/>
    <x v="4"/>
    <x v="2"/>
    <s v="R&amp;D"/>
    <d v="2021-10-18T00:00:00"/>
    <m/>
    <x v="390"/>
    <n v="0.23"/>
    <x v="1"/>
    <n v="4"/>
    <x v="1"/>
    <s v="30-39"/>
  </r>
  <r>
    <x v="224"/>
    <x v="392"/>
    <x v="0"/>
    <n v="39"/>
    <x v="4"/>
    <x v="3"/>
    <s v="Products"/>
    <d v="2022-08-18T00:00:00"/>
    <m/>
    <x v="391"/>
    <n v="0"/>
    <x v="1"/>
    <n v="3"/>
    <x v="1"/>
    <s v="30-39"/>
  </r>
  <r>
    <x v="370"/>
    <x v="393"/>
    <x v="1"/>
    <n v="31"/>
    <x v="4"/>
    <x v="4"/>
    <s v="Corporate"/>
    <d v="2024-05-28T00:00:00"/>
    <m/>
    <x v="392"/>
    <n v="0.06"/>
    <x v="1"/>
    <n v="1"/>
    <x v="1"/>
    <s v="30-39"/>
  </r>
  <r>
    <x v="371"/>
    <x v="394"/>
    <x v="0"/>
    <n v="45"/>
    <x v="5"/>
    <x v="0"/>
    <s v="Manufacturing"/>
    <d v="2022-09-07T00:00:00"/>
    <m/>
    <x v="393"/>
    <n v="0"/>
    <x v="1"/>
    <n v="3"/>
    <x v="0"/>
    <s v="40-49"/>
  </r>
  <r>
    <x v="372"/>
    <x v="395"/>
    <x v="1"/>
    <n v="50"/>
    <x v="4"/>
    <x v="3"/>
    <s v="Manufacturing"/>
    <d v="2024-01-03T00:00:00"/>
    <m/>
    <x v="394"/>
    <n v="0"/>
    <x v="1"/>
    <n v="2"/>
    <x v="3"/>
    <s v="50-59"/>
  </r>
  <r>
    <x v="373"/>
    <x v="396"/>
    <x v="1"/>
    <n v="36"/>
    <x v="6"/>
    <x v="5"/>
    <s v="R&amp;D"/>
    <d v="2023-05-28T00:00:00"/>
    <m/>
    <x v="395"/>
    <n v="0.27"/>
    <x v="1"/>
    <n v="2"/>
    <x v="1"/>
    <s v="30-39"/>
  </r>
  <r>
    <x v="374"/>
    <x v="397"/>
    <x v="1"/>
    <n v="45"/>
    <x v="5"/>
    <x v="0"/>
    <s v="Products"/>
    <d v="2023-11-15T00:00:00"/>
    <m/>
    <x v="396"/>
    <n v="0"/>
    <x v="1"/>
    <n v="2"/>
    <x v="0"/>
    <s v="40-49"/>
  </r>
  <r>
    <x v="9"/>
    <x v="398"/>
    <x v="0"/>
    <n v="31"/>
    <x v="5"/>
    <x v="0"/>
    <s v="R&amp;D"/>
    <d v="2020-01-21T00:00:00"/>
    <m/>
    <x v="397"/>
    <n v="0.12"/>
    <x v="1"/>
    <n v="6"/>
    <x v="1"/>
    <s v="30-39"/>
  </r>
  <r>
    <x v="375"/>
    <x v="399"/>
    <x v="1"/>
    <n v="41"/>
    <x v="7"/>
    <x v="0"/>
    <s v="Corporate"/>
    <d v="2023-10-07T00:00:00"/>
    <m/>
    <x v="398"/>
    <n v="0.15"/>
    <x v="1"/>
    <n v="2"/>
    <x v="0"/>
    <s v="40-49"/>
  </r>
  <r>
    <x v="376"/>
    <x v="400"/>
    <x v="0"/>
    <n v="47"/>
    <x v="6"/>
    <x v="5"/>
    <s v="Products"/>
    <d v="2024-04-19T00:00:00"/>
    <m/>
    <x v="399"/>
    <n v="0.08"/>
    <x v="1"/>
    <n v="1"/>
    <x v="0"/>
    <s v="40-49"/>
  </r>
  <r>
    <x v="377"/>
    <x v="401"/>
    <x v="1"/>
    <n v="38"/>
    <x v="7"/>
    <x v="0"/>
    <s v="R&amp;D"/>
    <d v="2020-09-09T00:00:00"/>
    <m/>
    <x v="400"/>
    <n v="0"/>
    <x v="1"/>
    <n v="5"/>
    <x v="1"/>
    <s v="30-39"/>
  </r>
  <r>
    <x v="378"/>
    <x v="402"/>
    <x v="1"/>
    <n v="40"/>
    <x v="7"/>
    <x v="0"/>
    <s v="Manufacturing"/>
    <d v="2023-11-03T00:00:00"/>
    <m/>
    <x v="401"/>
    <n v="0"/>
    <x v="1"/>
    <n v="2"/>
    <x v="0"/>
    <s v="40-49"/>
  </r>
  <r>
    <x v="379"/>
    <x v="403"/>
    <x v="1"/>
    <n v="45"/>
    <x v="6"/>
    <x v="5"/>
    <s v="Manufacturing"/>
    <d v="2022-04-30T00:00:00"/>
    <d v="2023-11-07T00:00:00"/>
    <x v="402"/>
    <n v="0.12"/>
    <x v="0"/>
    <n v="1"/>
    <x v="0"/>
    <s v="40-49"/>
  </r>
  <r>
    <x v="380"/>
    <x v="404"/>
    <x v="0"/>
    <n v="31"/>
    <x v="0"/>
    <x v="0"/>
    <s v="Manufacturing"/>
    <d v="2020-02-26T00:00:00"/>
    <m/>
    <x v="403"/>
    <n v="0.14000000000000001"/>
    <x v="1"/>
    <n v="5"/>
    <x v="1"/>
    <s v="30-39"/>
  </r>
  <r>
    <x v="381"/>
    <x v="405"/>
    <x v="1"/>
    <n v="35"/>
    <x v="1"/>
    <x v="0"/>
    <s v="Manufacturing"/>
    <d v="2022-09-11T00:00:00"/>
    <m/>
    <x v="404"/>
    <n v="0"/>
    <x v="1"/>
    <n v="3"/>
    <x v="1"/>
    <s v="30-39"/>
  </r>
  <r>
    <x v="382"/>
    <x v="406"/>
    <x v="0"/>
    <n v="31"/>
    <x v="8"/>
    <x v="2"/>
    <s v="Manufacturing"/>
    <d v="2024-05-18T00:00:00"/>
    <m/>
    <x v="405"/>
    <n v="0"/>
    <x v="1"/>
    <n v="1"/>
    <x v="1"/>
    <s v="30-39"/>
  </r>
  <r>
    <x v="383"/>
    <x v="407"/>
    <x v="0"/>
    <n v="35"/>
    <x v="5"/>
    <x v="0"/>
    <s v="Corporate"/>
    <d v="2021-11-09T00:00:00"/>
    <m/>
    <x v="406"/>
    <n v="0"/>
    <x v="1"/>
    <n v="4"/>
    <x v="1"/>
    <s v="30-39"/>
  </r>
  <r>
    <x v="384"/>
    <x v="408"/>
    <x v="0"/>
    <n v="31"/>
    <x v="7"/>
    <x v="0"/>
    <s v="Products"/>
    <d v="2020-05-12T00:00:00"/>
    <m/>
    <x v="407"/>
    <n v="0"/>
    <x v="1"/>
    <n v="5"/>
    <x v="1"/>
    <s v="30-39"/>
  </r>
  <r>
    <x v="385"/>
    <x v="409"/>
    <x v="0"/>
    <n v="31"/>
    <x v="3"/>
    <x v="0"/>
    <s v="Manufacturing"/>
    <d v="2022-09-11T00:00:00"/>
    <m/>
    <x v="408"/>
    <n v="0.23"/>
    <x v="1"/>
    <n v="3"/>
    <x v="1"/>
    <s v="30-39"/>
  </r>
  <r>
    <x v="386"/>
    <x v="410"/>
    <x v="0"/>
    <n v="31"/>
    <x v="8"/>
    <x v="4"/>
    <s v="R&amp;D"/>
    <d v="2022-10-23T00:00:00"/>
    <m/>
    <x v="409"/>
    <n v="0.36"/>
    <x v="1"/>
    <n v="3"/>
    <x v="1"/>
    <s v="30-39"/>
  </r>
  <r>
    <x v="387"/>
    <x v="411"/>
    <x v="0"/>
    <n v="31"/>
    <x v="9"/>
    <x v="5"/>
    <s v="Manufacturing"/>
    <d v="2024-08-23T00:00:00"/>
    <m/>
    <x v="410"/>
    <n v="0"/>
    <x v="1"/>
    <n v="1"/>
    <x v="1"/>
    <s v="30-39"/>
  </r>
  <r>
    <x v="388"/>
    <x v="412"/>
    <x v="0"/>
    <n v="36"/>
    <x v="8"/>
    <x v="3"/>
    <s v="Products"/>
    <d v="2023-11-07T00:00:00"/>
    <m/>
    <x v="411"/>
    <n v="0"/>
    <x v="1"/>
    <n v="2"/>
    <x v="1"/>
    <s v="30-39"/>
  </r>
  <r>
    <x v="389"/>
    <x v="413"/>
    <x v="1"/>
    <n v="45"/>
    <x v="1"/>
    <x v="0"/>
    <s v="R&amp;D"/>
    <d v="2023-10-07T00:00:00"/>
    <m/>
    <x v="412"/>
    <n v="0.09"/>
    <x v="1"/>
    <n v="2"/>
    <x v="0"/>
    <s v="40-49"/>
  </r>
  <r>
    <x v="390"/>
    <x v="414"/>
    <x v="1"/>
    <n v="37"/>
    <x v="9"/>
    <x v="5"/>
    <s v="R&amp;D"/>
    <d v="2022-04-26T00:00:00"/>
    <m/>
    <x v="413"/>
    <n v="0.09"/>
    <x v="1"/>
    <n v="3"/>
    <x v="1"/>
    <s v="30-39"/>
  </r>
  <r>
    <x v="391"/>
    <x v="415"/>
    <x v="1"/>
    <n v="38"/>
    <x v="3"/>
    <x v="0"/>
    <s v="Corporate"/>
    <d v="2020-02-28T00:00:00"/>
    <m/>
    <x v="414"/>
    <n v="0"/>
    <x v="1"/>
    <n v="5"/>
    <x v="1"/>
    <s v="30-39"/>
  </r>
  <r>
    <x v="392"/>
    <x v="416"/>
    <x v="1"/>
    <n v="45"/>
    <x v="0"/>
    <x v="0"/>
    <s v="Corporate"/>
    <d v="2020-10-12T00:00:00"/>
    <m/>
    <x v="415"/>
    <n v="0"/>
    <x v="1"/>
    <n v="5"/>
    <x v="0"/>
    <s v="40-49"/>
  </r>
  <r>
    <x v="393"/>
    <x v="417"/>
    <x v="0"/>
    <n v="51"/>
    <x v="1"/>
    <x v="0"/>
    <s v="Products"/>
    <d v="2022-01-27T00:00:00"/>
    <m/>
    <x v="416"/>
    <n v="0.36"/>
    <x v="1"/>
    <n v="4"/>
    <x v="3"/>
    <s v="50-59"/>
  </r>
  <r>
    <x v="394"/>
    <x v="418"/>
    <x v="0"/>
    <n v="56"/>
    <x v="2"/>
    <x v="1"/>
    <s v="Corporate"/>
    <d v="2024-02-15T00:00:00"/>
    <m/>
    <x v="417"/>
    <n v="0"/>
    <x v="1"/>
    <n v="1"/>
    <x v="3"/>
    <s v="50-59"/>
  </r>
  <r>
    <x v="395"/>
    <x v="419"/>
    <x v="0"/>
    <n v="53"/>
    <x v="3"/>
    <x v="0"/>
    <s v="Products"/>
    <d v="2024-02-10T00:00:00"/>
    <m/>
    <x v="418"/>
    <n v="0"/>
    <x v="1"/>
    <n v="1"/>
    <x v="3"/>
    <s v="50-59"/>
  </r>
  <r>
    <x v="396"/>
    <x v="420"/>
    <x v="0"/>
    <n v="47"/>
    <x v="2"/>
    <x v="1"/>
    <s v="R&amp;D"/>
    <d v="2020-12-18T00:00:00"/>
    <m/>
    <x v="419"/>
    <n v="0"/>
    <x v="1"/>
    <n v="5"/>
    <x v="0"/>
    <s v="40-49"/>
  </r>
  <r>
    <x v="397"/>
    <x v="421"/>
    <x v="0"/>
    <n v="36"/>
    <x v="0"/>
    <x v="0"/>
    <s v="Products"/>
    <d v="2020-01-07T00:00:00"/>
    <m/>
    <x v="420"/>
    <n v="0"/>
    <x v="1"/>
    <n v="6"/>
    <x v="1"/>
    <s v="30-39"/>
  </r>
  <r>
    <x v="398"/>
    <x v="422"/>
    <x v="0"/>
    <n v="41"/>
    <x v="0"/>
    <x v="0"/>
    <s v="R&amp;D"/>
    <d v="2023-10-07T00:00:00"/>
    <m/>
    <x v="421"/>
    <n v="0.38"/>
    <x v="1"/>
    <n v="2"/>
    <x v="0"/>
    <s v="40-49"/>
  </r>
  <r>
    <x v="399"/>
    <x v="423"/>
    <x v="0"/>
    <n v="31"/>
    <x v="4"/>
    <x v="2"/>
    <s v="R&amp;D"/>
    <d v="2021-10-18T00:00:00"/>
    <m/>
    <x v="422"/>
    <n v="0.15"/>
    <x v="1"/>
    <n v="4"/>
    <x v="1"/>
    <s v="30-39"/>
  </r>
  <r>
    <x v="400"/>
    <x v="424"/>
    <x v="0"/>
    <n v="31"/>
    <x v="4"/>
    <x v="3"/>
    <s v="Products"/>
    <d v="2022-08-18T00:00:00"/>
    <m/>
    <x v="423"/>
    <n v="0.1"/>
    <x v="1"/>
    <n v="3"/>
    <x v="1"/>
    <s v="30-39"/>
  </r>
  <r>
    <x v="401"/>
    <x v="425"/>
    <x v="0"/>
    <n v="38"/>
    <x v="4"/>
    <x v="4"/>
    <s v="Corporate"/>
    <d v="2024-05-28T00:00:00"/>
    <m/>
    <x v="424"/>
    <n v="0.15"/>
    <x v="1"/>
    <n v="1"/>
    <x v="1"/>
    <s v="30-39"/>
  </r>
  <r>
    <x v="285"/>
    <x v="426"/>
    <x v="0"/>
    <n v="28"/>
    <x v="5"/>
    <x v="0"/>
    <s v="Manufacturing"/>
    <d v="2022-09-07T00:00:00"/>
    <d v="2024-04-30T00:00:00"/>
    <x v="425"/>
    <n v="0.05"/>
    <x v="0"/>
    <n v="1"/>
    <x v="2"/>
    <s v="20-29"/>
  </r>
  <r>
    <x v="402"/>
    <x v="427"/>
    <x v="0"/>
    <n v="39"/>
    <x v="4"/>
    <x v="3"/>
    <s v="Manufacturing"/>
    <d v="2024-01-03T00:00:00"/>
    <m/>
    <x v="426"/>
    <n v="0"/>
    <x v="1"/>
    <n v="2"/>
    <x v="1"/>
    <s v="30-39"/>
  </r>
  <r>
    <x v="403"/>
    <x v="428"/>
    <x v="1"/>
    <n v="31"/>
    <x v="6"/>
    <x v="5"/>
    <s v="R&amp;D"/>
    <d v="2023-05-28T00:00:00"/>
    <m/>
    <x v="427"/>
    <n v="0.18"/>
    <x v="1"/>
    <n v="2"/>
    <x v="1"/>
    <s v="30-39"/>
  </r>
  <r>
    <x v="404"/>
    <x v="429"/>
    <x v="1"/>
    <n v="45"/>
    <x v="5"/>
    <x v="0"/>
    <s v="Products"/>
    <d v="2023-11-15T00:00:00"/>
    <m/>
    <x v="428"/>
    <n v="0"/>
    <x v="1"/>
    <n v="2"/>
    <x v="0"/>
    <s v="40-49"/>
  </r>
  <r>
    <x v="405"/>
    <x v="430"/>
    <x v="1"/>
    <n v="50"/>
    <x v="5"/>
    <x v="0"/>
    <s v="R&amp;D"/>
    <d v="2020-01-21T00:00:00"/>
    <m/>
    <x v="429"/>
    <n v="0"/>
    <x v="1"/>
    <n v="6"/>
    <x v="3"/>
    <s v="50-59"/>
  </r>
  <r>
    <x v="406"/>
    <x v="431"/>
    <x v="0"/>
    <n v="36"/>
    <x v="7"/>
    <x v="0"/>
    <s v="Corporate"/>
    <d v="2023-10-07T00:00:00"/>
    <m/>
    <x v="430"/>
    <n v="0.24"/>
    <x v="1"/>
    <n v="2"/>
    <x v="1"/>
    <s v="30-39"/>
  </r>
  <r>
    <x v="407"/>
    <x v="432"/>
    <x v="1"/>
    <n v="45"/>
    <x v="6"/>
    <x v="5"/>
    <s v="Products"/>
    <d v="2020-04-19T00:00:00"/>
    <d v="2023-05-28T00:00:00"/>
    <x v="431"/>
    <n v="0"/>
    <x v="0"/>
    <n v="3"/>
    <x v="0"/>
    <s v="40-49"/>
  </r>
  <r>
    <x v="408"/>
    <x v="433"/>
    <x v="0"/>
    <n v="31"/>
    <x v="7"/>
    <x v="0"/>
    <s v="R&amp;D"/>
    <d v="2020-09-09T00:00:00"/>
    <m/>
    <x v="432"/>
    <n v="0.15"/>
    <x v="1"/>
    <n v="5"/>
    <x v="1"/>
    <s v="30-39"/>
  </r>
  <r>
    <x v="409"/>
    <x v="434"/>
    <x v="1"/>
    <n v="41"/>
    <x v="7"/>
    <x v="0"/>
    <s v="Manufacturing"/>
    <d v="2023-11-03T00:00:00"/>
    <m/>
    <x v="433"/>
    <n v="0"/>
    <x v="1"/>
    <n v="2"/>
    <x v="0"/>
    <s v="40-49"/>
  </r>
  <r>
    <x v="410"/>
    <x v="435"/>
    <x v="1"/>
    <n v="47"/>
    <x v="6"/>
    <x v="5"/>
    <s v="Manufacturing"/>
    <d v="2024-04-30T00:00:00"/>
    <m/>
    <x v="434"/>
    <n v="0.38"/>
    <x v="1"/>
    <n v="1"/>
    <x v="0"/>
    <s v="40-49"/>
  </r>
  <r>
    <x v="411"/>
    <x v="436"/>
    <x v="1"/>
    <n v="38"/>
    <x v="0"/>
    <x v="0"/>
    <s v="Manufacturing"/>
    <d v="2020-02-26T00:00:00"/>
    <m/>
    <x v="435"/>
    <n v="0.3"/>
    <x v="1"/>
    <n v="5"/>
    <x v="1"/>
    <s v="30-39"/>
  </r>
  <r>
    <x v="412"/>
    <x v="437"/>
    <x v="1"/>
    <n v="40"/>
    <x v="1"/>
    <x v="0"/>
    <s v="Manufacturing"/>
    <d v="2022-09-11T00:00:00"/>
    <m/>
    <x v="436"/>
    <n v="0.23"/>
    <x v="1"/>
    <n v="3"/>
    <x v="0"/>
    <s v="40-49"/>
  </r>
  <r>
    <x v="413"/>
    <x v="438"/>
    <x v="1"/>
    <n v="45"/>
    <x v="8"/>
    <x v="2"/>
    <s v="Manufacturing"/>
    <d v="2024-05-18T00:00:00"/>
    <m/>
    <x v="437"/>
    <n v="0"/>
    <x v="1"/>
    <n v="1"/>
    <x v="0"/>
    <s v="40-49"/>
  </r>
  <r>
    <x v="414"/>
    <x v="439"/>
    <x v="0"/>
    <n v="31"/>
    <x v="5"/>
    <x v="0"/>
    <s v="Corporate"/>
    <d v="2021-11-09T00:00:00"/>
    <m/>
    <x v="438"/>
    <n v="0"/>
    <x v="1"/>
    <n v="4"/>
    <x v="1"/>
    <s v="30-39"/>
  </r>
  <r>
    <x v="415"/>
    <x v="440"/>
    <x v="0"/>
    <n v="35"/>
    <x v="7"/>
    <x v="0"/>
    <s v="Products"/>
    <d v="2020-05-12T00:00:00"/>
    <m/>
    <x v="439"/>
    <n v="0.24"/>
    <x v="1"/>
    <n v="5"/>
    <x v="1"/>
    <s v="30-39"/>
  </r>
  <r>
    <x v="416"/>
    <x v="441"/>
    <x v="1"/>
    <n v="31"/>
    <x v="3"/>
    <x v="0"/>
    <s v="Manufacturing"/>
    <d v="2022-09-11T00:00:00"/>
    <m/>
    <x v="440"/>
    <n v="0"/>
    <x v="1"/>
    <n v="3"/>
    <x v="1"/>
    <s v="30-39"/>
  </r>
  <r>
    <x v="417"/>
    <x v="442"/>
    <x v="0"/>
    <n v="35"/>
    <x v="8"/>
    <x v="4"/>
    <s v="R&amp;D"/>
    <d v="2022-10-23T00:00:00"/>
    <m/>
    <x v="441"/>
    <n v="0.08"/>
    <x v="1"/>
    <n v="3"/>
    <x v="1"/>
    <s v="30-39"/>
  </r>
  <r>
    <x v="10"/>
    <x v="443"/>
    <x v="1"/>
    <n v="31"/>
    <x v="9"/>
    <x v="5"/>
    <s v="Manufacturing"/>
    <d v="2024-08-23T00:00:00"/>
    <m/>
    <x v="442"/>
    <n v="0"/>
    <x v="1"/>
    <n v="1"/>
    <x v="1"/>
    <s v="30-39"/>
  </r>
  <r>
    <x v="418"/>
    <x v="444"/>
    <x v="1"/>
    <n v="31"/>
    <x v="8"/>
    <x v="3"/>
    <s v="Products"/>
    <d v="2023-11-07T00:00:00"/>
    <m/>
    <x v="443"/>
    <n v="0.12"/>
    <x v="1"/>
    <n v="2"/>
    <x v="1"/>
    <s v="30-39"/>
  </r>
  <r>
    <x v="419"/>
    <x v="445"/>
    <x v="0"/>
    <n v="31"/>
    <x v="1"/>
    <x v="0"/>
    <s v="R&amp;D"/>
    <d v="2023-10-07T00:00:00"/>
    <m/>
    <x v="444"/>
    <n v="0"/>
    <x v="1"/>
    <n v="2"/>
    <x v="1"/>
    <s v="30-39"/>
  </r>
  <r>
    <x v="420"/>
    <x v="446"/>
    <x v="1"/>
    <n v="31"/>
    <x v="9"/>
    <x v="5"/>
    <s v="R&amp;D"/>
    <d v="2022-04-26T00:00:00"/>
    <m/>
    <x v="445"/>
    <n v="0"/>
    <x v="1"/>
    <n v="3"/>
    <x v="1"/>
    <s v="30-39"/>
  </r>
  <r>
    <x v="421"/>
    <x v="447"/>
    <x v="1"/>
    <n v="36"/>
    <x v="3"/>
    <x v="0"/>
    <s v="Corporate"/>
    <d v="2020-02-28T00:00:00"/>
    <m/>
    <x v="446"/>
    <n v="0"/>
    <x v="1"/>
    <n v="5"/>
    <x v="1"/>
    <s v="30-39"/>
  </r>
  <r>
    <x v="422"/>
    <x v="448"/>
    <x v="1"/>
    <n v="45"/>
    <x v="0"/>
    <x v="0"/>
    <s v="Corporate"/>
    <d v="2020-10-12T00:00:00"/>
    <m/>
    <x v="447"/>
    <n v="0"/>
    <x v="1"/>
    <n v="5"/>
    <x v="0"/>
    <s v="40-49"/>
  </r>
  <r>
    <x v="423"/>
    <x v="449"/>
    <x v="1"/>
    <n v="37"/>
    <x v="1"/>
    <x v="0"/>
    <s v="Products"/>
    <d v="2022-01-27T00:00:00"/>
    <m/>
    <x v="448"/>
    <n v="0.26"/>
    <x v="1"/>
    <n v="4"/>
    <x v="1"/>
    <s v="30-39"/>
  </r>
  <r>
    <x v="424"/>
    <x v="450"/>
    <x v="0"/>
    <n v="38"/>
    <x v="2"/>
    <x v="1"/>
    <s v="Corporate"/>
    <d v="2024-02-15T00:00:00"/>
    <m/>
    <x v="449"/>
    <n v="0"/>
    <x v="1"/>
    <n v="1"/>
    <x v="1"/>
    <s v="30-39"/>
  </r>
  <r>
    <x v="425"/>
    <x v="451"/>
    <x v="1"/>
    <n v="45"/>
    <x v="3"/>
    <x v="0"/>
    <s v="Products"/>
    <d v="2021-02-10T00:00:00"/>
    <d v="2023-11-15T00:00:00"/>
    <x v="450"/>
    <n v="0.09"/>
    <x v="0"/>
    <n v="2"/>
    <x v="0"/>
    <s v="40-49"/>
  </r>
  <r>
    <x v="426"/>
    <x v="452"/>
    <x v="0"/>
    <n v="51"/>
    <x v="2"/>
    <x v="1"/>
    <s v="R&amp;D"/>
    <d v="2020-12-18T00:00:00"/>
    <m/>
    <x v="451"/>
    <n v="0"/>
    <x v="1"/>
    <n v="5"/>
    <x v="3"/>
    <s v="50-59"/>
  </r>
  <r>
    <x v="427"/>
    <x v="453"/>
    <x v="0"/>
    <n v="56"/>
    <x v="0"/>
    <x v="0"/>
    <s v="Products"/>
    <d v="2020-01-07T00:00:00"/>
    <m/>
    <x v="452"/>
    <n v="0"/>
    <x v="1"/>
    <n v="6"/>
    <x v="3"/>
    <s v="50-59"/>
  </r>
  <r>
    <x v="428"/>
    <x v="454"/>
    <x v="0"/>
    <n v="53"/>
    <x v="0"/>
    <x v="0"/>
    <s v="R&amp;D"/>
    <d v="2023-10-07T00:00:00"/>
    <m/>
    <x v="453"/>
    <n v="0.31"/>
    <x v="1"/>
    <n v="2"/>
    <x v="3"/>
    <s v="50-59"/>
  </r>
  <r>
    <x v="429"/>
    <x v="455"/>
    <x v="0"/>
    <n v="47"/>
    <x v="4"/>
    <x v="2"/>
    <s v="R&amp;D"/>
    <d v="2021-10-18T00:00:00"/>
    <m/>
    <x v="454"/>
    <n v="0"/>
    <x v="1"/>
    <n v="4"/>
    <x v="0"/>
    <s v="40-49"/>
  </r>
  <r>
    <x v="198"/>
    <x v="456"/>
    <x v="1"/>
    <n v="36"/>
    <x v="4"/>
    <x v="3"/>
    <s v="Products"/>
    <d v="2022-08-18T00:00:00"/>
    <m/>
    <x v="455"/>
    <n v="0.34"/>
    <x v="1"/>
    <n v="3"/>
    <x v="1"/>
    <s v="30-39"/>
  </r>
  <r>
    <x v="11"/>
    <x v="457"/>
    <x v="0"/>
    <n v="41"/>
    <x v="4"/>
    <x v="4"/>
    <s v="Corporate"/>
    <d v="2024-05-28T00:00:00"/>
    <m/>
    <x v="456"/>
    <n v="0.15"/>
    <x v="1"/>
    <n v="1"/>
    <x v="0"/>
    <s v="40-49"/>
  </r>
  <r>
    <x v="430"/>
    <x v="458"/>
    <x v="1"/>
    <n v="31"/>
    <x v="5"/>
    <x v="0"/>
    <s v="Manufacturing"/>
    <d v="2022-09-07T00:00:00"/>
    <m/>
    <x v="457"/>
    <n v="0"/>
    <x v="1"/>
    <n v="3"/>
    <x v="1"/>
    <s v="30-39"/>
  </r>
  <r>
    <x v="431"/>
    <x v="459"/>
    <x v="0"/>
    <n v="31"/>
    <x v="4"/>
    <x v="3"/>
    <s v="Manufacturing"/>
    <d v="2024-01-03T00:00:00"/>
    <m/>
    <x v="458"/>
    <n v="0"/>
    <x v="1"/>
    <n v="2"/>
    <x v="1"/>
    <s v="30-39"/>
  </r>
  <r>
    <x v="432"/>
    <x v="460"/>
    <x v="1"/>
    <n v="38"/>
    <x v="6"/>
    <x v="5"/>
    <s v="R&amp;D"/>
    <d v="2023-05-28T00:00:00"/>
    <d v="2024-04-30T00:00:00"/>
    <x v="459"/>
    <n v="0"/>
    <x v="0"/>
    <n v="0"/>
    <x v="1"/>
    <s v="30-39"/>
  </r>
  <r>
    <x v="433"/>
    <x v="461"/>
    <x v="0"/>
    <n v="31"/>
    <x v="5"/>
    <x v="0"/>
    <s v="Products"/>
    <d v="2023-11-15T00:00:00"/>
    <m/>
    <x v="460"/>
    <n v="0"/>
    <x v="1"/>
    <n v="2"/>
    <x v="1"/>
    <s v="30-39"/>
  </r>
  <r>
    <x v="434"/>
    <x v="462"/>
    <x v="1"/>
    <n v="39"/>
    <x v="5"/>
    <x v="0"/>
    <s v="R&amp;D"/>
    <d v="2020-01-21T00:00:00"/>
    <m/>
    <x v="461"/>
    <n v="0.39"/>
    <x v="1"/>
    <n v="6"/>
    <x v="1"/>
    <s v="30-39"/>
  </r>
  <r>
    <x v="435"/>
    <x v="463"/>
    <x v="0"/>
    <n v="31"/>
    <x v="7"/>
    <x v="0"/>
    <s v="Corporate"/>
    <d v="2023-10-07T00:00:00"/>
    <m/>
    <x v="462"/>
    <n v="0"/>
    <x v="1"/>
    <n v="2"/>
    <x v="1"/>
    <s v="30-39"/>
  </r>
  <r>
    <x v="39"/>
    <x v="464"/>
    <x v="1"/>
    <n v="45"/>
    <x v="6"/>
    <x v="5"/>
    <s v="Products"/>
    <d v="2024-04-19T00:00:00"/>
    <m/>
    <x v="463"/>
    <n v="0.09"/>
    <x v="1"/>
    <n v="1"/>
    <x v="0"/>
    <s v="40-49"/>
  </r>
  <r>
    <x v="436"/>
    <x v="465"/>
    <x v="0"/>
    <n v="50"/>
    <x v="7"/>
    <x v="0"/>
    <s v="R&amp;D"/>
    <d v="2020-09-09T00:00:00"/>
    <m/>
    <x v="464"/>
    <n v="0"/>
    <x v="1"/>
    <n v="5"/>
    <x v="3"/>
    <s v="50-59"/>
  </r>
  <r>
    <x v="437"/>
    <x v="466"/>
    <x v="1"/>
    <n v="36"/>
    <x v="7"/>
    <x v="0"/>
    <s v="Manufacturing"/>
    <d v="2023-11-03T00:00:00"/>
    <m/>
    <x v="465"/>
    <n v="0.11"/>
    <x v="1"/>
    <n v="2"/>
    <x v="1"/>
    <s v="30-39"/>
  </r>
  <r>
    <x v="438"/>
    <x v="467"/>
    <x v="1"/>
    <n v="45"/>
    <x v="6"/>
    <x v="5"/>
    <s v="Manufacturing"/>
    <d v="2024-04-30T00:00:00"/>
    <m/>
    <x v="466"/>
    <n v="0"/>
    <x v="1"/>
    <n v="1"/>
    <x v="0"/>
    <s v="40-49"/>
  </r>
  <r>
    <x v="439"/>
    <x v="468"/>
    <x v="0"/>
    <n v="31"/>
    <x v="0"/>
    <x v="0"/>
    <s v="Manufacturing"/>
    <d v="2020-02-26T00:00:00"/>
    <m/>
    <x v="467"/>
    <n v="0.24"/>
    <x v="1"/>
    <n v="5"/>
    <x v="1"/>
    <s v="30-39"/>
  </r>
  <r>
    <x v="440"/>
    <x v="469"/>
    <x v="1"/>
    <n v="41"/>
    <x v="1"/>
    <x v="0"/>
    <s v="Manufacturing"/>
    <d v="2022-09-11T00:00:00"/>
    <m/>
    <x v="468"/>
    <n v="0.1"/>
    <x v="1"/>
    <n v="3"/>
    <x v="0"/>
    <s v="40-49"/>
  </r>
  <r>
    <x v="441"/>
    <x v="470"/>
    <x v="1"/>
    <n v="47"/>
    <x v="8"/>
    <x v="2"/>
    <s v="Manufacturing"/>
    <d v="2024-05-18T00:00:00"/>
    <m/>
    <x v="469"/>
    <n v="0.1"/>
    <x v="1"/>
    <n v="1"/>
    <x v="0"/>
    <s v="40-49"/>
  </r>
  <r>
    <x v="442"/>
    <x v="471"/>
    <x v="1"/>
    <n v="38"/>
    <x v="5"/>
    <x v="0"/>
    <s v="Corporate"/>
    <d v="2021-11-09T00:00:00"/>
    <m/>
    <x v="470"/>
    <n v="0"/>
    <x v="1"/>
    <n v="4"/>
    <x v="1"/>
    <s v="30-39"/>
  </r>
  <r>
    <x v="443"/>
    <x v="472"/>
    <x v="0"/>
    <n v="40"/>
    <x v="7"/>
    <x v="0"/>
    <s v="Products"/>
    <d v="2020-05-12T00:00:00"/>
    <m/>
    <x v="471"/>
    <n v="0"/>
    <x v="1"/>
    <n v="5"/>
    <x v="0"/>
    <s v="40-49"/>
  </r>
  <r>
    <x v="444"/>
    <x v="473"/>
    <x v="1"/>
    <n v="45"/>
    <x v="3"/>
    <x v="0"/>
    <s v="Manufacturing"/>
    <d v="2022-09-11T00:00:00"/>
    <m/>
    <x v="472"/>
    <n v="0"/>
    <x v="1"/>
    <n v="3"/>
    <x v="0"/>
    <s v="40-49"/>
  </r>
  <r>
    <x v="445"/>
    <x v="474"/>
    <x v="0"/>
    <n v="31"/>
    <x v="8"/>
    <x v="4"/>
    <s v="R&amp;D"/>
    <d v="2022-10-23T00:00:00"/>
    <m/>
    <x v="473"/>
    <n v="0"/>
    <x v="1"/>
    <n v="3"/>
    <x v="1"/>
    <s v="30-39"/>
  </r>
  <r>
    <x v="446"/>
    <x v="475"/>
    <x v="1"/>
    <n v="35"/>
    <x v="9"/>
    <x v="5"/>
    <s v="Manufacturing"/>
    <d v="2024-08-23T00:00:00"/>
    <m/>
    <x v="474"/>
    <n v="0.32"/>
    <x v="1"/>
    <n v="1"/>
    <x v="1"/>
    <s v="30-39"/>
  </r>
  <r>
    <x v="447"/>
    <x v="476"/>
    <x v="0"/>
    <n v="31"/>
    <x v="8"/>
    <x v="3"/>
    <s v="Products"/>
    <d v="2023-11-07T00:00:00"/>
    <m/>
    <x v="475"/>
    <n v="0"/>
    <x v="1"/>
    <n v="2"/>
    <x v="1"/>
    <s v="30-39"/>
  </r>
  <r>
    <x v="448"/>
    <x v="477"/>
    <x v="0"/>
    <n v="35"/>
    <x v="1"/>
    <x v="0"/>
    <s v="R&amp;D"/>
    <d v="2023-10-07T00:00:00"/>
    <d v="2024-02-15T00:00:00"/>
    <x v="476"/>
    <n v="0"/>
    <x v="0"/>
    <n v="0"/>
    <x v="1"/>
    <s v="30-39"/>
  </r>
  <r>
    <x v="449"/>
    <x v="478"/>
    <x v="0"/>
    <n v="31"/>
    <x v="9"/>
    <x v="5"/>
    <s v="R&amp;D"/>
    <d v="2022-04-26T00:00:00"/>
    <m/>
    <x v="477"/>
    <n v="0.11"/>
    <x v="1"/>
    <n v="3"/>
    <x v="1"/>
    <s v="30-39"/>
  </r>
  <r>
    <x v="450"/>
    <x v="479"/>
    <x v="0"/>
    <n v="31"/>
    <x v="3"/>
    <x v="0"/>
    <s v="Corporate"/>
    <d v="2020-02-28T00:00:00"/>
    <m/>
    <x v="478"/>
    <n v="0"/>
    <x v="1"/>
    <n v="5"/>
    <x v="1"/>
    <s v="30-39"/>
  </r>
  <r>
    <x v="451"/>
    <x v="480"/>
    <x v="0"/>
    <n v="31"/>
    <x v="0"/>
    <x v="0"/>
    <s v="Corporate"/>
    <d v="2020-10-12T00:00:00"/>
    <m/>
    <x v="479"/>
    <n v="0.06"/>
    <x v="1"/>
    <n v="5"/>
    <x v="1"/>
    <s v="30-39"/>
  </r>
  <r>
    <x v="452"/>
    <x v="481"/>
    <x v="0"/>
    <n v="31"/>
    <x v="1"/>
    <x v="0"/>
    <s v="Products"/>
    <d v="2022-01-27T00:00:00"/>
    <m/>
    <x v="480"/>
    <n v="0"/>
    <x v="1"/>
    <n v="4"/>
    <x v="1"/>
    <s v="30-39"/>
  </r>
  <r>
    <x v="12"/>
    <x v="482"/>
    <x v="0"/>
    <n v="36"/>
    <x v="2"/>
    <x v="1"/>
    <s v="Corporate"/>
    <d v="2024-02-15T00:00:00"/>
    <m/>
    <x v="481"/>
    <n v="0"/>
    <x v="1"/>
    <n v="1"/>
    <x v="1"/>
    <s v="30-39"/>
  </r>
  <r>
    <x v="453"/>
    <x v="483"/>
    <x v="1"/>
    <n v="45"/>
    <x v="3"/>
    <x v="0"/>
    <s v="Products"/>
    <d v="2024-02-10T00:00:00"/>
    <m/>
    <x v="482"/>
    <n v="7.0000000000000007E-2"/>
    <x v="1"/>
    <n v="1"/>
    <x v="0"/>
    <s v="40-49"/>
  </r>
  <r>
    <x v="454"/>
    <x v="484"/>
    <x v="0"/>
    <n v="37"/>
    <x v="2"/>
    <x v="1"/>
    <s v="R&amp;D"/>
    <d v="2020-12-18T00:00:00"/>
    <m/>
    <x v="483"/>
    <n v="0"/>
    <x v="1"/>
    <n v="5"/>
    <x v="1"/>
    <s v="30-39"/>
  </r>
  <r>
    <x v="455"/>
    <x v="485"/>
    <x v="0"/>
    <n v="38"/>
    <x v="0"/>
    <x v="0"/>
    <s v="Products"/>
    <d v="2020-01-07T00:00:00"/>
    <m/>
    <x v="484"/>
    <n v="0.3"/>
    <x v="1"/>
    <n v="6"/>
    <x v="1"/>
    <s v="30-39"/>
  </r>
  <r>
    <x v="456"/>
    <x v="486"/>
    <x v="0"/>
    <n v="45"/>
    <x v="0"/>
    <x v="0"/>
    <s v="R&amp;D"/>
    <d v="2023-10-07T00:00:00"/>
    <m/>
    <x v="485"/>
    <n v="0"/>
    <x v="1"/>
    <n v="2"/>
    <x v="0"/>
    <s v="40-49"/>
  </r>
  <r>
    <x v="457"/>
    <x v="487"/>
    <x v="0"/>
    <n v="51"/>
    <x v="4"/>
    <x v="2"/>
    <s v="R&amp;D"/>
    <d v="2021-10-18T00:00:00"/>
    <m/>
    <x v="486"/>
    <n v="0"/>
    <x v="1"/>
    <n v="4"/>
    <x v="3"/>
    <s v="50-59"/>
  </r>
  <r>
    <x v="458"/>
    <x v="488"/>
    <x v="1"/>
    <n v="56"/>
    <x v="4"/>
    <x v="3"/>
    <s v="Products"/>
    <d v="2022-08-18T00:00:00"/>
    <m/>
    <x v="487"/>
    <n v="0.05"/>
    <x v="1"/>
    <n v="3"/>
    <x v="3"/>
    <s v="50-59"/>
  </r>
  <r>
    <x v="459"/>
    <x v="489"/>
    <x v="1"/>
    <n v="53"/>
    <x v="4"/>
    <x v="4"/>
    <s v="Corporate"/>
    <d v="2024-05-28T00:00:00"/>
    <m/>
    <x v="488"/>
    <n v="0.15"/>
    <x v="1"/>
    <n v="1"/>
    <x v="3"/>
    <s v="50-59"/>
  </r>
  <r>
    <x v="460"/>
    <x v="490"/>
    <x v="0"/>
    <n v="47"/>
    <x v="5"/>
    <x v="0"/>
    <s v="Manufacturing"/>
    <d v="2022-09-07T00:00:00"/>
    <d v="2024-01-03T00:00:00"/>
    <x v="489"/>
    <n v="0"/>
    <x v="0"/>
    <n v="1"/>
    <x v="0"/>
    <s v="40-49"/>
  </r>
  <r>
    <x v="461"/>
    <x v="491"/>
    <x v="1"/>
    <n v="36"/>
    <x v="4"/>
    <x v="3"/>
    <s v="Manufacturing"/>
    <d v="2024-01-03T00:00:00"/>
    <m/>
    <x v="490"/>
    <n v="0.36"/>
    <x v="1"/>
    <n v="2"/>
    <x v="1"/>
    <s v="30-39"/>
  </r>
  <r>
    <x v="462"/>
    <x v="492"/>
    <x v="0"/>
    <n v="41"/>
    <x v="6"/>
    <x v="5"/>
    <s v="R&amp;D"/>
    <d v="2023-05-28T00:00:00"/>
    <m/>
    <x v="491"/>
    <n v="0"/>
    <x v="1"/>
    <n v="2"/>
    <x v="0"/>
    <s v="40-49"/>
  </r>
  <r>
    <x v="13"/>
    <x v="493"/>
    <x v="0"/>
    <n v="31"/>
    <x v="5"/>
    <x v="0"/>
    <s v="Products"/>
    <d v="2023-11-15T00:00:00"/>
    <m/>
    <x v="492"/>
    <n v="0"/>
    <x v="1"/>
    <n v="2"/>
    <x v="1"/>
    <s v="30-39"/>
  </r>
  <r>
    <x v="463"/>
    <x v="494"/>
    <x v="0"/>
    <n v="31"/>
    <x v="5"/>
    <x v="0"/>
    <s v="R&amp;D"/>
    <d v="2020-01-21T00:00:00"/>
    <m/>
    <x v="493"/>
    <n v="0.31"/>
    <x v="1"/>
    <n v="6"/>
    <x v="1"/>
    <s v="30-39"/>
  </r>
  <r>
    <x v="44"/>
    <x v="495"/>
    <x v="1"/>
    <n v="38"/>
    <x v="7"/>
    <x v="0"/>
    <s v="Corporate"/>
    <d v="2023-10-07T00:00:00"/>
    <m/>
    <x v="494"/>
    <n v="0.09"/>
    <x v="1"/>
    <n v="2"/>
    <x v="1"/>
    <s v="30-39"/>
  </r>
  <r>
    <x v="464"/>
    <x v="496"/>
    <x v="0"/>
    <n v="31"/>
    <x v="6"/>
    <x v="5"/>
    <s v="Products"/>
    <d v="2024-04-19T00:00:00"/>
    <m/>
    <x v="495"/>
    <n v="0.1"/>
    <x v="1"/>
    <n v="1"/>
    <x v="1"/>
    <s v="30-39"/>
  </r>
  <r>
    <x v="465"/>
    <x v="497"/>
    <x v="1"/>
    <n v="39"/>
    <x v="7"/>
    <x v="0"/>
    <s v="R&amp;D"/>
    <d v="2020-09-09T00:00:00"/>
    <m/>
    <x v="496"/>
    <n v="0"/>
    <x v="1"/>
    <n v="5"/>
    <x v="1"/>
    <s v="30-39"/>
  </r>
  <r>
    <x v="466"/>
    <x v="498"/>
    <x v="0"/>
    <n v="31"/>
    <x v="7"/>
    <x v="0"/>
    <s v="Manufacturing"/>
    <d v="2023-11-03T00:00:00"/>
    <m/>
    <x v="497"/>
    <n v="0"/>
    <x v="1"/>
    <n v="2"/>
    <x v="1"/>
    <s v="30-39"/>
  </r>
  <r>
    <x v="467"/>
    <x v="499"/>
    <x v="1"/>
    <n v="45"/>
    <x v="6"/>
    <x v="5"/>
    <s v="Manufacturing"/>
    <d v="2024-04-30T00:00:00"/>
    <m/>
    <x v="498"/>
    <n v="0.06"/>
    <x v="1"/>
    <n v="1"/>
    <x v="0"/>
    <s v="40-49"/>
  </r>
  <r>
    <x v="468"/>
    <x v="500"/>
    <x v="1"/>
    <n v="50"/>
    <x v="0"/>
    <x v="0"/>
    <s v="Manufacturing"/>
    <d v="2020-02-26T00:00:00"/>
    <m/>
    <x v="499"/>
    <n v="0"/>
    <x v="1"/>
    <n v="5"/>
    <x v="3"/>
    <s v="50-59"/>
  </r>
  <r>
    <x v="439"/>
    <x v="501"/>
    <x v="1"/>
    <n v="36"/>
    <x v="1"/>
    <x v="0"/>
    <s v="Manufacturing"/>
    <d v="2022-09-11T00:00:00"/>
    <m/>
    <x v="500"/>
    <n v="0.09"/>
    <x v="1"/>
    <n v="3"/>
    <x v="1"/>
    <s v="30-39"/>
  </r>
  <r>
    <x v="469"/>
    <x v="502"/>
    <x v="1"/>
    <n v="45"/>
    <x v="8"/>
    <x v="2"/>
    <s v="Manufacturing"/>
    <d v="2024-05-18T00:00:00"/>
    <m/>
    <x v="501"/>
    <n v="0"/>
    <x v="1"/>
    <n v="1"/>
    <x v="0"/>
    <s v="40-49"/>
  </r>
  <r>
    <x v="470"/>
    <x v="503"/>
    <x v="0"/>
    <n v="31"/>
    <x v="5"/>
    <x v="0"/>
    <s v="Corporate"/>
    <d v="2021-11-09T00:00:00"/>
    <m/>
    <x v="502"/>
    <n v="0"/>
    <x v="1"/>
    <n v="4"/>
    <x v="1"/>
    <s v="30-39"/>
  </r>
  <r>
    <x v="471"/>
    <x v="504"/>
    <x v="1"/>
    <n v="41"/>
    <x v="7"/>
    <x v="0"/>
    <s v="Products"/>
    <d v="2020-05-12T00:00:00"/>
    <m/>
    <x v="503"/>
    <n v="0.32"/>
    <x v="1"/>
    <n v="5"/>
    <x v="0"/>
    <s v="40-49"/>
  </r>
  <r>
    <x v="472"/>
    <x v="505"/>
    <x v="0"/>
    <n v="47"/>
    <x v="3"/>
    <x v="0"/>
    <s v="Manufacturing"/>
    <d v="2022-09-11T00:00:00"/>
    <m/>
    <x v="504"/>
    <n v="0.11"/>
    <x v="1"/>
    <n v="3"/>
    <x v="0"/>
    <s v="40-49"/>
  </r>
  <r>
    <x v="473"/>
    <x v="506"/>
    <x v="1"/>
    <n v="38"/>
    <x v="8"/>
    <x v="4"/>
    <s v="R&amp;D"/>
    <d v="2022-10-23T00:00:00"/>
    <m/>
    <x v="505"/>
    <n v="0.3"/>
    <x v="1"/>
    <n v="3"/>
    <x v="1"/>
    <s v="30-39"/>
  </r>
  <r>
    <x v="474"/>
    <x v="507"/>
    <x v="0"/>
    <n v="40"/>
    <x v="9"/>
    <x v="5"/>
    <s v="Manufacturing"/>
    <d v="2024-08-23T00:00:00"/>
    <m/>
    <x v="506"/>
    <n v="0"/>
    <x v="1"/>
    <n v="1"/>
    <x v="0"/>
    <s v="40-49"/>
  </r>
  <r>
    <x v="475"/>
    <x v="508"/>
    <x v="1"/>
    <n v="45"/>
    <x v="8"/>
    <x v="3"/>
    <s v="Products"/>
    <d v="2023-11-07T00:00:00"/>
    <m/>
    <x v="507"/>
    <n v="0"/>
    <x v="1"/>
    <n v="2"/>
    <x v="0"/>
    <s v="40-49"/>
  </r>
  <r>
    <x v="476"/>
    <x v="509"/>
    <x v="0"/>
    <n v="31"/>
    <x v="1"/>
    <x v="0"/>
    <s v="R&amp;D"/>
    <d v="2023-10-07T00:00:00"/>
    <m/>
    <x v="508"/>
    <n v="0.08"/>
    <x v="1"/>
    <n v="2"/>
    <x v="1"/>
    <s v="30-39"/>
  </r>
  <r>
    <x v="477"/>
    <x v="510"/>
    <x v="0"/>
    <n v="35"/>
    <x v="9"/>
    <x v="5"/>
    <s v="R&amp;D"/>
    <d v="2022-04-26T00:00:00"/>
    <m/>
    <x v="509"/>
    <n v="0"/>
    <x v="1"/>
    <n v="3"/>
    <x v="1"/>
    <s v="30-39"/>
  </r>
  <r>
    <x v="478"/>
    <x v="511"/>
    <x v="0"/>
    <n v="31"/>
    <x v="3"/>
    <x v="0"/>
    <s v="Corporate"/>
    <d v="2020-02-28T00:00:00"/>
    <m/>
    <x v="510"/>
    <n v="0.24"/>
    <x v="1"/>
    <n v="5"/>
    <x v="1"/>
    <s v="30-39"/>
  </r>
  <r>
    <x v="479"/>
    <x v="512"/>
    <x v="1"/>
    <n v="35"/>
    <x v="0"/>
    <x v="0"/>
    <s v="Corporate"/>
    <d v="2020-10-12T00:00:00"/>
    <m/>
    <x v="511"/>
    <n v="0.33"/>
    <x v="1"/>
    <n v="5"/>
    <x v="1"/>
    <s v="30-39"/>
  </r>
  <r>
    <x v="480"/>
    <x v="513"/>
    <x v="0"/>
    <n v="31"/>
    <x v="1"/>
    <x v="0"/>
    <s v="Products"/>
    <d v="2022-01-27T00:00:00"/>
    <m/>
    <x v="512"/>
    <n v="0"/>
    <x v="1"/>
    <n v="4"/>
    <x v="1"/>
    <s v="30-39"/>
  </r>
  <r>
    <x v="481"/>
    <x v="514"/>
    <x v="1"/>
    <n v="31"/>
    <x v="2"/>
    <x v="1"/>
    <s v="Corporate"/>
    <d v="2024-02-15T00:00:00"/>
    <m/>
    <x v="513"/>
    <n v="7.0000000000000007E-2"/>
    <x v="1"/>
    <n v="1"/>
    <x v="1"/>
    <s v="30-39"/>
  </r>
  <r>
    <x v="482"/>
    <x v="515"/>
    <x v="0"/>
    <n v="31"/>
    <x v="3"/>
    <x v="0"/>
    <s v="Products"/>
    <d v="2024-02-10T00:00:00"/>
    <m/>
    <x v="514"/>
    <n v="0.12"/>
    <x v="1"/>
    <n v="1"/>
    <x v="1"/>
    <s v="30-39"/>
  </r>
  <r>
    <x v="483"/>
    <x v="516"/>
    <x v="0"/>
    <n v="31"/>
    <x v="2"/>
    <x v="1"/>
    <s v="R&amp;D"/>
    <d v="2020-12-18T00:00:00"/>
    <m/>
    <x v="515"/>
    <n v="7.0000000000000007E-2"/>
    <x v="1"/>
    <n v="5"/>
    <x v="1"/>
    <s v="30-39"/>
  </r>
  <r>
    <x v="484"/>
    <x v="517"/>
    <x v="0"/>
    <n v="36"/>
    <x v="0"/>
    <x v="0"/>
    <s v="Products"/>
    <d v="2020-01-07T00:00:00"/>
    <m/>
    <x v="516"/>
    <n v="0.2"/>
    <x v="1"/>
    <n v="6"/>
    <x v="1"/>
    <s v="30-39"/>
  </r>
  <r>
    <x v="485"/>
    <x v="518"/>
    <x v="0"/>
    <n v="45"/>
    <x v="0"/>
    <x v="0"/>
    <s v="R&amp;D"/>
    <d v="2023-10-07T00:00:00"/>
    <m/>
    <x v="517"/>
    <n v="0"/>
    <x v="1"/>
    <n v="2"/>
    <x v="0"/>
    <s v="40-49"/>
  </r>
  <r>
    <x v="73"/>
    <x v="519"/>
    <x v="0"/>
    <n v="37"/>
    <x v="4"/>
    <x v="2"/>
    <s v="R&amp;D"/>
    <d v="2021-10-18T00:00:00"/>
    <m/>
    <x v="518"/>
    <n v="0"/>
    <x v="1"/>
    <n v="4"/>
    <x v="1"/>
    <s v="30-39"/>
  </r>
  <r>
    <x v="486"/>
    <x v="520"/>
    <x v="0"/>
    <n v="38"/>
    <x v="4"/>
    <x v="3"/>
    <s v="Products"/>
    <d v="2022-08-18T00:00:00"/>
    <m/>
    <x v="519"/>
    <n v="0"/>
    <x v="1"/>
    <n v="3"/>
    <x v="1"/>
    <s v="30-39"/>
  </r>
  <r>
    <x v="487"/>
    <x v="521"/>
    <x v="1"/>
    <n v="45"/>
    <x v="4"/>
    <x v="4"/>
    <s v="Corporate"/>
    <d v="2024-05-28T00:00:00"/>
    <m/>
    <x v="520"/>
    <n v="0"/>
    <x v="1"/>
    <n v="1"/>
    <x v="0"/>
    <s v="40-49"/>
  </r>
  <r>
    <x v="488"/>
    <x v="522"/>
    <x v="0"/>
    <n v="51"/>
    <x v="5"/>
    <x v="0"/>
    <s v="Manufacturing"/>
    <d v="2022-09-07T00:00:00"/>
    <m/>
    <x v="521"/>
    <n v="0.35"/>
    <x v="1"/>
    <n v="3"/>
    <x v="3"/>
    <s v="50-59"/>
  </r>
  <r>
    <x v="14"/>
    <x v="523"/>
    <x v="1"/>
    <n v="56"/>
    <x v="4"/>
    <x v="3"/>
    <s v="Manufacturing"/>
    <d v="2024-01-03T00:00:00"/>
    <m/>
    <x v="522"/>
    <n v="0"/>
    <x v="1"/>
    <n v="2"/>
    <x v="3"/>
    <s v="50-59"/>
  </r>
  <r>
    <x v="489"/>
    <x v="524"/>
    <x v="0"/>
    <n v="53"/>
    <x v="6"/>
    <x v="5"/>
    <s v="R&amp;D"/>
    <d v="2023-05-28T00:00:00"/>
    <m/>
    <x v="523"/>
    <n v="0"/>
    <x v="1"/>
    <n v="2"/>
    <x v="3"/>
    <s v="50-59"/>
  </r>
  <r>
    <x v="490"/>
    <x v="525"/>
    <x v="1"/>
    <n v="47"/>
    <x v="5"/>
    <x v="0"/>
    <s v="Products"/>
    <d v="2023-11-15T00:00:00"/>
    <m/>
    <x v="524"/>
    <n v="0"/>
    <x v="1"/>
    <n v="2"/>
    <x v="0"/>
    <s v="40-49"/>
  </r>
  <r>
    <x v="491"/>
    <x v="526"/>
    <x v="1"/>
    <n v="36"/>
    <x v="5"/>
    <x v="0"/>
    <s v="R&amp;D"/>
    <d v="2020-01-21T00:00:00"/>
    <m/>
    <x v="525"/>
    <n v="0.2"/>
    <x v="1"/>
    <n v="6"/>
    <x v="1"/>
    <s v="30-39"/>
  </r>
  <r>
    <x v="492"/>
    <x v="527"/>
    <x v="1"/>
    <n v="41"/>
    <x v="7"/>
    <x v="0"/>
    <s v="Corporate"/>
    <d v="2023-10-07T00:00:00"/>
    <m/>
    <x v="526"/>
    <n v="0"/>
    <x v="1"/>
    <n v="2"/>
    <x v="0"/>
    <s v="40-49"/>
  </r>
  <r>
    <x v="493"/>
    <x v="528"/>
    <x v="0"/>
    <n v="31"/>
    <x v="6"/>
    <x v="5"/>
    <s v="Products"/>
    <d v="2024-04-19T00:00:00"/>
    <m/>
    <x v="527"/>
    <n v="0.12"/>
    <x v="1"/>
    <n v="1"/>
    <x v="1"/>
    <s v="30-39"/>
  </r>
  <r>
    <x v="494"/>
    <x v="529"/>
    <x v="0"/>
    <n v="31"/>
    <x v="7"/>
    <x v="0"/>
    <s v="R&amp;D"/>
    <d v="2020-09-09T00:00:00"/>
    <m/>
    <x v="528"/>
    <n v="0"/>
    <x v="1"/>
    <n v="5"/>
    <x v="1"/>
    <s v="30-39"/>
  </r>
  <r>
    <x v="65"/>
    <x v="530"/>
    <x v="0"/>
    <n v="38"/>
    <x v="7"/>
    <x v="0"/>
    <s v="Manufacturing"/>
    <d v="2023-11-03T00:00:00"/>
    <m/>
    <x v="529"/>
    <n v="0"/>
    <x v="1"/>
    <n v="2"/>
    <x v="1"/>
    <s v="30-39"/>
  </r>
  <r>
    <x v="495"/>
    <x v="531"/>
    <x v="0"/>
    <n v="31"/>
    <x v="6"/>
    <x v="5"/>
    <s v="Manufacturing"/>
    <d v="2024-04-30T00:00:00"/>
    <m/>
    <x v="530"/>
    <n v="0"/>
    <x v="1"/>
    <n v="1"/>
    <x v="1"/>
    <s v="30-39"/>
  </r>
  <r>
    <x v="199"/>
    <x v="532"/>
    <x v="1"/>
    <n v="39"/>
    <x v="0"/>
    <x v="0"/>
    <s v="Manufacturing"/>
    <d v="2020-02-26T00:00:00"/>
    <m/>
    <x v="531"/>
    <n v="0"/>
    <x v="1"/>
    <n v="5"/>
    <x v="1"/>
    <s v="30-39"/>
  </r>
  <r>
    <x v="496"/>
    <x v="533"/>
    <x v="1"/>
    <n v="31"/>
    <x v="1"/>
    <x v="0"/>
    <s v="Manufacturing"/>
    <d v="2022-09-11T00:00:00"/>
    <m/>
    <x v="532"/>
    <n v="0.08"/>
    <x v="1"/>
    <n v="3"/>
    <x v="1"/>
    <s v="30-39"/>
  </r>
  <r>
    <x v="497"/>
    <x v="534"/>
    <x v="1"/>
    <n v="45"/>
    <x v="8"/>
    <x v="2"/>
    <s v="Manufacturing"/>
    <d v="2024-05-18T00:00:00"/>
    <m/>
    <x v="533"/>
    <n v="0.26"/>
    <x v="1"/>
    <n v="1"/>
    <x v="0"/>
    <s v="40-49"/>
  </r>
  <r>
    <x v="498"/>
    <x v="535"/>
    <x v="1"/>
    <n v="50"/>
    <x v="5"/>
    <x v="0"/>
    <s v="Corporate"/>
    <d v="2021-11-09T00:00:00"/>
    <m/>
    <x v="534"/>
    <n v="0.17"/>
    <x v="1"/>
    <n v="4"/>
    <x v="3"/>
    <s v="50-59"/>
  </r>
  <r>
    <x v="499"/>
    <x v="536"/>
    <x v="1"/>
    <n v="36"/>
    <x v="7"/>
    <x v="0"/>
    <s v="Products"/>
    <d v="2020-05-12T00:00:00"/>
    <m/>
    <x v="535"/>
    <n v="0.14000000000000001"/>
    <x v="1"/>
    <n v="5"/>
    <x v="1"/>
    <s v="30-39"/>
  </r>
  <r>
    <x v="379"/>
    <x v="537"/>
    <x v="0"/>
    <n v="45"/>
    <x v="3"/>
    <x v="0"/>
    <s v="Manufacturing"/>
    <d v="2022-09-11T00:00:00"/>
    <m/>
    <x v="536"/>
    <n v="0"/>
    <x v="1"/>
    <n v="3"/>
    <x v="0"/>
    <s v="40-49"/>
  </r>
  <r>
    <x v="500"/>
    <x v="538"/>
    <x v="1"/>
    <n v="31"/>
    <x v="8"/>
    <x v="4"/>
    <s v="R&amp;D"/>
    <d v="2022-10-23T00:00:00"/>
    <m/>
    <x v="537"/>
    <n v="0"/>
    <x v="1"/>
    <n v="3"/>
    <x v="1"/>
    <s v="30-39"/>
  </r>
  <r>
    <x v="501"/>
    <x v="539"/>
    <x v="0"/>
    <n v="41"/>
    <x v="9"/>
    <x v="5"/>
    <s v="Manufacturing"/>
    <d v="2024-08-23T00:00:00"/>
    <m/>
    <x v="538"/>
    <n v="0"/>
    <x v="1"/>
    <n v="1"/>
    <x v="0"/>
    <s v="40-49"/>
  </r>
  <r>
    <x v="502"/>
    <x v="540"/>
    <x v="1"/>
    <n v="47"/>
    <x v="8"/>
    <x v="3"/>
    <s v="Products"/>
    <d v="2023-11-07T00:00:00"/>
    <m/>
    <x v="539"/>
    <n v="0"/>
    <x v="1"/>
    <n v="2"/>
    <x v="0"/>
    <s v="40-49"/>
  </r>
  <r>
    <x v="95"/>
    <x v="541"/>
    <x v="1"/>
    <n v="38"/>
    <x v="1"/>
    <x v="0"/>
    <s v="R&amp;D"/>
    <d v="2023-10-07T00:00:00"/>
    <m/>
    <x v="540"/>
    <n v="0"/>
    <x v="1"/>
    <n v="2"/>
    <x v="1"/>
    <s v="30-39"/>
  </r>
  <r>
    <x v="503"/>
    <x v="542"/>
    <x v="0"/>
    <n v="40"/>
    <x v="9"/>
    <x v="5"/>
    <s v="R&amp;D"/>
    <d v="2022-04-26T00:00:00"/>
    <m/>
    <x v="541"/>
    <n v="0"/>
    <x v="1"/>
    <n v="3"/>
    <x v="0"/>
    <s v="40-49"/>
  </r>
  <r>
    <x v="504"/>
    <x v="543"/>
    <x v="1"/>
    <n v="45"/>
    <x v="3"/>
    <x v="0"/>
    <s v="Corporate"/>
    <d v="2020-02-28T00:00:00"/>
    <m/>
    <x v="542"/>
    <n v="0"/>
    <x v="1"/>
    <n v="5"/>
    <x v="0"/>
    <s v="40-49"/>
  </r>
  <r>
    <x v="505"/>
    <x v="544"/>
    <x v="1"/>
    <n v="31"/>
    <x v="0"/>
    <x v="0"/>
    <s v="Corporate"/>
    <d v="2020-10-12T00:00:00"/>
    <m/>
    <x v="543"/>
    <n v="0"/>
    <x v="1"/>
    <n v="5"/>
    <x v="1"/>
    <s v="30-39"/>
  </r>
  <r>
    <x v="506"/>
    <x v="545"/>
    <x v="1"/>
    <n v="35"/>
    <x v="1"/>
    <x v="0"/>
    <s v="Products"/>
    <d v="2022-01-27T00:00:00"/>
    <m/>
    <x v="544"/>
    <n v="0.37"/>
    <x v="1"/>
    <n v="4"/>
    <x v="1"/>
    <s v="30-39"/>
  </r>
  <r>
    <x v="507"/>
    <x v="546"/>
    <x v="1"/>
    <n v="31"/>
    <x v="2"/>
    <x v="1"/>
    <s v="Corporate"/>
    <d v="2024-02-15T00:00:00"/>
    <m/>
    <x v="545"/>
    <n v="0.14000000000000001"/>
    <x v="1"/>
    <n v="1"/>
    <x v="1"/>
    <s v="30-39"/>
  </r>
  <r>
    <x v="508"/>
    <x v="547"/>
    <x v="0"/>
    <n v="35"/>
    <x v="3"/>
    <x v="0"/>
    <s v="Products"/>
    <d v="2024-02-10T00:00:00"/>
    <m/>
    <x v="546"/>
    <n v="0.12"/>
    <x v="1"/>
    <n v="1"/>
    <x v="1"/>
    <s v="30-39"/>
  </r>
  <r>
    <x v="9"/>
    <x v="548"/>
    <x v="1"/>
    <n v="31"/>
    <x v="2"/>
    <x v="1"/>
    <s v="R&amp;D"/>
    <d v="2020-12-18T00:00:00"/>
    <m/>
    <x v="547"/>
    <n v="0.28000000000000003"/>
    <x v="1"/>
    <n v="5"/>
    <x v="1"/>
    <s v="30-39"/>
  </r>
  <r>
    <x v="509"/>
    <x v="549"/>
    <x v="0"/>
    <n v="26"/>
    <x v="0"/>
    <x v="0"/>
    <s v="Products"/>
    <d v="2020-01-07T00:00:00"/>
    <d v="2024-02-10T00:00:00"/>
    <x v="548"/>
    <n v="0.15"/>
    <x v="0"/>
    <n v="4"/>
    <x v="2"/>
    <s v="20-29"/>
  </r>
  <r>
    <x v="510"/>
    <x v="550"/>
    <x v="0"/>
    <n v="31"/>
    <x v="0"/>
    <x v="0"/>
    <s v="R&amp;D"/>
    <d v="2023-10-07T00:00:00"/>
    <m/>
    <x v="549"/>
    <n v="0.06"/>
    <x v="1"/>
    <n v="2"/>
    <x v="1"/>
    <s v="30-39"/>
  </r>
  <r>
    <x v="511"/>
    <x v="551"/>
    <x v="0"/>
    <n v="31"/>
    <x v="4"/>
    <x v="2"/>
    <s v="R&amp;D"/>
    <d v="2021-10-18T00:00:00"/>
    <m/>
    <x v="550"/>
    <n v="0.16"/>
    <x v="1"/>
    <n v="4"/>
    <x v="1"/>
    <s v="30-39"/>
  </r>
  <r>
    <x v="512"/>
    <x v="552"/>
    <x v="0"/>
    <n v="36"/>
    <x v="4"/>
    <x v="3"/>
    <s v="Products"/>
    <d v="2022-08-18T00:00:00"/>
    <m/>
    <x v="551"/>
    <n v="0"/>
    <x v="1"/>
    <n v="3"/>
    <x v="1"/>
    <s v="30-39"/>
  </r>
  <r>
    <x v="513"/>
    <x v="553"/>
    <x v="0"/>
    <n v="45"/>
    <x v="4"/>
    <x v="4"/>
    <s v="Corporate"/>
    <d v="2024-05-28T00:00:00"/>
    <m/>
    <x v="552"/>
    <n v="0"/>
    <x v="1"/>
    <n v="1"/>
    <x v="0"/>
    <s v="40-49"/>
  </r>
  <r>
    <x v="514"/>
    <x v="554"/>
    <x v="1"/>
    <n v="37"/>
    <x v="5"/>
    <x v="0"/>
    <s v="Manufacturing"/>
    <d v="2022-09-07T00:00:00"/>
    <m/>
    <x v="553"/>
    <n v="0"/>
    <x v="1"/>
    <n v="3"/>
    <x v="1"/>
    <s v="30-39"/>
  </r>
  <r>
    <x v="515"/>
    <x v="555"/>
    <x v="0"/>
    <n v="38"/>
    <x v="4"/>
    <x v="3"/>
    <s v="Manufacturing"/>
    <d v="2024-01-03T00:00:00"/>
    <m/>
    <x v="554"/>
    <n v="0"/>
    <x v="1"/>
    <n v="2"/>
    <x v="1"/>
    <s v="30-39"/>
  </r>
  <r>
    <x v="516"/>
    <x v="556"/>
    <x v="1"/>
    <n v="45"/>
    <x v="6"/>
    <x v="5"/>
    <s v="R&amp;D"/>
    <d v="2023-05-28T00:00:00"/>
    <m/>
    <x v="555"/>
    <n v="0.14000000000000001"/>
    <x v="1"/>
    <n v="2"/>
    <x v="0"/>
    <s v="40-49"/>
  </r>
  <r>
    <x v="517"/>
    <x v="557"/>
    <x v="0"/>
    <n v="51"/>
    <x v="5"/>
    <x v="0"/>
    <s v="Products"/>
    <d v="2023-11-15T00:00:00"/>
    <m/>
    <x v="556"/>
    <n v="7.0000000000000007E-2"/>
    <x v="1"/>
    <n v="2"/>
    <x v="3"/>
    <s v="50-59"/>
  </r>
  <r>
    <x v="518"/>
    <x v="558"/>
    <x v="1"/>
    <n v="56"/>
    <x v="5"/>
    <x v="0"/>
    <s v="R&amp;D"/>
    <d v="2020-01-21T00:00:00"/>
    <m/>
    <x v="557"/>
    <n v="7.0000000000000007E-2"/>
    <x v="1"/>
    <n v="6"/>
    <x v="3"/>
    <s v="50-59"/>
  </r>
  <r>
    <x v="519"/>
    <x v="559"/>
    <x v="1"/>
    <n v="53"/>
    <x v="7"/>
    <x v="0"/>
    <s v="Corporate"/>
    <d v="2023-10-07T00:00:00"/>
    <m/>
    <x v="558"/>
    <n v="0"/>
    <x v="1"/>
    <n v="2"/>
    <x v="3"/>
    <s v="50-59"/>
  </r>
  <r>
    <x v="520"/>
    <x v="560"/>
    <x v="1"/>
    <n v="47"/>
    <x v="6"/>
    <x v="5"/>
    <s v="Products"/>
    <d v="2024-04-19T00:00:00"/>
    <m/>
    <x v="559"/>
    <n v="0"/>
    <x v="1"/>
    <n v="1"/>
    <x v="0"/>
    <s v="40-49"/>
  </r>
  <r>
    <x v="521"/>
    <x v="561"/>
    <x v="0"/>
    <n v="36"/>
    <x v="7"/>
    <x v="0"/>
    <s v="R&amp;D"/>
    <d v="2020-09-09T00:00:00"/>
    <m/>
    <x v="560"/>
    <n v="0"/>
    <x v="1"/>
    <n v="5"/>
    <x v="1"/>
    <s v="30-39"/>
  </r>
  <r>
    <x v="522"/>
    <x v="562"/>
    <x v="1"/>
    <n v="41"/>
    <x v="7"/>
    <x v="0"/>
    <s v="Manufacturing"/>
    <d v="2023-11-03T00:00:00"/>
    <m/>
    <x v="561"/>
    <n v="0"/>
    <x v="1"/>
    <n v="2"/>
    <x v="0"/>
    <s v="40-49"/>
  </r>
  <r>
    <x v="523"/>
    <x v="563"/>
    <x v="0"/>
    <n v="30"/>
    <x v="6"/>
    <x v="5"/>
    <s v="Manufacturing"/>
    <d v="2020-04-30T00:00:00"/>
    <d v="2023-10-07T00:00:00"/>
    <x v="562"/>
    <n v="0.23"/>
    <x v="0"/>
    <n v="3"/>
    <x v="1"/>
    <s v="30-39"/>
  </r>
  <r>
    <x v="524"/>
    <x v="564"/>
    <x v="1"/>
    <n v="31"/>
    <x v="0"/>
    <x v="0"/>
    <s v="Manufacturing"/>
    <d v="2020-02-26T00:00:00"/>
    <m/>
    <x v="563"/>
    <n v="0.39"/>
    <x v="1"/>
    <n v="5"/>
    <x v="1"/>
    <s v="30-39"/>
  </r>
  <r>
    <x v="525"/>
    <x v="565"/>
    <x v="1"/>
    <n v="38"/>
    <x v="1"/>
    <x v="0"/>
    <s v="Manufacturing"/>
    <d v="2022-09-11T00:00:00"/>
    <m/>
    <x v="564"/>
    <n v="0.11"/>
    <x v="1"/>
    <n v="3"/>
    <x v="1"/>
    <s v="30-39"/>
  </r>
  <r>
    <x v="526"/>
    <x v="566"/>
    <x v="1"/>
    <n v="31"/>
    <x v="8"/>
    <x v="2"/>
    <s v="Manufacturing"/>
    <d v="2024-05-18T00:00:00"/>
    <m/>
    <x v="565"/>
    <n v="0.18"/>
    <x v="1"/>
    <n v="1"/>
    <x v="1"/>
    <s v="30-39"/>
  </r>
  <r>
    <x v="527"/>
    <x v="567"/>
    <x v="1"/>
    <n v="39"/>
    <x v="5"/>
    <x v="0"/>
    <s v="Corporate"/>
    <d v="2021-11-09T00:00:00"/>
    <m/>
    <x v="566"/>
    <n v="0.31"/>
    <x v="1"/>
    <n v="4"/>
    <x v="1"/>
    <s v="30-39"/>
  </r>
  <r>
    <x v="528"/>
    <x v="568"/>
    <x v="1"/>
    <n v="31"/>
    <x v="7"/>
    <x v="0"/>
    <s v="Products"/>
    <d v="2020-05-12T00:00:00"/>
    <m/>
    <x v="567"/>
    <n v="0"/>
    <x v="1"/>
    <n v="5"/>
    <x v="1"/>
    <s v="30-39"/>
  </r>
  <r>
    <x v="529"/>
    <x v="569"/>
    <x v="1"/>
    <n v="45"/>
    <x v="3"/>
    <x v="0"/>
    <s v="Manufacturing"/>
    <d v="2022-09-11T00:00:00"/>
    <m/>
    <x v="568"/>
    <n v="0"/>
    <x v="1"/>
    <n v="3"/>
    <x v="0"/>
    <s v="40-49"/>
  </r>
  <r>
    <x v="530"/>
    <x v="570"/>
    <x v="0"/>
    <n v="50"/>
    <x v="8"/>
    <x v="4"/>
    <s v="R&amp;D"/>
    <d v="2022-10-23T00:00:00"/>
    <m/>
    <x v="569"/>
    <n v="0.13"/>
    <x v="1"/>
    <n v="3"/>
    <x v="3"/>
    <s v="50-59"/>
  </r>
  <r>
    <x v="89"/>
    <x v="571"/>
    <x v="1"/>
    <n v="36"/>
    <x v="9"/>
    <x v="5"/>
    <s v="Manufacturing"/>
    <d v="2024-08-23T00:00:00"/>
    <m/>
    <x v="570"/>
    <n v="0"/>
    <x v="1"/>
    <n v="1"/>
    <x v="1"/>
    <s v="30-39"/>
  </r>
  <r>
    <x v="531"/>
    <x v="572"/>
    <x v="0"/>
    <n v="45"/>
    <x v="8"/>
    <x v="3"/>
    <s v="Products"/>
    <d v="2023-11-07T00:00:00"/>
    <m/>
    <x v="571"/>
    <n v="0.05"/>
    <x v="1"/>
    <n v="2"/>
    <x v="0"/>
    <s v="40-49"/>
  </r>
  <r>
    <x v="532"/>
    <x v="573"/>
    <x v="1"/>
    <n v="29"/>
    <x v="1"/>
    <x v="0"/>
    <s v="R&amp;D"/>
    <d v="2023-10-07T00:00:00"/>
    <d v="2024-05-18T00:00:00"/>
    <x v="572"/>
    <n v="0.21"/>
    <x v="0"/>
    <n v="0"/>
    <x v="2"/>
    <s v="20-29"/>
  </r>
  <r>
    <x v="533"/>
    <x v="574"/>
    <x v="1"/>
    <n v="41"/>
    <x v="9"/>
    <x v="5"/>
    <s v="R&amp;D"/>
    <d v="2022-04-26T00:00:00"/>
    <m/>
    <x v="573"/>
    <n v="0"/>
    <x v="1"/>
    <n v="3"/>
    <x v="0"/>
    <s v="40-49"/>
  </r>
  <r>
    <x v="534"/>
    <x v="575"/>
    <x v="0"/>
    <n v="47"/>
    <x v="3"/>
    <x v="0"/>
    <s v="Corporate"/>
    <d v="2020-02-28T00:00:00"/>
    <m/>
    <x v="574"/>
    <n v="7.0000000000000007E-2"/>
    <x v="1"/>
    <n v="5"/>
    <x v="0"/>
    <s v="40-49"/>
  </r>
  <r>
    <x v="535"/>
    <x v="576"/>
    <x v="1"/>
    <n v="38"/>
    <x v="0"/>
    <x v="0"/>
    <s v="Corporate"/>
    <d v="2020-10-12T00:00:00"/>
    <m/>
    <x v="575"/>
    <n v="0"/>
    <x v="1"/>
    <n v="5"/>
    <x v="1"/>
    <s v="30-39"/>
  </r>
  <r>
    <x v="536"/>
    <x v="577"/>
    <x v="1"/>
    <n v="40"/>
    <x v="1"/>
    <x v="0"/>
    <s v="Products"/>
    <d v="2022-01-27T00:00:00"/>
    <d v="2024-08-23T00:00:00"/>
    <x v="576"/>
    <n v="0"/>
    <x v="0"/>
    <n v="2"/>
    <x v="0"/>
    <s v="40-49"/>
  </r>
  <r>
    <x v="537"/>
    <x v="578"/>
    <x v="1"/>
    <n v="45"/>
    <x v="2"/>
    <x v="1"/>
    <s v="Corporate"/>
    <d v="2024-02-15T00:00:00"/>
    <m/>
    <x v="577"/>
    <n v="0.28000000000000003"/>
    <x v="1"/>
    <n v="1"/>
    <x v="0"/>
    <s v="40-49"/>
  </r>
  <r>
    <x v="538"/>
    <x v="579"/>
    <x v="1"/>
    <n v="51"/>
    <x v="3"/>
    <x v="0"/>
    <s v="Products"/>
    <d v="2024-02-10T00:00:00"/>
    <m/>
    <x v="578"/>
    <n v="0"/>
    <x v="1"/>
    <n v="1"/>
    <x v="3"/>
    <s v="50-59"/>
  </r>
  <r>
    <x v="109"/>
    <x v="580"/>
    <x v="0"/>
    <n v="35"/>
    <x v="2"/>
    <x v="1"/>
    <s v="R&amp;D"/>
    <d v="2020-12-18T00:00:00"/>
    <m/>
    <x v="579"/>
    <n v="0.12"/>
    <x v="1"/>
    <n v="5"/>
    <x v="1"/>
    <s v="30-39"/>
  </r>
  <r>
    <x v="539"/>
    <x v="581"/>
    <x v="1"/>
    <n v="51"/>
    <x v="0"/>
    <x v="0"/>
    <s v="Products"/>
    <d v="2020-01-07T00:00:00"/>
    <m/>
    <x v="580"/>
    <n v="0.13"/>
    <x v="1"/>
    <n v="6"/>
    <x v="3"/>
    <s v="50-59"/>
  </r>
  <r>
    <x v="540"/>
    <x v="582"/>
    <x v="0"/>
    <n v="35"/>
    <x v="0"/>
    <x v="0"/>
    <s v="R&amp;D"/>
    <d v="2023-10-07T00:00:00"/>
    <m/>
    <x v="581"/>
    <n v="0.06"/>
    <x v="1"/>
    <n v="2"/>
    <x v="1"/>
    <s v="30-39"/>
  </r>
  <r>
    <x v="541"/>
    <x v="583"/>
    <x v="0"/>
    <n v="31"/>
    <x v="4"/>
    <x v="2"/>
    <s v="R&amp;D"/>
    <d v="2021-10-18T00:00:00"/>
    <m/>
    <x v="582"/>
    <n v="0.39"/>
    <x v="1"/>
    <n v="4"/>
    <x v="1"/>
    <s v="30-39"/>
  </r>
  <r>
    <x v="542"/>
    <x v="584"/>
    <x v="0"/>
    <n v="31"/>
    <x v="4"/>
    <x v="3"/>
    <s v="Products"/>
    <d v="2022-08-18T00:00:00"/>
    <m/>
    <x v="583"/>
    <n v="0"/>
    <x v="1"/>
    <n v="3"/>
    <x v="1"/>
    <s v="30-39"/>
  </r>
  <r>
    <x v="543"/>
    <x v="585"/>
    <x v="0"/>
    <n v="31"/>
    <x v="4"/>
    <x v="4"/>
    <s v="Corporate"/>
    <d v="2024-05-28T00:00:00"/>
    <m/>
    <x v="584"/>
    <n v="0.1"/>
    <x v="1"/>
    <n v="1"/>
    <x v="1"/>
    <s v="30-39"/>
  </r>
  <r>
    <x v="37"/>
    <x v="586"/>
    <x v="1"/>
    <n v="51"/>
    <x v="5"/>
    <x v="0"/>
    <s v="Manufacturing"/>
    <d v="2022-09-07T00:00:00"/>
    <m/>
    <x v="585"/>
    <n v="0"/>
    <x v="1"/>
    <n v="3"/>
    <x v="3"/>
    <s v="50-59"/>
  </r>
  <r>
    <x v="544"/>
    <x v="587"/>
    <x v="0"/>
    <n v="36"/>
    <x v="4"/>
    <x v="3"/>
    <s v="Manufacturing"/>
    <d v="2022-01-03T00:00:00"/>
    <d v="2023-10-07T00:00:00"/>
    <x v="586"/>
    <n v="0"/>
    <x v="0"/>
    <n v="1"/>
    <x v="1"/>
    <s v="30-39"/>
  </r>
  <r>
    <x v="545"/>
    <x v="588"/>
    <x v="1"/>
    <n v="45"/>
    <x v="6"/>
    <x v="5"/>
    <s v="R&amp;D"/>
    <d v="2023-05-28T00:00:00"/>
    <m/>
    <x v="587"/>
    <n v="7.0000000000000007E-2"/>
    <x v="1"/>
    <n v="2"/>
    <x v="0"/>
    <s v="40-49"/>
  </r>
  <r>
    <x v="509"/>
    <x v="589"/>
    <x v="0"/>
    <n v="37"/>
    <x v="5"/>
    <x v="0"/>
    <s v="Products"/>
    <d v="2023-11-15T00:00:00"/>
    <m/>
    <x v="588"/>
    <n v="0"/>
    <x v="1"/>
    <n v="2"/>
    <x v="1"/>
    <s v="30-39"/>
  </r>
  <r>
    <x v="427"/>
    <x v="590"/>
    <x v="1"/>
    <n v="37"/>
    <x v="5"/>
    <x v="0"/>
    <s v="R&amp;D"/>
    <d v="2020-01-21T00:00:00"/>
    <m/>
    <x v="589"/>
    <n v="0"/>
    <x v="1"/>
    <n v="6"/>
    <x v="1"/>
    <s v="30-39"/>
  </r>
  <r>
    <x v="546"/>
    <x v="591"/>
    <x v="1"/>
    <n v="47"/>
    <x v="7"/>
    <x v="0"/>
    <s v="Corporate"/>
    <d v="2023-10-07T00:00:00"/>
    <m/>
    <x v="590"/>
    <n v="0"/>
    <x v="1"/>
    <n v="2"/>
    <x v="0"/>
    <s v="40-49"/>
  </r>
  <r>
    <x v="547"/>
    <x v="592"/>
    <x v="1"/>
    <n v="36"/>
    <x v="6"/>
    <x v="5"/>
    <s v="Products"/>
    <d v="2024-04-19T00:00:00"/>
    <m/>
    <x v="591"/>
    <n v="0.1"/>
    <x v="1"/>
    <n v="1"/>
    <x v="1"/>
    <s v="30-39"/>
  </r>
  <r>
    <x v="548"/>
    <x v="593"/>
    <x v="0"/>
    <n v="41"/>
    <x v="7"/>
    <x v="0"/>
    <s v="R&amp;D"/>
    <d v="2020-09-09T00:00:00"/>
    <m/>
    <x v="592"/>
    <n v="0.09"/>
    <x v="1"/>
    <n v="5"/>
    <x v="0"/>
    <s v="40-49"/>
  </r>
  <r>
    <x v="450"/>
    <x v="594"/>
    <x v="1"/>
    <n v="51"/>
    <x v="7"/>
    <x v="0"/>
    <s v="Manufacturing"/>
    <d v="2023-11-03T00:00:00"/>
    <m/>
    <x v="593"/>
    <n v="0.3"/>
    <x v="1"/>
    <n v="2"/>
    <x v="3"/>
    <s v="50-59"/>
  </r>
  <r>
    <x v="42"/>
    <x v="595"/>
    <x v="0"/>
    <n v="41"/>
    <x v="6"/>
    <x v="5"/>
    <s v="Manufacturing"/>
    <d v="2024-04-30T00:00:00"/>
    <m/>
    <x v="594"/>
    <n v="0.23"/>
    <x v="1"/>
    <n v="1"/>
    <x v="0"/>
    <s v="40-49"/>
  </r>
  <r>
    <x v="549"/>
    <x v="596"/>
    <x v="1"/>
    <n v="38"/>
    <x v="0"/>
    <x v="0"/>
    <s v="Manufacturing"/>
    <d v="2020-02-26T00:00:00"/>
    <m/>
    <x v="595"/>
    <n v="0"/>
    <x v="1"/>
    <n v="5"/>
    <x v="1"/>
    <s v="30-39"/>
  </r>
  <r>
    <x v="550"/>
    <x v="597"/>
    <x v="1"/>
    <n v="51"/>
    <x v="1"/>
    <x v="0"/>
    <s v="Manufacturing"/>
    <d v="2022-09-11T00:00:00"/>
    <m/>
    <x v="596"/>
    <n v="0"/>
    <x v="1"/>
    <n v="3"/>
    <x v="3"/>
    <s v="50-59"/>
  </r>
  <r>
    <x v="551"/>
    <x v="598"/>
    <x v="1"/>
    <n v="39"/>
    <x v="8"/>
    <x v="2"/>
    <s v="Manufacturing"/>
    <d v="2024-05-18T00:00:00"/>
    <m/>
    <x v="597"/>
    <n v="0"/>
    <x v="1"/>
    <n v="1"/>
    <x v="1"/>
    <s v="30-39"/>
  </r>
  <r>
    <x v="552"/>
    <x v="599"/>
    <x v="1"/>
    <n v="31"/>
    <x v="5"/>
    <x v="0"/>
    <s v="Corporate"/>
    <d v="2021-11-09T00:00:00"/>
    <m/>
    <x v="598"/>
    <n v="0"/>
    <x v="1"/>
    <n v="4"/>
    <x v="1"/>
    <s v="30-39"/>
  </r>
  <r>
    <x v="553"/>
    <x v="600"/>
    <x v="1"/>
    <n v="45"/>
    <x v="7"/>
    <x v="0"/>
    <s v="Products"/>
    <d v="2020-05-12T00:00:00"/>
    <m/>
    <x v="599"/>
    <n v="0.11"/>
    <x v="1"/>
    <n v="5"/>
    <x v="0"/>
    <s v="40-49"/>
  </r>
  <r>
    <x v="221"/>
    <x v="601"/>
    <x v="1"/>
    <n v="50"/>
    <x v="3"/>
    <x v="0"/>
    <s v="Manufacturing"/>
    <d v="2022-09-11T00:00:00"/>
    <m/>
    <x v="600"/>
    <n v="0.06"/>
    <x v="1"/>
    <n v="3"/>
    <x v="3"/>
    <s v="50-59"/>
  </r>
  <r>
    <x v="554"/>
    <x v="602"/>
    <x v="0"/>
    <n v="36"/>
    <x v="8"/>
    <x v="4"/>
    <s v="R&amp;D"/>
    <d v="2022-10-23T00:00:00"/>
    <m/>
    <x v="601"/>
    <n v="0.36"/>
    <x v="1"/>
    <n v="3"/>
    <x v="1"/>
    <s v="30-39"/>
  </r>
  <r>
    <x v="555"/>
    <x v="603"/>
    <x v="1"/>
    <n v="45"/>
    <x v="9"/>
    <x v="5"/>
    <s v="Manufacturing"/>
    <d v="2024-08-23T00:00:00"/>
    <m/>
    <x v="602"/>
    <n v="0.06"/>
    <x v="1"/>
    <n v="1"/>
    <x v="0"/>
    <s v="40-49"/>
  </r>
  <r>
    <x v="556"/>
    <x v="604"/>
    <x v="0"/>
    <n v="29"/>
    <x v="8"/>
    <x v="3"/>
    <s v="Products"/>
    <d v="2023-11-07T00:00:00"/>
    <d v="2024-04-19T00:00:00"/>
    <x v="603"/>
    <n v="0"/>
    <x v="0"/>
    <n v="0"/>
    <x v="2"/>
    <s v="20-29"/>
  </r>
  <r>
    <x v="557"/>
    <x v="605"/>
    <x v="1"/>
    <n v="41"/>
    <x v="1"/>
    <x v="0"/>
    <s v="R&amp;D"/>
    <d v="2023-10-07T00:00:00"/>
    <m/>
    <x v="604"/>
    <n v="0"/>
    <x v="1"/>
    <n v="2"/>
    <x v="0"/>
    <s v="40-49"/>
  </r>
  <r>
    <x v="558"/>
    <x v="606"/>
    <x v="1"/>
    <n v="47"/>
    <x v="9"/>
    <x v="5"/>
    <s v="R&amp;D"/>
    <d v="2022-04-26T00:00:00"/>
    <m/>
    <x v="605"/>
    <n v="0.28000000000000003"/>
    <x v="1"/>
    <n v="3"/>
    <x v="0"/>
    <s v="40-49"/>
  </r>
  <r>
    <x v="559"/>
    <x v="607"/>
    <x v="0"/>
    <n v="38"/>
    <x v="3"/>
    <x v="0"/>
    <s v="Corporate"/>
    <d v="2020-02-28T00:00:00"/>
    <d v="2022-09-11T00:00:00"/>
    <x v="606"/>
    <n v="0"/>
    <x v="0"/>
    <n v="2"/>
    <x v="1"/>
    <s v="30-39"/>
  </r>
  <r>
    <x v="560"/>
    <x v="608"/>
    <x v="1"/>
    <n v="40"/>
    <x v="0"/>
    <x v="0"/>
    <s v="Corporate"/>
    <d v="2020-10-12T00:00:00"/>
    <m/>
    <x v="607"/>
    <n v="0.32"/>
    <x v="1"/>
    <n v="5"/>
    <x v="0"/>
    <s v="40-49"/>
  </r>
  <r>
    <x v="561"/>
    <x v="609"/>
    <x v="1"/>
    <n v="45"/>
    <x v="1"/>
    <x v="0"/>
    <s v="Products"/>
    <d v="2022-01-27T00:00:00"/>
    <m/>
    <x v="608"/>
    <n v="0.13"/>
    <x v="1"/>
    <n v="4"/>
    <x v="0"/>
    <s v="40-49"/>
  </r>
  <r>
    <x v="562"/>
    <x v="610"/>
    <x v="1"/>
    <n v="51"/>
    <x v="2"/>
    <x v="1"/>
    <s v="Corporate"/>
    <d v="2024-02-15T00:00:00"/>
    <m/>
    <x v="609"/>
    <n v="7.0000000000000007E-2"/>
    <x v="1"/>
    <n v="1"/>
    <x v="3"/>
    <s v="50-59"/>
  </r>
  <r>
    <x v="563"/>
    <x v="611"/>
    <x v="1"/>
    <n v="35"/>
    <x v="3"/>
    <x v="0"/>
    <s v="Products"/>
    <d v="2024-02-10T00:00:00"/>
    <m/>
    <x v="610"/>
    <n v="0.37"/>
    <x v="1"/>
    <n v="1"/>
    <x v="1"/>
    <s v="30-39"/>
  </r>
  <r>
    <x v="564"/>
    <x v="612"/>
    <x v="0"/>
    <n v="41"/>
    <x v="2"/>
    <x v="1"/>
    <s v="R&amp;D"/>
    <d v="2020-12-18T00:00:00"/>
    <m/>
    <x v="611"/>
    <n v="0.09"/>
    <x v="1"/>
    <n v="5"/>
    <x v="0"/>
    <s v="40-49"/>
  </r>
  <r>
    <x v="16"/>
    <x v="613"/>
    <x v="1"/>
    <n v="35"/>
    <x v="0"/>
    <x v="0"/>
    <s v="Products"/>
    <d v="2020-01-07T00:00:00"/>
    <m/>
    <x v="612"/>
    <n v="0"/>
    <x v="1"/>
    <n v="6"/>
    <x v="1"/>
    <s v="30-39"/>
  </r>
  <r>
    <x v="565"/>
    <x v="614"/>
    <x v="0"/>
    <n v="41"/>
    <x v="0"/>
    <x v="0"/>
    <s v="R&amp;D"/>
    <d v="2023-10-07T00:00:00"/>
    <m/>
    <x v="613"/>
    <n v="0"/>
    <x v="1"/>
    <n v="2"/>
    <x v="0"/>
    <s v="40-49"/>
  </r>
  <r>
    <x v="566"/>
    <x v="615"/>
    <x v="0"/>
    <n v="41"/>
    <x v="4"/>
    <x v="2"/>
    <s v="R&amp;D"/>
    <d v="2021-10-18T00:00:00"/>
    <m/>
    <x v="614"/>
    <n v="0.16"/>
    <x v="1"/>
    <n v="4"/>
    <x v="0"/>
    <s v="40-49"/>
  </r>
  <r>
    <x v="567"/>
    <x v="616"/>
    <x v="0"/>
    <n v="41"/>
    <x v="4"/>
    <x v="3"/>
    <s v="Products"/>
    <d v="2022-08-18T00:00:00"/>
    <m/>
    <x v="615"/>
    <n v="0"/>
    <x v="1"/>
    <n v="3"/>
    <x v="0"/>
    <s v="40-49"/>
  </r>
  <r>
    <x v="568"/>
    <x v="617"/>
    <x v="0"/>
    <n v="46"/>
    <x v="4"/>
    <x v="4"/>
    <s v="Corporate"/>
    <d v="2024-05-28T00:00:00"/>
    <m/>
    <x v="616"/>
    <n v="0"/>
    <x v="1"/>
    <n v="1"/>
    <x v="0"/>
    <s v="40-49"/>
  </r>
  <r>
    <x v="569"/>
    <x v="618"/>
    <x v="0"/>
    <n v="36"/>
    <x v="5"/>
    <x v="0"/>
    <s v="Manufacturing"/>
    <d v="2022-09-07T00:00:00"/>
    <m/>
    <x v="617"/>
    <n v="0.11"/>
    <x v="1"/>
    <n v="3"/>
    <x v="1"/>
    <s v="30-39"/>
  </r>
  <r>
    <x v="570"/>
    <x v="619"/>
    <x v="1"/>
    <n v="45"/>
    <x v="4"/>
    <x v="3"/>
    <s v="Manufacturing"/>
    <d v="2024-01-03T00:00:00"/>
    <m/>
    <x v="618"/>
    <n v="0"/>
    <x v="1"/>
    <n v="2"/>
    <x v="0"/>
    <s v="40-49"/>
  </r>
  <r>
    <x v="571"/>
    <x v="620"/>
    <x v="0"/>
    <n v="37"/>
    <x v="6"/>
    <x v="5"/>
    <s v="R&amp;D"/>
    <d v="2023-05-28T00:00:00"/>
    <d v="2024-02-15T00:00:00"/>
    <x v="619"/>
    <n v="0"/>
    <x v="0"/>
    <n v="0"/>
    <x v="1"/>
    <s v="30-39"/>
  </r>
  <r>
    <x v="572"/>
    <x v="621"/>
    <x v="1"/>
    <n v="38"/>
    <x v="5"/>
    <x v="0"/>
    <s v="Products"/>
    <d v="2023-11-15T00:00:00"/>
    <d v="2024-01-03T00:00:00"/>
    <x v="620"/>
    <n v="0"/>
    <x v="0"/>
    <n v="0"/>
    <x v="1"/>
    <s v="30-39"/>
  </r>
  <r>
    <x v="573"/>
    <x v="622"/>
    <x v="0"/>
    <n v="45"/>
    <x v="5"/>
    <x v="0"/>
    <s v="R&amp;D"/>
    <d v="2020-01-21T00:00:00"/>
    <d v="2023-10-07T00:00:00"/>
    <x v="621"/>
    <n v="0.32"/>
    <x v="0"/>
    <n v="3"/>
    <x v="0"/>
    <s v="40-49"/>
  </r>
  <r>
    <x v="574"/>
    <x v="623"/>
    <x v="1"/>
    <n v="51"/>
    <x v="7"/>
    <x v="0"/>
    <s v="Corporate"/>
    <d v="2023-10-07T00:00:00"/>
    <m/>
    <x v="622"/>
    <n v="0.09"/>
    <x v="1"/>
    <n v="2"/>
    <x v="3"/>
    <s v="50-59"/>
  </r>
  <r>
    <x v="17"/>
    <x v="624"/>
    <x v="1"/>
    <n v="56"/>
    <x v="6"/>
    <x v="5"/>
    <s v="Products"/>
    <d v="2024-04-19T00:00:00"/>
    <m/>
    <x v="623"/>
    <n v="0"/>
    <x v="1"/>
    <n v="1"/>
    <x v="3"/>
    <s v="50-59"/>
  </r>
  <r>
    <x v="110"/>
    <x v="625"/>
    <x v="1"/>
    <n v="53"/>
    <x v="7"/>
    <x v="0"/>
    <s v="R&amp;D"/>
    <d v="2020-09-09T00:00:00"/>
    <m/>
    <x v="624"/>
    <n v="0.28000000000000003"/>
    <x v="1"/>
    <n v="5"/>
    <x v="3"/>
    <s v="50-59"/>
  </r>
  <r>
    <x v="575"/>
    <x v="626"/>
    <x v="0"/>
    <n v="47"/>
    <x v="7"/>
    <x v="0"/>
    <s v="Manufacturing"/>
    <d v="2023-11-03T00:00:00"/>
    <m/>
    <x v="625"/>
    <n v="0"/>
    <x v="1"/>
    <n v="2"/>
    <x v="0"/>
    <s v="40-49"/>
  </r>
  <r>
    <x v="576"/>
    <x v="627"/>
    <x v="1"/>
    <n v="36"/>
    <x v="6"/>
    <x v="5"/>
    <s v="Manufacturing"/>
    <d v="2024-04-30T00:00:00"/>
    <m/>
    <x v="626"/>
    <n v="0.33"/>
    <x v="1"/>
    <n v="1"/>
    <x v="1"/>
    <s v="30-39"/>
  </r>
  <r>
    <x v="577"/>
    <x v="628"/>
    <x v="0"/>
    <n v="41"/>
    <x v="0"/>
    <x v="0"/>
    <s v="Manufacturing"/>
    <d v="2020-02-26T00:00:00"/>
    <m/>
    <x v="627"/>
    <n v="0"/>
    <x v="1"/>
    <n v="5"/>
    <x v="0"/>
    <s v="40-49"/>
  </r>
  <r>
    <x v="578"/>
    <x v="629"/>
    <x v="1"/>
    <n v="30"/>
    <x v="1"/>
    <x v="0"/>
    <s v="Manufacturing"/>
    <d v="2022-09-11T00:00:00"/>
    <d v="2023-05-28T00:00:00"/>
    <x v="628"/>
    <n v="0.08"/>
    <x v="0"/>
    <n v="0"/>
    <x v="1"/>
    <s v="30-39"/>
  </r>
  <r>
    <x v="579"/>
    <x v="630"/>
    <x v="1"/>
    <n v="30"/>
    <x v="8"/>
    <x v="2"/>
    <s v="Manufacturing"/>
    <d v="2023-05-18T00:00:00"/>
    <d v="2024-04-19T00:00:00"/>
    <x v="629"/>
    <n v="0.28000000000000003"/>
    <x v="0"/>
    <n v="0"/>
    <x v="1"/>
    <s v="30-39"/>
  </r>
  <r>
    <x v="580"/>
    <x v="631"/>
    <x v="1"/>
    <n v="38"/>
    <x v="5"/>
    <x v="0"/>
    <s v="Corporate"/>
    <d v="2021-11-09T00:00:00"/>
    <m/>
    <x v="630"/>
    <n v="0.12"/>
    <x v="1"/>
    <n v="4"/>
    <x v="1"/>
    <s v="30-39"/>
  </r>
  <r>
    <x v="581"/>
    <x v="632"/>
    <x v="1"/>
    <n v="51"/>
    <x v="7"/>
    <x v="0"/>
    <s v="Products"/>
    <d v="2020-05-12T00:00:00"/>
    <m/>
    <x v="631"/>
    <n v="0.28000000000000003"/>
    <x v="1"/>
    <n v="5"/>
    <x v="3"/>
    <s v="50-59"/>
  </r>
  <r>
    <x v="582"/>
    <x v="633"/>
    <x v="1"/>
    <n v="39"/>
    <x v="3"/>
    <x v="0"/>
    <s v="Manufacturing"/>
    <d v="2022-09-11T00:00:00"/>
    <m/>
    <x v="632"/>
    <n v="0.39"/>
    <x v="1"/>
    <n v="3"/>
    <x v="1"/>
    <s v="30-39"/>
  </r>
  <r>
    <x v="583"/>
    <x v="634"/>
    <x v="1"/>
    <n v="31"/>
    <x v="8"/>
    <x v="4"/>
    <s v="R&amp;D"/>
    <d v="2022-10-23T00:00:00"/>
    <d v="2024-04-30T00:00:00"/>
    <x v="633"/>
    <n v="0"/>
    <x v="0"/>
    <n v="1"/>
    <x v="1"/>
    <s v="30-39"/>
  </r>
  <r>
    <x v="584"/>
    <x v="635"/>
    <x v="0"/>
    <n v="45"/>
    <x v="9"/>
    <x v="5"/>
    <s v="Manufacturing"/>
    <d v="2024-08-23T00:00:00"/>
    <m/>
    <x v="634"/>
    <n v="0"/>
    <x v="1"/>
    <n v="1"/>
    <x v="0"/>
    <s v="40-49"/>
  </r>
  <r>
    <x v="585"/>
    <x v="636"/>
    <x v="1"/>
    <n v="50"/>
    <x v="8"/>
    <x v="3"/>
    <s v="Products"/>
    <d v="2023-11-07T00:00:00"/>
    <d v="2024-05-18T00:00:00"/>
    <x v="635"/>
    <n v="0"/>
    <x v="0"/>
    <n v="0"/>
    <x v="3"/>
    <s v="50-59"/>
  </r>
  <r>
    <x v="41"/>
    <x v="637"/>
    <x v="0"/>
    <n v="36"/>
    <x v="1"/>
    <x v="0"/>
    <s v="R&amp;D"/>
    <d v="2023-10-07T00:00:00"/>
    <m/>
    <x v="636"/>
    <n v="0.3"/>
    <x v="1"/>
    <n v="2"/>
    <x v="1"/>
    <s v="30-39"/>
  </r>
  <r>
    <x v="586"/>
    <x v="638"/>
    <x v="1"/>
    <n v="45"/>
    <x v="9"/>
    <x v="5"/>
    <s v="R&amp;D"/>
    <d v="2022-04-26T00:00:00"/>
    <m/>
    <x v="637"/>
    <n v="0.18"/>
    <x v="1"/>
    <n v="3"/>
    <x v="0"/>
    <s v="40-49"/>
  </r>
  <r>
    <x v="587"/>
    <x v="639"/>
    <x v="1"/>
    <n v="29"/>
    <x v="3"/>
    <x v="0"/>
    <s v="Corporate"/>
    <d v="2020-02-28T00:00:00"/>
    <d v="2022-09-11T00:00:00"/>
    <x v="638"/>
    <n v="0"/>
    <x v="0"/>
    <n v="2"/>
    <x v="2"/>
    <s v="20-29"/>
  </r>
  <r>
    <x v="588"/>
    <x v="640"/>
    <x v="0"/>
    <n v="41"/>
    <x v="0"/>
    <x v="0"/>
    <s v="Corporate"/>
    <d v="2020-10-12T00:00:00"/>
    <d v="2023-10-07T00:00:00"/>
    <x v="639"/>
    <n v="0.24"/>
    <x v="0"/>
    <n v="2"/>
    <x v="0"/>
    <s v="40-49"/>
  </r>
  <r>
    <x v="589"/>
    <x v="641"/>
    <x v="1"/>
    <n v="47"/>
    <x v="1"/>
    <x v="0"/>
    <s v="Products"/>
    <d v="2022-01-27T00:00:00"/>
    <m/>
    <x v="640"/>
    <n v="0"/>
    <x v="1"/>
    <n v="4"/>
    <x v="0"/>
    <s v="40-49"/>
  </r>
  <r>
    <x v="590"/>
    <x v="642"/>
    <x v="1"/>
    <n v="38"/>
    <x v="2"/>
    <x v="1"/>
    <s v="Corporate"/>
    <d v="2020-02-15T00:00:00"/>
    <d v="2024-05-28T00:00:00"/>
    <x v="641"/>
    <n v="0"/>
    <x v="0"/>
    <n v="4"/>
    <x v="1"/>
    <s v="30-39"/>
  </r>
  <r>
    <x v="591"/>
    <x v="643"/>
    <x v="1"/>
    <n v="40"/>
    <x v="3"/>
    <x v="0"/>
    <s v="Products"/>
    <d v="2024-02-10T00:00:00"/>
    <m/>
    <x v="642"/>
    <n v="0"/>
    <x v="1"/>
    <n v="1"/>
    <x v="0"/>
    <s v="40-49"/>
  </r>
  <r>
    <x v="592"/>
    <x v="644"/>
    <x v="1"/>
    <n v="45"/>
    <x v="2"/>
    <x v="1"/>
    <s v="R&amp;D"/>
    <d v="2020-12-18T00:00:00"/>
    <m/>
    <x v="643"/>
    <n v="0"/>
    <x v="1"/>
    <n v="5"/>
    <x v="0"/>
    <s v="40-49"/>
  </r>
  <r>
    <x v="593"/>
    <x v="645"/>
    <x v="0"/>
    <n v="46"/>
    <x v="0"/>
    <x v="0"/>
    <s v="Products"/>
    <d v="2020-01-07T00:00:00"/>
    <m/>
    <x v="644"/>
    <n v="0.15"/>
    <x v="1"/>
    <n v="6"/>
    <x v="0"/>
    <s v="40-49"/>
  </r>
  <r>
    <x v="594"/>
    <x v="646"/>
    <x v="1"/>
    <n v="35"/>
    <x v="0"/>
    <x v="0"/>
    <s v="R&amp;D"/>
    <d v="2023-10-07T00:00:00"/>
    <m/>
    <x v="645"/>
    <n v="0"/>
    <x v="1"/>
    <n v="2"/>
    <x v="1"/>
    <s v="30-39"/>
  </r>
  <r>
    <x v="595"/>
    <x v="647"/>
    <x v="0"/>
    <n v="46"/>
    <x v="4"/>
    <x v="2"/>
    <s v="R&amp;D"/>
    <d v="2021-10-18T00:00:00"/>
    <m/>
    <x v="646"/>
    <n v="0.26"/>
    <x v="1"/>
    <n v="4"/>
    <x v="0"/>
    <s v="40-49"/>
  </r>
  <r>
    <x v="596"/>
    <x v="648"/>
    <x v="0"/>
    <n v="35"/>
    <x v="4"/>
    <x v="3"/>
    <s v="Products"/>
    <d v="2022-08-18T00:00:00"/>
    <m/>
    <x v="647"/>
    <n v="0"/>
    <x v="1"/>
    <n v="3"/>
    <x v="1"/>
    <s v="30-39"/>
  </r>
  <r>
    <x v="597"/>
    <x v="649"/>
    <x v="0"/>
    <n v="46"/>
    <x v="4"/>
    <x v="4"/>
    <s v="Corporate"/>
    <d v="2024-05-28T00:00:00"/>
    <m/>
    <x v="648"/>
    <n v="0.12"/>
    <x v="1"/>
    <n v="1"/>
    <x v="0"/>
    <s v="40-49"/>
  </r>
  <r>
    <x v="598"/>
    <x v="650"/>
    <x v="0"/>
    <n v="46"/>
    <x v="5"/>
    <x v="0"/>
    <s v="Manufacturing"/>
    <d v="2022-09-07T00:00:00"/>
    <m/>
    <x v="649"/>
    <n v="0"/>
    <x v="1"/>
    <n v="3"/>
    <x v="0"/>
    <s v="40-49"/>
  </r>
  <r>
    <x v="599"/>
    <x v="651"/>
    <x v="1"/>
    <n v="51"/>
    <x v="4"/>
    <x v="3"/>
    <s v="Manufacturing"/>
    <d v="2024-01-03T00:00:00"/>
    <m/>
    <x v="650"/>
    <n v="0"/>
    <x v="1"/>
    <n v="2"/>
    <x v="3"/>
    <s v="50-59"/>
  </r>
  <r>
    <x v="600"/>
    <x v="652"/>
    <x v="0"/>
    <n v="46"/>
    <x v="6"/>
    <x v="5"/>
    <s v="R&amp;D"/>
    <d v="2023-05-28T00:00:00"/>
    <m/>
    <x v="651"/>
    <n v="0"/>
    <x v="1"/>
    <n v="2"/>
    <x v="0"/>
    <s v="40-49"/>
  </r>
  <r>
    <x v="601"/>
    <x v="653"/>
    <x v="1"/>
    <n v="36"/>
    <x v="5"/>
    <x v="0"/>
    <s v="Products"/>
    <d v="2023-11-15T00:00:00"/>
    <m/>
    <x v="652"/>
    <n v="0.08"/>
    <x v="1"/>
    <n v="2"/>
    <x v="1"/>
    <s v="30-39"/>
  </r>
  <r>
    <x v="602"/>
    <x v="654"/>
    <x v="0"/>
    <n v="45"/>
    <x v="5"/>
    <x v="0"/>
    <s v="R&amp;D"/>
    <d v="2020-01-21T00:00:00"/>
    <m/>
    <x v="653"/>
    <n v="0"/>
    <x v="1"/>
    <n v="6"/>
    <x v="0"/>
    <s v="40-49"/>
  </r>
  <r>
    <x v="603"/>
    <x v="655"/>
    <x v="1"/>
    <n v="37"/>
    <x v="7"/>
    <x v="0"/>
    <s v="Corporate"/>
    <d v="2023-10-07T00:00:00"/>
    <m/>
    <x v="654"/>
    <n v="7.0000000000000007E-2"/>
    <x v="1"/>
    <n v="2"/>
    <x v="1"/>
    <s v="30-39"/>
  </r>
  <r>
    <x v="203"/>
    <x v="656"/>
    <x v="1"/>
    <n v="38"/>
    <x v="6"/>
    <x v="5"/>
    <s v="Products"/>
    <d v="2024-04-19T00:00:00"/>
    <m/>
    <x v="655"/>
    <n v="7.0000000000000007E-2"/>
    <x v="1"/>
    <n v="1"/>
    <x v="1"/>
    <s v="30-39"/>
  </r>
  <r>
    <x v="604"/>
    <x v="657"/>
    <x v="1"/>
    <n v="45"/>
    <x v="7"/>
    <x v="0"/>
    <s v="R&amp;D"/>
    <d v="2020-09-09T00:00:00"/>
    <m/>
    <x v="656"/>
    <n v="0"/>
    <x v="1"/>
    <n v="5"/>
    <x v="0"/>
    <s v="40-49"/>
  </r>
  <r>
    <x v="605"/>
    <x v="658"/>
    <x v="0"/>
    <n v="51"/>
    <x v="7"/>
    <x v="0"/>
    <s v="Manufacturing"/>
    <d v="2023-11-03T00:00:00"/>
    <m/>
    <x v="657"/>
    <n v="0.12"/>
    <x v="1"/>
    <n v="2"/>
    <x v="3"/>
    <s v="50-59"/>
  </r>
  <r>
    <x v="606"/>
    <x v="659"/>
    <x v="1"/>
    <n v="56"/>
    <x v="6"/>
    <x v="5"/>
    <s v="Manufacturing"/>
    <d v="2024-04-30T00:00:00"/>
    <m/>
    <x v="658"/>
    <n v="0"/>
    <x v="1"/>
    <n v="1"/>
    <x v="3"/>
    <s v="50-59"/>
  </r>
  <r>
    <x v="607"/>
    <x v="660"/>
    <x v="0"/>
    <n v="53"/>
    <x v="0"/>
    <x v="0"/>
    <s v="Manufacturing"/>
    <d v="2020-02-26T00:00:00"/>
    <m/>
    <x v="659"/>
    <n v="0.26"/>
    <x v="1"/>
    <n v="5"/>
    <x v="3"/>
    <s v="50-59"/>
  </r>
  <r>
    <x v="608"/>
    <x v="661"/>
    <x v="1"/>
    <n v="47"/>
    <x v="1"/>
    <x v="0"/>
    <s v="Manufacturing"/>
    <d v="2022-09-11T00:00:00"/>
    <m/>
    <x v="660"/>
    <n v="0.13"/>
    <x v="1"/>
    <n v="3"/>
    <x v="0"/>
    <s v="40-49"/>
  </r>
  <r>
    <x v="609"/>
    <x v="662"/>
    <x v="1"/>
    <n v="36"/>
    <x v="8"/>
    <x v="2"/>
    <s v="Manufacturing"/>
    <d v="2024-05-18T00:00:00"/>
    <m/>
    <x v="661"/>
    <n v="0"/>
    <x v="1"/>
    <n v="1"/>
    <x v="1"/>
    <s v="30-39"/>
  </r>
  <r>
    <x v="610"/>
    <x v="663"/>
    <x v="1"/>
    <n v="41"/>
    <x v="5"/>
    <x v="0"/>
    <s v="Corporate"/>
    <d v="2021-11-09T00:00:00"/>
    <m/>
    <x v="662"/>
    <n v="0"/>
    <x v="1"/>
    <n v="4"/>
    <x v="0"/>
    <s v="40-49"/>
  </r>
  <r>
    <x v="611"/>
    <x v="664"/>
    <x v="1"/>
    <n v="51"/>
    <x v="7"/>
    <x v="0"/>
    <s v="Products"/>
    <d v="2020-05-12T00:00:00"/>
    <m/>
    <x v="663"/>
    <n v="0.08"/>
    <x v="1"/>
    <n v="5"/>
    <x v="3"/>
    <s v="50-59"/>
  </r>
  <r>
    <x v="18"/>
    <x v="665"/>
    <x v="1"/>
    <n v="51"/>
    <x v="3"/>
    <x v="0"/>
    <s v="Manufacturing"/>
    <d v="2022-09-11T00:00:00"/>
    <m/>
    <x v="664"/>
    <n v="0"/>
    <x v="1"/>
    <n v="3"/>
    <x v="3"/>
    <s v="50-59"/>
  </r>
  <r>
    <x v="612"/>
    <x v="666"/>
    <x v="1"/>
    <n v="38"/>
    <x v="8"/>
    <x v="4"/>
    <s v="R&amp;D"/>
    <d v="2022-10-23T00:00:00"/>
    <m/>
    <x v="665"/>
    <n v="0.1"/>
    <x v="1"/>
    <n v="3"/>
    <x v="1"/>
    <s v="30-39"/>
  </r>
  <r>
    <x v="613"/>
    <x v="667"/>
    <x v="0"/>
    <n v="46"/>
    <x v="9"/>
    <x v="5"/>
    <s v="Manufacturing"/>
    <d v="2024-08-23T00:00:00"/>
    <m/>
    <x v="666"/>
    <n v="0"/>
    <x v="1"/>
    <n v="1"/>
    <x v="0"/>
    <s v="40-49"/>
  </r>
  <r>
    <x v="614"/>
    <x v="668"/>
    <x v="1"/>
    <n v="39"/>
    <x v="8"/>
    <x v="3"/>
    <s v="Products"/>
    <d v="2023-11-07T00:00:00"/>
    <m/>
    <x v="667"/>
    <n v="0"/>
    <x v="1"/>
    <n v="2"/>
    <x v="1"/>
    <s v="30-39"/>
  </r>
  <r>
    <x v="615"/>
    <x v="669"/>
    <x v="0"/>
    <n v="31"/>
    <x v="1"/>
    <x v="0"/>
    <s v="R&amp;D"/>
    <d v="2023-10-07T00:00:00"/>
    <m/>
    <x v="668"/>
    <n v="0"/>
    <x v="1"/>
    <n v="2"/>
    <x v="1"/>
    <s v="30-39"/>
  </r>
  <r>
    <x v="616"/>
    <x v="670"/>
    <x v="1"/>
    <n v="45"/>
    <x v="9"/>
    <x v="5"/>
    <s v="R&amp;D"/>
    <d v="2022-04-26T00:00:00"/>
    <d v="2024-05-28T00:00:00"/>
    <x v="669"/>
    <n v="0"/>
    <x v="0"/>
    <n v="2"/>
    <x v="0"/>
    <s v="40-49"/>
  </r>
  <r>
    <x v="617"/>
    <x v="671"/>
    <x v="1"/>
    <n v="50"/>
    <x v="3"/>
    <x v="0"/>
    <s v="Corporate"/>
    <d v="2020-02-28T00:00:00"/>
    <d v="2023-10-07T00:00:00"/>
    <x v="670"/>
    <n v="0"/>
    <x v="0"/>
    <n v="3"/>
    <x v="3"/>
    <s v="50-59"/>
  </r>
  <r>
    <x v="618"/>
    <x v="672"/>
    <x v="0"/>
    <n v="36"/>
    <x v="0"/>
    <x v="0"/>
    <s v="Corporate"/>
    <d v="2020-10-12T00:00:00"/>
    <m/>
    <x v="671"/>
    <n v="0"/>
    <x v="1"/>
    <n v="5"/>
    <x v="1"/>
    <s v="30-39"/>
  </r>
  <r>
    <x v="619"/>
    <x v="673"/>
    <x v="1"/>
    <n v="45"/>
    <x v="1"/>
    <x v="0"/>
    <s v="Products"/>
    <d v="2022-01-27T00:00:00"/>
    <m/>
    <x v="672"/>
    <n v="0"/>
    <x v="1"/>
    <n v="4"/>
    <x v="0"/>
    <s v="40-49"/>
  </r>
  <r>
    <x v="19"/>
    <x v="674"/>
    <x v="1"/>
    <n v="51"/>
    <x v="2"/>
    <x v="1"/>
    <s v="Corporate"/>
    <d v="2024-02-15T00:00:00"/>
    <m/>
    <x v="673"/>
    <n v="0"/>
    <x v="1"/>
    <n v="1"/>
    <x v="3"/>
    <s v="50-59"/>
  </r>
  <r>
    <x v="20"/>
    <x v="675"/>
    <x v="1"/>
    <n v="41"/>
    <x v="3"/>
    <x v="0"/>
    <s v="Products"/>
    <d v="2022-02-10T00:00:00"/>
    <d v="2024-05-28T00:00:00"/>
    <x v="674"/>
    <n v="0"/>
    <x v="0"/>
    <n v="2"/>
    <x v="0"/>
    <s v="40-49"/>
  </r>
  <r>
    <x v="620"/>
    <x v="676"/>
    <x v="1"/>
    <n v="47"/>
    <x v="2"/>
    <x v="1"/>
    <s v="R&amp;D"/>
    <d v="2020-12-18T00:00:00"/>
    <m/>
    <x v="675"/>
    <n v="0"/>
    <x v="1"/>
    <n v="5"/>
    <x v="0"/>
    <s v="40-49"/>
  </r>
  <r>
    <x v="21"/>
    <x v="677"/>
    <x v="0"/>
    <n v="38"/>
    <x v="0"/>
    <x v="0"/>
    <s v="Products"/>
    <d v="2020-01-07T00:00:00"/>
    <m/>
    <x v="676"/>
    <n v="0"/>
    <x v="1"/>
    <n v="6"/>
    <x v="1"/>
    <s v="30-39"/>
  </r>
  <r>
    <x v="621"/>
    <x v="678"/>
    <x v="1"/>
    <n v="40"/>
    <x v="0"/>
    <x v="0"/>
    <s v="R&amp;D"/>
    <d v="2023-10-07T00:00:00"/>
    <m/>
    <x v="677"/>
    <n v="0"/>
    <x v="1"/>
    <n v="2"/>
    <x v="0"/>
    <s v="40-49"/>
  </r>
  <r>
    <x v="622"/>
    <x v="679"/>
    <x v="0"/>
    <n v="45"/>
    <x v="4"/>
    <x v="2"/>
    <s v="R&amp;D"/>
    <d v="2021-10-18T00:00:00"/>
    <m/>
    <x v="678"/>
    <n v="0"/>
    <x v="1"/>
    <n v="4"/>
    <x v="0"/>
    <s v="40-49"/>
  </r>
  <r>
    <x v="623"/>
    <x v="680"/>
    <x v="0"/>
    <n v="26"/>
    <x v="4"/>
    <x v="3"/>
    <s v="Products"/>
    <d v="2020-08-18T00:00:00"/>
    <d v="2022-01-03T00:00:00"/>
    <x v="679"/>
    <n v="0.06"/>
    <x v="0"/>
    <n v="1"/>
    <x v="2"/>
    <s v="20-29"/>
  </r>
  <r>
    <x v="624"/>
    <x v="681"/>
    <x v="0"/>
    <n v="35"/>
    <x v="4"/>
    <x v="4"/>
    <s v="Corporate"/>
    <d v="2021-05-28T00:00:00"/>
    <d v="2023-05-28T00:00:00"/>
    <x v="680"/>
    <n v="0.05"/>
    <x v="0"/>
    <n v="2"/>
    <x v="1"/>
    <s v="30-39"/>
  </r>
  <r>
    <x v="179"/>
    <x v="682"/>
    <x v="0"/>
    <n v="29"/>
    <x v="5"/>
    <x v="0"/>
    <s v="Manufacturing"/>
    <d v="2022-09-07T00:00:00"/>
    <d v="2023-11-15T00:00:00"/>
    <x v="681"/>
    <n v="0"/>
    <x v="0"/>
    <n v="1"/>
    <x v="2"/>
    <s v="20-29"/>
  </r>
  <r>
    <x v="625"/>
    <x v="683"/>
    <x v="0"/>
    <n v="35"/>
    <x v="4"/>
    <x v="3"/>
    <s v="Manufacturing"/>
    <d v="2020-01-03T00:00:00"/>
    <d v="2024-01-21T00:00:00"/>
    <x v="682"/>
    <n v="0.13"/>
    <x v="0"/>
    <n v="4"/>
    <x v="1"/>
    <s v="30-39"/>
  </r>
  <r>
    <x v="626"/>
    <x v="684"/>
    <x v="1"/>
    <n v="51"/>
    <x v="6"/>
    <x v="5"/>
    <s v="R&amp;D"/>
    <d v="2023-05-28T00:00:00"/>
    <m/>
    <x v="683"/>
    <n v="0.2"/>
    <x v="1"/>
    <n v="2"/>
    <x v="3"/>
    <s v="50-59"/>
  </r>
  <r>
    <x v="627"/>
    <x v="685"/>
    <x v="0"/>
    <n v="46"/>
    <x v="5"/>
    <x v="0"/>
    <s v="Products"/>
    <d v="2023-11-15T00:00:00"/>
    <m/>
    <x v="684"/>
    <n v="0"/>
    <x v="1"/>
    <n v="2"/>
    <x v="0"/>
    <s v="40-49"/>
  </r>
  <r>
    <x v="628"/>
    <x v="686"/>
    <x v="1"/>
    <n v="51"/>
    <x v="5"/>
    <x v="0"/>
    <s v="R&amp;D"/>
    <d v="2020-01-21T00:00:00"/>
    <m/>
    <x v="685"/>
    <n v="0"/>
    <x v="1"/>
    <n v="6"/>
    <x v="3"/>
    <s v="50-59"/>
  </r>
  <r>
    <x v="629"/>
    <x v="687"/>
    <x v="0"/>
    <n v="46"/>
    <x v="7"/>
    <x v="0"/>
    <s v="Corporate"/>
    <d v="2023-10-07T00:00:00"/>
    <m/>
    <x v="686"/>
    <n v="0"/>
    <x v="1"/>
    <n v="2"/>
    <x v="0"/>
    <s v="40-49"/>
  </r>
  <r>
    <x v="164"/>
    <x v="688"/>
    <x v="1"/>
    <n v="36"/>
    <x v="6"/>
    <x v="5"/>
    <s v="Products"/>
    <d v="2024-04-19T00:00:00"/>
    <m/>
    <x v="687"/>
    <n v="0"/>
    <x v="1"/>
    <n v="1"/>
    <x v="1"/>
    <s v="30-39"/>
  </r>
  <r>
    <x v="630"/>
    <x v="689"/>
    <x v="1"/>
    <n v="45"/>
    <x v="7"/>
    <x v="0"/>
    <s v="R&amp;D"/>
    <d v="2020-09-09T00:00:00"/>
    <m/>
    <x v="688"/>
    <n v="0.09"/>
    <x v="1"/>
    <n v="5"/>
    <x v="0"/>
    <s v="40-49"/>
  </r>
  <r>
    <x v="631"/>
    <x v="690"/>
    <x v="1"/>
    <n v="37"/>
    <x v="7"/>
    <x v="0"/>
    <s v="Manufacturing"/>
    <d v="2023-11-03T00:00:00"/>
    <m/>
    <x v="689"/>
    <n v="0"/>
    <x v="1"/>
    <n v="2"/>
    <x v="1"/>
    <s v="30-39"/>
  </r>
  <r>
    <x v="28"/>
    <x v="691"/>
    <x v="1"/>
    <n v="51"/>
    <x v="7"/>
    <x v="4"/>
    <s v="Corporate"/>
    <d v="2024-05-28T00:00:00"/>
    <m/>
    <x v="690"/>
    <n v="0.15"/>
    <x v="1"/>
    <n v="1"/>
    <x v="3"/>
    <s v="50-59"/>
  </r>
  <r>
    <x v="632"/>
    <x v="692"/>
    <x v="0"/>
    <n v="56"/>
    <x v="6"/>
    <x v="0"/>
    <s v="Manufacturing"/>
    <d v="2022-09-07T00:00:00"/>
    <m/>
    <x v="691"/>
    <n v="0"/>
    <x v="1"/>
    <n v="3"/>
    <x v="3"/>
    <s v="50-59"/>
  </r>
  <r>
    <x v="633"/>
    <x v="693"/>
    <x v="1"/>
    <n v="53"/>
    <x v="0"/>
    <x v="3"/>
    <s v="Manufacturing"/>
    <d v="2022-01-03T00:00:00"/>
    <d v="2023-10-07T00:00:00"/>
    <x v="692"/>
    <n v="0.26"/>
    <x v="0"/>
    <n v="1"/>
    <x v="3"/>
    <s v="50-59"/>
  </r>
  <r>
    <x v="634"/>
    <x v="694"/>
    <x v="0"/>
    <n v="47"/>
    <x v="1"/>
    <x v="5"/>
    <s v="R&amp;D"/>
    <d v="2023-05-28T00:00:00"/>
    <m/>
    <x v="693"/>
    <n v="0"/>
    <x v="1"/>
    <n v="2"/>
    <x v="0"/>
    <s v="40-49"/>
  </r>
  <r>
    <x v="635"/>
    <x v="695"/>
    <x v="1"/>
    <n v="36"/>
    <x v="8"/>
    <x v="0"/>
    <s v="Products"/>
    <d v="2023-11-15T00:00:00"/>
    <m/>
    <x v="694"/>
    <n v="0.12"/>
    <x v="1"/>
    <n v="2"/>
    <x v="1"/>
    <s v="30-39"/>
  </r>
  <r>
    <x v="201"/>
    <x v="696"/>
    <x v="1"/>
    <n v="41"/>
    <x v="5"/>
    <x v="0"/>
    <s v="R&amp;D"/>
    <d v="2020-01-21T00:00:00"/>
    <m/>
    <x v="695"/>
    <n v="0"/>
    <x v="1"/>
    <n v="6"/>
    <x v="0"/>
    <s v="40-49"/>
  </r>
  <r>
    <x v="636"/>
    <x v="697"/>
    <x v="0"/>
    <n v="46"/>
    <x v="7"/>
    <x v="0"/>
    <s v="Corporate"/>
    <d v="2023-10-07T00:00:00"/>
    <m/>
    <x v="696"/>
    <n v="0"/>
    <x v="1"/>
    <n v="2"/>
    <x v="0"/>
    <s v="40-49"/>
  </r>
  <r>
    <x v="637"/>
    <x v="698"/>
    <x v="1"/>
    <n v="51"/>
    <x v="3"/>
    <x v="5"/>
    <s v="Products"/>
    <d v="2024-04-19T00:00:00"/>
    <m/>
    <x v="697"/>
    <n v="0"/>
    <x v="1"/>
    <n v="1"/>
    <x v="3"/>
    <s v="50-59"/>
  </r>
  <r>
    <x v="638"/>
    <x v="699"/>
    <x v="1"/>
    <n v="38"/>
    <x v="8"/>
    <x v="0"/>
    <s v="R&amp;D"/>
    <d v="2020-09-09T00:00:00"/>
    <m/>
    <x v="698"/>
    <n v="0.08"/>
    <x v="1"/>
    <n v="5"/>
    <x v="1"/>
    <s v="30-39"/>
  </r>
  <r>
    <x v="614"/>
    <x v="700"/>
    <x v="1"/>
    <n v="51"/>
    <x v="9"/>
    <x v="0"/>
    <s v="Manufacturing"/>
    <d v="2023-11-03T00:00:00"/>
    <m/>
    <x v="699"/>
    <n v="0"/>
    <x v="1"/>
    <n v="2"/>
    <x v="3"/>
    <s v="50-59"/>
  </r>
  <r>
    <x v="639"/>
    <x v="701"/>
    <x v="1"/>
    <n v="39"/>
    <x v="8"/>
    <x v="5"/>
    <s v="Manufacturing"/>
    <d v="2024-04-30T00:00:00"/>
    <m/>
    <x v="700"/>
    <n v="7.0000000000000007E-2"/>
    <x v="1"/>
    <n v="1"/>
    <x v="1"/>
    <s v="30-39"/>
  </r>
  <r>
    <x v="640"/>
    <x v="702"/>
    <x v="0"/>
    <n v="31"/>
    <x v="1"/>
    <x v="0"/>
    <s v="Manufacturing"/>
    <d v="2020-02-26T00:00:00"/>
    <m/>
    <x v="701"/>
    <n v="7.0000000000000007E-2"/>
    <x v="1"/>
    <n v="5"/>
    <x v="1"/>
    <s v="30-39"/>
  </r>
  <r>
    <x v="641"/>
    <x v="703"/>
    <x v="1"/>
    <n v="45"/>
    <x v="9"/>
    <x v="0"/>
    <s v="Manufacturing"/>
    <d v="2022-09-11T00:00:00"/>
    <m/>
    <x v="702"/>
    <n v="0"/>
    <x v="1"/>
    <n v="3"/>
    <x v="0"/>
    <s v="40-49"/>
  </r>
  <r>
    <x v="642"/>
    <x v="704"/>
    <x v="0"/>
    <n v="50"/>
    <x v="3"/>
    <x v="2"/>
    <s v="Manufacturing"/>
    <d v="2024-05-18T00:00:00"/>
    <m/>
    <x v="703"/>
    <n v="0.12"/>
    <x v="1"/>
    <n v="1"/>
    <x v="3"/>
    <s v="50-59"/>
  </r>
  <r>
    <x v="643"/>
    <x v="705"/>
    <x v="0"/>
    <n v="36"/>
    <x v="0"/>
    <x v="0"/>
    <s v="Corporate"/>
    <d v="2021-11-09T00:00:00"/>
    <m/>
    <x v="704"/>
    <n v="0"/>
    <x v="1"/>
    <n v="4"/>
    <x v="1"/>
    <s v="30-39"/>
  </r>
  <r>
    <x v="644"/>
    <x v="706"/>
    <x v="0"/>
    <n v="45"/>
    <x v="1"/>
    <x v="0"/>
    <s v="Products"/>
    <d v="2020-05-12T00:00:00"/>
    <m/>
    <x v="705"/>
    <n v="0.26"/>
    <x v="1"/>
    <n v="5"/>
    <x v="0"/>
    <s v="40-49"/>
  </r>
  <r>
    <x v="645"/>
    <x v="707"/>
    <x v="0"/>
    <n v="46"/>
    <x v="2"/>
    <x v="0"/>
    <s v="Manufacturing"/>
    <d v="2022-09-11T00:00:00"/>
    <m/>
    <x v="706"/>
    <n v="0.13"/>
    <x v="1"/>
    <n v="3"/>
    <x v="0"/>
    <s v="40-49"/>
  </r>
  <r>
    <x v="646"/>
    <x v="708"/>
    <x v="1"/>
    <n v="41"/>
    <x v="3"/>
    <x v="4"/>
    <s v="R&amp;D"/>
    <d v="2022-10-23T00:00:00"/>
    <m/>
    <x v="707"/>
    <n v="0"/>
    <x v="1"/>
    <n v="3"/>
    <x v="0"/>
    <s v="40-49"/>
  </r>
  <r>
    <x v="647"/>
    <x v="709"/>
    <x v="0"/>
    <n v="47"/>
    <x v="2"/>
    <x v="5"/>
    <s v="Manufacturing"/>
    <d v="2024-08-23T00:00:00"/>
    <m/>
    <x v="708"/>
    <n v="0"/>
    <x v="1"/>
    <n v="1"/>
    <x v="0"/>
    <s v="40-49"/>
  </r>
  <r>
    <x v="648"/>
    <x v="710"/>
    <x v="1"/>
    <n v="38"/>
    <x v="0"/>
    <x v="3"/>
    <s v="Products"/>
    <d v="2023-11-07T00:00:00"/>
    <d v="2024-04-19T00:00:00"/>
    <x v="709"/>
    <n v="0.08"/>
    <x v="0"/>
    <n v="0"/>
    <x v="1"/>
    <s v="30-39"/>
  </r>
  <r>
    <x v="649"/>
    <x v="711"/>
    <x v="0"/>
    <n v="40"/>
    <x v="0"/>
    <x v="0"/>
    <s v="R&amp;D"/>
    <d v="2023-10-07T00:00:00"/>
    <m/>
    <x v="710"/>
    <n v="0"/>
    <x v="1"/>
    <n v="2"/>
    <x v="0"/>
    <s v="40-49"/>
  </r>
  <r>
    <x v="650"/>
    <x v="712"/>
    <x v="1"/>
    <n v="45"/>
    <x v="4"/>
    <x v="5"/>
    <s v="R&amp;D"/>
    <d v="2022-04-26T00:00:00"/>
    <m/>
    <x v="711"/>
    <n v="0.1"/>
    <x v="1"/>
    <n v="3"/>
    <x v="0"/>
    <s v="40-49"/>
  </r>
  <r>
    <x v="556"/>
    <x v="713"/>
    <x v="1"/>
    <n v="26"/>
    <x v="4"/>
    <x v="0"/>
    <s v="Corporate"/>
    <d v="2020-02-28T00:00:00"/>
    <d v="2022-09-11T00:00:00"/>
    <x v="712"/>
    <n v="0"/>
    <x v="0"/>
    <n v="2"/>
    <x v="2"/>
    <s v="20-29"/>
  </r>
  <r>
    <x v="651"/>
    <x v="714"/>
    <x v="1"/>
    <n v="35"/>
    <x v="4"/>
    <x v="0"/>
    <s v="Corporate"/>
    <d v="2020-10-12T00:00:00"/>
    <m/>
    <x v="713"/>
    <n v="0"/>
    <x v="1"/>
    <n v="5"/>
    <x v="1"/>
    <s v="30-39"/>
  </r>
  <r>
    <x v="652"/>
    <x v="715"/>
    <x v="0"/>
    <n v="51"/>
    <x v="5"/>
    <x v="0"/>
    <s v="Products"/>
    <d v="2022-01-27T00:00:00"/>
    <m/>
    <x v="714"/>
    <n v="0"/>
    <x v="1"/>
    <n v="4"/>
    <x v="3"/>
    <s v="50-59"/>
  </r>
  <r>
    <x v="653"/>
    <x v="716"/>
    <x v="1"/>
    <n v="35"/>
    <x v="4"/>
    <x v="1"/>
    <s v="Corporate"/>
    <d v="2024-02-15T00:00:00"/>
    <m/>
    <x v="715"/>
    <n v="0"/>
    <x v="1"/>
    <n v="1"/>
    <x v="1"/>
    <s v="30-39"/>
  </r>
  <r>
    <x v="654"/>
    <x v="717"/>
    <x v="0"/>
    <n v="51"/>
    <x v="6"/>
    <x v="0"/>
    <s v="Products"/>
    <d v="2024-02-10T00:00:00"/>
    <m/>
    <x v="716"/>
    <n v="0"/>
    <x v="1"/>
    <n v="1"/>
    <x v="3"/>
    <s v="50-59"/>
  </r>
  <r>
    <x v="655"/>
    <x v="718"/>
    <x v="1"/>
    <n v="51"/>
    <x v="5"/>
    <x v="1"/>
    <s v="R&amp;D"/>
    <d v="2020-12-18T00:00:00"/>
    <m/>
    <x v="717"/>
    <n v="0"/>
    <x v="1"/>
    <n v="5"/>
    <x v="3"/>
    <s v="50-59"/>
  </r>
  <r>
    <x v="656"/>
    <x v="719"/>
    <x v="1"/>
    <n v="51"/>
    <x v="5"/>
    <x v="0"/>
    <s v="Products"/>
    <d v="2020-01-07T00:00:00"/>
    <m/>
    <x v="718"/>
    <n v="0"/>
    <x v="1"/>
    <n v="6"/>
    <x v="3"/>
    <s v="50-59"/>
  </r>
  <r>
    <x v="657"/>
    <x v="720"/>
    <x v="1"/>
    <n v="51"/>
    <x v="7"/>
    <x v="0"/>
    <s v="R&amp;D"/>
    <d v="2023-10-07T00:00:00"/>
    <m/>
    <x v="719"/>
    <n v="0"/>
    <x v="1"/>
    <n v="2"/>
    <x v="3"/>
    <s v="50-59"/>
  </r>
  <r>
    <x v="658"/>
    <x v="721"/>
    <x v="1"/>
    <n v="36"/>
    <x v="6"/>
    <x v="2"/>
    <s v="R&amp;D"/>
    <d v="2021-10-18T00:00:00"/>
    <m/>
    <x v="720"/>
    <n v="0"/>
    <x v="1"/>
    <n v="4"/>
    <x v="1"/>
    <s v="30-39"/>
  </r>
  <r>
    <x v="659"/>
    <x v="722"/>
    <x v="1"/>
    <n v="45"/>
    <x v="7"/>
    <x v="3"/>
    <s v="Products"/>
    <d v="2022-08-18T00:00:00"/>
    <m/>
    <x v="721"/>
    <n v="0"/>
    <x v="1"/>
    <n v="3"/>
    <x v="0"/>
    <s v="40-49"/>
  </r>
  <r>
    <x v="660"/>
    <x v="723"/>
    <x v="1"/>
    <n v="37"/>
    <x v="7"/>
    <x v="4"/>
    <s v="Corporate"/>
    <d v="2024-05-28T00:00:00"/>
    <m/>
    <x v="722"/>
    <n v="0"/>
    <x v="1"/>
    <n v="1"/>
    <x v="1"/>
    <s v="30-39"/>
  </r>
  <r>
    <x v="661"/>
    <x v="724"/>
    <x v="0"/>
    <n v="38"/>
    <x v="6"/>
    <x v="0"/>
    <s v="Manufacturing"/>
    <d v="2022-09-07T00:00:00"/>
    <m/>
    <x v="723"/>
    <n v="0"/>
    <x v="1"/>
    <n v="3"/>
    <x v="1"/>
    <s v="30-39"/>
  </r>
  <r>
    <x v="662"/>
    <x v="725"/>
    <x v="1"/>
    <n v="45"/>
    <x v="0"/>
    <x v="3"/>
    <s v="Manufacturing"/>
    <d v="2024-01-03T00:00:00"/>
    <m/>
    <x v="724"/>
    <n v="0"/>
    <x v="1"/>
    <n v="2"/>
    <x v="0"/>
    <s v="40-49"/>
  </r>
  <r>
    <x v="663"/>
    <x v="726"/>
    <x v="0"/>
    <n v="51"/>
    <x v="1"/>
    <x v="5"/>
    <s v="R&amp;D"/>
    <d v="2023-05-28T00:00:00"/>
    <d v="2024-02-15T00:00:00"/>
    <x v="725"/>
    <n v="0.06"/>
    <x v="0"/>
    <n v="0"/>
    <x v="3"/>
    <s v="50-59"/>
  </r>
  <r>
    <x v="664"/>
    <x v="727"/>
    <x v="1"/>
    <n v="56"/>
    <x v="8"/>
    <x v="0"/>
    <s v="Products"/>
    <d v="2023-11-15T00:00:00"/>
    <d v="2024-01-03T00:00:00"/>
    <x v="726"/>
    <n v="0.05"/>
    <x v="0"/>
    <n v="0"/>
    <x v="3"/>
    <s v="50-59"/>
  </r>
  <r>
    <x v="665"/>
    <x v="728"/>
    <x v="1"/>
    <n v="53"/>
    <x v="5"/>
    <x v="0"/>
    <s v="R&amp;D"/>
    <d v="2020-01-21T00:00:00"/>
    <d v="2023-10-07T00:00:00"/>
    <x v="727"/>
    <n v="0"/>
    <x v="0"/>
    <n v="3"/>
    <x v="3"/>
    <s v="50-59"/>
  </r>
  <r>
    <x v="666"/>
    <x v="729"/>
    <x v="0"/>
    <n v="47"/>
    <x v="7"/>
    <x v="0"/>
    <s v="Corporate"/>
    <d v="2023-10-07T00:00:00"/>
    <m/>
    <x v="728"/>
    <n v="0.13"/>
    <x v="1"/>
    <n v="2"/>
    <x v="0"/>
    <s v="40-49"/>
  </r>
  <r>
    <x v="667"/>
    <x v="730"/>
    <x v="1"/>
    <n v="36"/>
    <x v="3"/>
    <x v="5"/>
    <s v="Products"/>
    <d v="2024-04-19T00:00:00"/>
    <m/>
    <x v="729"/>
    <n v="0.2"/>
    <x v="1"/>
    <n v="1"/>
    <x v="1"/>
    <s v="30-39"/>
  </r>
  <r>
    <x v="668"/>
    <x v="731"/>
    <x v="1"/>
    <n v="41"/>
    <x v="8"/>
    <x v="0"/>
    <s v="R&amp;D"/>
    <d v="2020-09-09T00:00:00"/>
    <m/>
    <x v="730"/>
    <n v="0"/>
    <x v="1"/>
    <n v="5"/>
    <x v="0"/>
    <s v="40-49"/>
  </r>
  <r>
    <x v="66"/>
    <x v="732"/>
    <x v="1"/>
    <n v="46"/>
    <x v="9"/>
    <x v="0"/>
    <s v="Manufacturing"/>
    <d v="2023-11-03T00:00:00"/>
    <m/>
    <x v="731"/>
    <n v="0"/>
    <x v="1"/>
    <n v="2"/>
    <x v="0"/>
    <s v="40-49"/>
  </r>
  <r>
    <x v="669"/>
    <x v="733"/>
    <x v="1"/>
    <n v="46"/>
    <x v="8"/>
    <x v="5"/>
    <s v="Manufacturing"/>
    <d v="2024-04-30T00:00:00"/>
    <m/>
    <x v="732"/>
    <n v="0"/>
    <x v="1"/>
    <n v="1"/>
    <x v="0"/>
    <s v="40-49"/>
  </r>
  <r>
    <x v="670"/>
    <x v="734"/>
    <x v="0"/>
    <n v="38"/>
    <x v="1"/>
    <x v="0"/>
    <s v="Manufacturing"/>
    <d v="2020-02-26T00:00:00"/>
    <m/>
    <x v="733"/>
    <n v="0"/>
    <x v="0"/>
    <n v="5"/>
    <x v="1"/>
    <s v="30-39"/>
  </r>
  <r>
    <x v="671"/>
    <x v="735"/>
    <x v="1"/>
    <n v="46"/>
    <x v="9"/>
    <x v="0"/>
    <s v="Manufacturing"/>
    <d v="2022-09-11T00:00:00"/>
    <d v="2023-05-28T00:00:00"/>
    <x v="734"/>
    <n v="0.09"/>
    <x v="1"/>
    <n v="0"/>
    <x v="0"/>
    <s v="40-49"/>
  </r>
  <r>
    <x v="672"/>
    <x v="736"/>
    <x v="0"/>
    <n v="39"/>
    <x v="3"/>
    <x v="2"/>
    <s v="Manufacturing"/>
    <d v="2023-05-18T00:00:00"/>
    <d v="2024-04-19T00:00:00"/>
    <x v="735"/>
    <n v="0"/>
    <x v="0"/>
    <n v="0"/>
    <x v="1"/>
    <s v="30-39"/>
  </r>
  <r>
    <x v="673"/>
    <x v="737"/>
    <x v="0"/>
    <n v="31"/>
    <x v="0"/>
    <x v="0"/>
    <s v="Corporate"/>
    <d v="2021-11-09T00:00:00"/>
    <m/>
    <x v="736"/>
    <n v="0.15"/>
    <x v="1"/>
    <n v="4"/>
    <x v="1"/>
    <s v="30-39"/>
  </r>
  <r>
    <x v="674"/>
    <x v="738"/>
    <x v="0"/>
    <n v="45"/>
    <x v="1"/>
    <x v="0"/>
    <s v="Products"/>
    <d v="2020-05-12T00:00:00"/>
    <m/>
    <x v="737"/>
    <n v="0"/>
    <x v="1"/>
    <n v="5"/>
    <x v="0"/>
    <s v="40-49"/>
  </r>
  <r>
    <x v="675"/>
    <x v="739"/>
    <x v="0"/>
    <n v="50"/>
    <x v="2"/>
    <x v="0"/>
    <s v="Manufacturing"/>
    <d v="2022-09-11T00:00:00"/>
    <m/>
    <x v="738"/>
    <n v="0.26"/>
    <x v="1"/>
    <n v="3"/>
    <x v="3"/>
    <s v="50-59"/>
  </r>
  <r>
    <x v="676"/>
    <x v="740"/>
    <x v="0"/>
    <n v="36"/>
    <x v="3"/>
    <x v="4"/>
    <s v="R&amp;D"/>
    <d v="2022-10-23T00:00:00"/>
    <d v="2024-04-30T00:00:00"/>
    <x v="739"/>
    <n v="0"/>
    <x v="0"/>
    <n v="1"/>
    <x v="1"/>
    <s v="30-39"/>
  </r>
  <r>
    <x v="677"/>
    <x v="741"/>
    <x v="1"/>
    <n v="45"/>
    <x v="2"/>
    <x v="5"/>
    <s v="Manufacturing"/>
    <d v="2024-08-23T00:00:00"/>
    <m/>
    <x v="740"/>
    <n v="0.12"/>
    <x v="1"/>
    <n v="1"/>
    <x v="0"/>
    <s v="40-49"/>
  </r>
  <r>
    <x v="678"/>
    <x v="742"/>
    <x v="0"/>
    <n v="29"/>
    <x v="0"/>
    <x v="3"/>
    <s v="Products"/>
    <d v="2023-11-07T00:00:00"/>
    <d v="2024-05-18T00:00:00"/>
    <x v="741"/>
    <n v="0"/>
    <x v="0"/>
    <n v="0"/>
    <x v="2"/>
    <s v="20-29"/>
  </r>
  <r>
    <x v="679"/>
    <x v="743"/>
    <x v="1"/>
    <n v="46"/>
    <x v="0"/>
    <x v="0"/>
    <s v="R&amp;D"/>
    <d v="2023-10-07T00:00:00"/>
    <m/>
    <x v="742"/>
    <n v="0"/>
    <x v="1"/>
    <n v="2"/>
    <x v="0"/>
    <s v="40-49"/>
  </r>
  <r>
    <x v="680"/>
    <x v="744"/>
    <x v="0"/>
    <n v="47"/>
    <x v="4"/>
    <x v="5"/>
    <s v="R&amp;D"/>
    <d v="2022-04-26T00:00:00"/>
    <m/>
    <x v="743"/>
    <n v="0"/>
    <x v="1"/>
    <n v="3"/>
    <x v="0"/>
    <s v="40-49"/>
  </r>
  <r>
    <x v="681"/>
    <x v="745"/>
    <x v="1"/>
    <n v="38"/>
    <x v="4"/>
    <x v="0"/>
    <s v="Corporate"/>
    <d v="2020-02-28T00:00:00"/>
    <d v="2022-09-11T00:00:00"/>
    <x v="744"/>
    <n v="0.08"/>
    <x v="0"/>
    <n v="2"/>
    <x v="1"/>
    <s v="30-39"/>
  </r>
  <r>
    <x v="682"/>
    <x v="746"/>
    <x v="1"/>
    <n v="40"/>
    <x v="4"/>
    <x v="0"/>
    <s v="Corporate"/>
    <d v="2020-10-12T00:00:00"/>
    <d v="2023-10-07T00:00:00"/>
    <x v="745"/>
    <n v="0"/>
    <x v="0"/>
    <n v="2"/>
    <x v="0"/>
    <s v="40-49"/>
  </r>
  <r>
    <x v="683"/>
    <x v="747"/>
    <x v="1"/>
    <n v="46"/>
    <x v="5"/>
    <x v="0"/>
    <s v="Products"/>
    <d v="2022-01-27T00:00:00"/>
    <m/>
    <x v="746"/>
    <n v="7.0000000000000007E-2"/>
    <x v="1"/>
    <n v="4"/>
    <x v="0"/>
    <s v="40-49"/>
  </r>
  <r>
    <x v="684"/>
    <x v="748"/>
    <x v="0"/>
    <n v="26"/>
    <x v="4"/>
    <x v="1"/>
    <s v="Corporate"/>
    <d v="2020-02-15T00:00:00"/>
    <d v="2024-05-28T00:00:00"/>
    <x v="747"/>
    <n v="7.0000000000000007E-2"/>
    <x v="0"/>
    <n v="4"/>
    <x v="2"/>
    <s v="20-29"/>
  </r>
  <r>
    <x v="685"/>
    <x v="749"/>
    <x v="1"/>
    <n v="35"/>
    <x v="6"/>
    <x v="0"/>
    <s v="Products"/>
    <d v="2024-02-10T00:00:00"/>
    <m/>
    <x v="748"/>
    <n v="0"/>
    <x v="1"/>
    <n v="1"/>
    <x v="1"/>
    <s v="30-39"/>
  </r>
  <r>
    <x v="402"/>
    <x v="750"/>
    <x v="0"/>
    <n v="51"/>
    <x v="5"/>
    <x v="1"/>
    <s v="R&amp;D"/>
    <d v="2020-12-18T00:00:00"/>
    <m/>
    <x v="749"/>
    <n v="0.12"/>
    <x v="1"/>
    <n v="5"/>
    <x v="3"/>
    <s v="50-59"/>
  </r>
  <r>
    <x v="686"/>
    <x v="751"/>
    <x v="1"/>
    <n v="35"/>
    <x v="5"/>
    <x v="0"/>
    <s v="Products"/>
    <d v="2020-01-07T00:00:00"/>
    <m/>
    <x v="750"/>
    <n v="0"/>
    <x v="1"/>
    <n v="6"/>
    <x v="1"/>
    <s v="30-39"/>
  </r>
  <r>
    <x v="497"/>
    <x v="752"/>
    <x v="1"/>
    <n v="46"/>
    <x v="7"/>
    <x v="0"/>
    <s v="R&amp;D"/>
    <d v="2023-10-07T00:00:00"/>
    <m/>
    <x v="751"/>
    <n v="0.26"/>
    <x v="1"/>
    <n v="2"/>
    <x v="0"/>
    <s v="40-49"/>
  </r>
  <r>
    <x v="595"/>
    <x v="753"/>
    <x v="1"/>
    <n v="46"/>
    <x v="6"/>
    <x v="2"/>
    <s v="R&amp;D"/>
    <d v="2021-10-18T00:00:00"/>
    <m/>
    <x v="752"/>
    <n v="0.13"/>
    <x v="1"/>
    <n v="4"/>
    <x v="0"/>
    <s v="40-49"/>
  </r>
  <r>
    <x v="687"/>
    <x v="754"/>
    <x v="1"/>
    <n v="27"/>
    <x v="7"/>
    <x v="3"/>
    <s v="Products"/>
    <d v="2022-08-18T00:00:00"/>
    <d v="2024-02-15T00:00:00"/>
    <x v="753"/>
    <n v="0"/>
    <x v="0"/>
    <n v="1"/>
    <x v="2"/>
    <s v="20-29"/>
  </r>
  <r>
    <x v="688"/>
    <x v="755"/>
    <x v="1"/>
    <n v="30"/>
    <x v="7"/>
    <x v="4"/>
    <s v="Corporate"/>
    <d v="2020-05-28T00:00:00"/>
    <d v="2024-01-03T00:00:00"/>
    <x v="754"/>
    <n v="0"/>
    <x v="0"/>
    <n v="3"/>
    <x v="1"/>
    <s v="30-39"/>
  </r>
  <r>
    <x v="481"/>
    <x v="756"/>
    <x v="1"/>
    <n v="36"/>
    <x v="6"/>
    <x v="0"/>
    <s v="Manufacturing"/>
    <d v="2022-09-07T00:00:00"/>
    <d v="2023-10-07T00:00:00"/>
    <x v="755"/>
    <n v="0.08"/>
    <x v="0"/>
    <n v="1"/>
    <x v="1"/>
    <s v="30-39"/>
  </r>
  <r>
    <x v="689"/>
    <x v="757"/>
    <x v="0"/>
    <n v="45"/>
    <x v="0"/>
    <x v="3"/>
    <s v="Manufacturing"/>
    <d v="2022-01-03T00:00:00"/>
    <d v="2023-05-28T00:00:00"/>
    <x v="756"/>
    <n v="0"/>
    <x v="0"/>
    <n v="1"/>
    <x v="0"/>
    <s v="40-49"/>
  </r>
  <r>
    <x v="690"/>
    <x v="758"/>
    <x v="1"/>
    <n v="37"/>
    <x v="1"/>
    <x v="5"/>
    <s v="R&amp;D"/>
    <d v="2023-05-28T00:00:00"/>
    <d v="2024-04-19T00:00:00"/>
    <x v="757"/>
    <n v="0.1"/>
    <x v="0"/>
    <n v="0"/>
    <x v="1"/>
    <s v="30-39"/>
  </r>
  <r>
    <x v="29"/>
    <x v="759"/>
    <x v="0"/>
    <n v="51"/>
    <x v="8"/>
    <x v="0"/>
    <s v="Products"/>
    <d v="2023-11-15T00:00:00"/>
    <d v="2024-04-30T00:00:00"/>
    <x v="758"/>
    <n v="0"/>
    <x v="0"/>
    <n v="0"/>
    <x v="3"/>
    <s v="50-59"/>
  </r>
  <r>
    <x v="691"/>
    <x v="760"/>
    <x v="1"/>
    <n v="56"/>
    <x v="5"/>
    <x v="0"/>
    <s v="R&amp;D"/>
    <d v="2020-01-21T00:00:00"/>
    <d v="2024-05-18T00:00:00"/>
    <x v="759"/>
    <n v="0"/>
    <x v="0"/>
    <n v="4"/>
    <x v="3"/>
    <s v="50-59"/>
  </r>
  <r>
    <x v="692"/>
    <x v="761"/>
    <x v="1"/>
    <n v="53"/>
    <x v="7"/>
    <x v="0"/>
    <s v="Corporate"/>
    <d v="2021-10-07T00:00:00"/>
    <d v="2022-09-11T00:00:00"/>
    <x v="760"/>
    <n v="0"/>
    <x v="0"/>
    <n v="0"/>
    <x v="3"/>
    <s v="50-59"/>
  </r>
  <r>
    <x v="30"/>
    <x v="762"/>
    <x v="0"/>
    <n v="47"/>
    <x v="3"/>
    <x v="5"/>
    <s v="Products"/>
    <d v="2020-04-19T00:00:00"/>
    <d v="2023-10-07T00:00:00"/>
    <x v="761"/>
    <n v="0"/>
    <x v="0"/>
    <n v="3"/>
    <x v="0"/>
    <s v="40-49"/>
  </r>
  <r>
    <x v="693"/>
    <x v="763"/>
    <x v="1"/>
    <n v="36"/>
    <x v="8"/>
    <x v="0"/>
    <s v="R&amp;D"/>
    <d v="2020-09-09T00:00:00"/>
    <d v="2024-05-28T00:00:00"/>
    <x v="762"/>
    <n v="0"/>
    <x v="0"/>
    <n v="3"/>
    <x v="1"/>
    <s v="30-39"/>
  </r>
  <r>
    <x v="694"/>
    <x v="764"/>
    <x v="1"/>
    <n v="46"/>
    <x v="9"/>
    <x v="0"/>
    <s v="Manufacturing"/>
    <d v="2023-11-03T00:00:00"/>
    <m/>
    <x v="763"/>
    <n v="0"/>
    <x v="1"/>
    <n v="2"/>
    <x v="0"/>
    <s v="40-49"/>
  </r>
  <r>
    <x v="695"/>
    <x v="765"/>
    <x v="1"/>
    <n v="46"/>
    <x v="8"/>
    <x v="5"/>
    <s v="Manufacturing"/>
    <d v="2024-04-30T00:00:00"/>
    <m/>
    <x v="764"/>
    <n v="0"/>
    <x v="1"/>
    <n v="1"/>
    <x v="0"/>
    <s v="40-49"/>
  </r>
  <r>
    <x v="696"/>
    <x v="766"/>
    <x v="1"/>
    <n v="46"/>
    <x v="1"/>
    <x v="0"/>
    <s v="Manufacturing"/>
    <d v="2020-02-26T00:00:00"/>
    <m/>
    <x v="765"/>
    <n v="0"/>
    <x v="1"/>
    <n v="5"/>
    <x v="0"/>
    <s v="40-49"/>
  </r>
  <r>
    <x v="697"/>
    <x v="767"/>
    <x v="0"/>
    <n v="38"/>
    <x v="9"/>
    <x v="0"/>
    <s v="Manufacturing"/>
    <d v="2022-09-11T00:00:00"/>
    <m/>
    <x v="766"/>
    <n v="0"/>
    <x v="1"/>
    <n v="3"/>
    <x v="1"/>
    <s v="30-39"/>
  </r>
  <r>
    <x v="698"/>
    <x v="768"/>
    <x v="1"/>
    <n v="46"/>
    <x v="3"/>
    <x v="2"/>
    <s v="Manufacturing"/>
    <d v="2024-05-18T00:00:00"/>
    <m/>
    <x v="767"/>
    <n v="0"/>
    <x v="1"/>
    <n v="1"/>
    <x v="0"/>
    <s v="40-49"/>
  </r>
  <r>
    <x v="699"/>
    <x v="769"/>
    <x v="0"/>
    <n v="39"/>
    <x v="0"/>
    <x v="0"/>
    <s v="Corporate"/>
    <d v="2021-11-09T00:00:00"/>
    <m/>
    <x v="768"/>
    <n v="0"/>
    <x v="1"/>
    <n v="4"/>
    <x v="1"/>
    <s v="30-39"/>
  </r>
  <r>
    <x v="327"/>
    <x v="770"/>
    <x v="0"/>
    <n v="31"/>
    <x v="1"/>
    <x v="0"/>
    <s v="Products"/>
    <d v="2020-05-12T00:00:00"/>
    <m/>
    <x v="769"/>
    <n v="0"/>
    <x v="1"/>
    <n v="5"/>
    <x v="1"/>
    <s v="30-39"/>
  </r>
  <r>
    <x v="700"/>
    <x v="771"/>
    <x v="0"/>
    <n v="45"/>
    <x v="2"/>
    <x v="0"/>
    <s v="Manufacturing"/>
    <d v="2022-09-11T00:00:00"/>
    <m/>
    <x v="770"/>
    <n v="0"/>
    <x v="1"/>
    <n v="3"/>
    <x v="0"/>
    <s v="40-49"/>
  </r>
  <r>
    <x v="630"/>
    <x v="772"/>
    <x v="0"/>
    <n v="50"/>
    <x v="3"/>
    <x v="4"/>
    <s v="R&amp;D"/>
    <d v="2022-10-23T00:00:00"/>
    <m/>
    <x v="771"/>
    <n v="0.06"/>
    <x v="1"/>
    <n v="3"/>
    <x v="3"/>
    <s v="50-59"/>
  </r>
  <r>
    <x v="701"/>
    <x v="773"/>
    <x v="1"/>
    <n v="36"/>
    <x v="2"/>
    <x v="5"/>
    <s v="Manufacturing"/>
    <d v="2024-08-23T00:00:00"/>
    <m/>
    <x v="772"/>
    <n v="0.05"/>
    <x v="1"/>
    <n v="1"/>
    <x v="1"/>
    <s v="30-39"/>
  </r>
  <r>
    <x v="702"/>
    <x v="774"/>
    <x v="0"/>
    <n v="45"/>
    <x v="0"/>
    <x v="3"/>
    <s v="Products"/>
    <d v="2023-11-07T00:00:00"/>
    <m/>
    <x v="773"/>
    <n v="0"/>
    <x v="1"/>
    <n v="2"/>
    <x v="0"/>
    <s v="40-49"/>
  </r>
  <r>
    <x v="703"/>
    <x v="775"/>
    <x v="1"/>
    <n v="46"/>
    <x v="0"/>
    <x v="0"/>
    <s v="R&amp;D"/>
    <d v="2023-10-07T00:00:00"/>
    <m/>
    <x v="774"/>
    <n v="0.13"/>
    <x v="1"/>
    <n v="2"/>
    <x v="0"/>
    <s v="40-49"/>
  </r>
  <r>
    <x v="704"/>
    <x v="776"/>
    <x v="0"/>
    <n v="41"/>
    <x v="4"/>
    <x v="5"/>
    <s v="R&amp;D"/>
    <d v="2022-04-26T00:00:00"/>
    <d v="2024-05-28T00:00:00"/>
    <x v="775"/>
    <n v="0.2"/>
    <x v="0"/>
    <n v="2"/>
    <x v="0"/>
    <s v="40-49"/>
  </r>
  <r>
    <x v="705"/>
    <x v="777"/>
    <x v="1"/>
    <n v="47"/>
    <x v="4"/>
    <x v="0"/>
    <s v="Corporate"/>
    <d v="2020-02-28T00:00:00"/>
    <d v="2023-10-07T00:00:00"/>
    <x v="776"/>
    <n v="0"/>
    <x v="0"/>
    <n v="3"/>
    <x v="0"/>
    <s v="40-49"/>
  </r>
  <r>
    <x v="706"/>
    <x v="778"/>
    <x v="1"/>
    <n v="38"/>
    <x v="4"/>
    <x v="0"/>
    <s v="Corporate"/>
    <d v="2020-10-12T00:00:00"/>
    <m/>
    <x v="777"/>
    <n v="0"/>
    <x v="1"/>
    <n v="5"/>
    <x v="1"/>
    <s v="30-39"/>
  </r>
  <r>
    <x v="42"/>
    <x v="779"/>
    <x v="1"/>
    <n v="40"/>
    <x v="5"/>
    <x v="0"/>
    <s v="Products"/>
    <d v="2022-01-27T00:00:00"/>
    <m/>
    <x v="778"/>
    <n v="0"/>
    <x v="1"/>
    <n v="4"/>
    <x v="0"/>
    <s v="40-49"/>
  </r>
  <r>
    <x v="31"/>
    <x v="780"/>
    <x v="0"/>
    <n v="45"/>
    <x v="4"/>
    <x v="1"/>
    <s v="Corporate"/>
    <d v="2024-02-15T00:00:00"/>
    <m/>
    <x v="779"/>
    <n v="0"/>
    <x v="1"/>
    <n v="1"/>
    <x v="0"/>
    <s v="40-49"/>
  </r>
  <r>
    <x v="707"/>
    <x v="781"/>
    <x v="1"/>
    <n v="26"/>
    <x v="6"/>
    <x v="0"/>
    <s v="Products"/>
    <d v="2022-02-10T00:00:00"/>
    <d v="2024-05-28T00:00:00"/>
    <x v="780"/>
    <n v="0.09"/>
    <x v="0"/>
    <n v="2"/>
    <x v="2"/>
    <s v="20-29"/>
  </r>
  <r>
    <x v="708"/>
    <x v="782"/>
    <x v="0"/>
    <n v="35"/>
    <x v="5"/>
    <x v="1"/>
    <s v="R&amp;D"/>
    <d v="2020-12-18T00:00:00"/>
    <m/>
    <x v="781"/>
    <n v="0"/>
    <x v="1"/>
    <n v="5"/>
    <x v="1"/>
    <s v="30-39"/>
  </r>
  <r>
    <x v="709"/>
    <x v="783"/>
    <x v="1"/>
    <n v="46"/>
    <x v="5"/>
    <x v="0"/>
    <s v="Products"/>
    <d v="2020-01-07T00:00:00"/>
    <m/>
    <x v="782"/>
    <n v="0.15"/>
    <x v="1"/>
    <n v="6"/>
    <x v="0"/>
    <s v="40-49"/>
  </r>
  <r>
    <x v="710"/>
    <x v="784"/>
    <x v="1"/>
    <n v="35"/>
    <x v="7"/>
    <x v="0"/>
    <s v="R&amp;D"/>
    <d v="2023-10-07T00:00:00"/>
    <m/>
    <x v="783"/>
    <n v="0"/>
    <x v="1"/>
    <n v="2"/>
    <x v="1"/>
    <s v="30-39"/>
  </r>
  <r>
    <x v="393"/>
    <x v="785"/>
    <x v="1"/>
    <n v="46"/>
    <x v="6"/>
    <x v="2"/>
    <s v="R&amp;D"/>
    <d v="2021-10-18T00:00:00"/>
    <m/>
    <x v="784"/>
    <n v="0.26"/>
    <x v="1"/>
    <n v="4"/>
    <x v="0"/>
    <s v="40-49"/>
  </r>
  <r>
    <x v="711"/>
    <x v="786"/>
    <x v="1"/>
    <n v="46"/>
    <x v="7"/>
    <x v="3"/>
    <s v="Products"/>
    <d v="2022-08-18T00:00:00"/>
    <m/>
    <x v="785"/>
    <n v="0"/>
    <x v="1"/>
    <n v="3"/>
    <x v="0"/>
    <s v="40-49"/>
  </r>
  <r>
    <x v="712"/>
    <x v="787"/>
    <x v="1"/>
    <n v="46"/>
    <x v="7"/>
    <x v="4"/>
    <s v="Corporate"/>
    <d v="2024-05-28T00:00:00"/>
    <m/>
    <x v="786"/>
    <n v="0.12"/>
    <x v="1"/>
    <n v="1"/>
    <x v="0"/>
    <s v="40-49"/>
  </r>
  <r>
    <x v="713"/>
    <x v="788"/>
    <x v="1"/>
    <n v="46"/>
    <x v="6"/>
    <x v="0"/>
    <s v="Manufacturing"/>
    <d v="2022-09-07T00:00:00"/>
    <m/>
    <x v="787"/>
    <n v="0"/>
    <x v="1"/>
    <n v="3"/>
    <x v="0"/>
    <s v="40-49"/>
  </r>
  <r>
    <x v="714"/>
    <x v="789"/>
    <x v="0"/>
    <n v="36"/>
    <x v="0"/>
    <x v="3"/>
    <s v="Manufacturing"/>
    <d v="2024-01-03T00:00:00"/>
    <m/>
    <x v="788"/>
    <n v="0"/>
    <x v="1"/>
    <n v="2"/>
    <x v="1"/>
    <s v="30-39"/>
  </r>
  <r>
    <x v="715"/>
    <x v="790"/>
    <x v="1"/>
    <n v="46"/>
    <x v="1"/>
    <x v="5"/>
    <s v="R&amp;D"/>
    <d v="2023-05-28T00:00:00"/>
    <m/>
    <x v="789"/>
    <n v="0"/>
    <x v="1"/>
    <n v="2"/>
    <x v="0"/>
    <s v="40-49"/>
  </r>
  <r>
    <x v="716"/>
    <x v="791"/>
    <x v="0"/>
    <n v="37"/>
    <x v="8"/>
    <x v="0"/>
    <s v="Products"/>
    <d v="2023-11-15T00:00:00"/>
    <m/>
    <x v="790"/>
    <n v="0.08"/>
    <x v="1"/>
    <n v="2"/>
    <x v="1"/>
    <s v="30-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4F400-5CED-48B7-B096-AC07F7542386}" name="PivotTable3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9:D15" firstHeaderRow="1" firstDataRow="2" firstDataCol="1"/>
  <pivotFields count="16">
    <pivotField dataField="1"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E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306D2-DEB2-4DF2-BD74-82F81FA8B165}" name="PivotTable2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G11" firstHeaderRow="1" firstDataRow="1" firstDataCol="1"/>
  <pivotFields count="16">
    <pivotField dataField="1"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EID" fld="0" subtotal="count" baseField="0" baseItem="0" numFmtId="165"/>
  </dataFields>
  <formats count="3">
    <format dxfId="8">
      <pivotArea dataOnly="0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E0C40-C796-41E7-ADD2-573EB40FF3F9}" name="PivotTable1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Average of years" fld="12" subtotal="average" baseField="0" baseItem="0" numFmtId="2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A3C56-48C2-4F34-A49D-59781ADF0D9B}" name="PivotTable4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6">
    <pivotField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Average of Annual" fld="9" subtotal="average" baseField="0" baseItem="0" numFmtId="16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4B451-1BB7-4063-ACFB-697E44DC1A6F}" name="PivotTable5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4:B11" firstHeaderRow="1" firstDataRow="1" firstDataCol="1"/>
  <pivotFields count="16">
    <pivotField dataField="1"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showAll="0"/>
    <pivotField showAll="0"/>
    <pivotField showAll="0"/>
    <pivotField axis="axisRow" showAll="0" sortType="ascending">
      <items count="7">
        <item x="4"/>
        <item x="0"/>
        <item x="2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>
      <items count="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790"/>
        <item x="59"/>
        <item x="60"/>
        <item x="61"/>
        <item x="62"/>
        <item x="63"/>
        <item x="64"/>
        <item x="65"/>
        <item x="66"/>
        <item x="67"/>
        <item x="742"/>
        <item x="68"/>
        <item x="770"/>
        <item x="69"/>
        <item x="70"/>
        <item x="71"/>
        <item x="768"/>
        <item x="72"/>
        <item x="718"/>
        <item x="737"/>
        <item x="700"/>
        <item x="752"/>
        <item x="734"/>
        <item x="73"/>
        <item x="74"/>
        <item x="75"/>
        <item x="76"/>
        <item x="786"/>
        <item x="735"/>
        <item x="77"/>
        <item x="763"/>
        <item x="78"/>
        <item x="79"/>
        <item x="80"/>
        <item x="81"/>
        <item x="760"/>
        <item x="82"/>
        <item x="789"/>
        <item x="83"/>
        <item x="84"/>
        <item x="85"/>
        <item x="86"/>
        <item x="87"/>
        <item x="88"/>
        <item x="785"/>
        <item x="89"/>
        <item x="90"/>
        <item x="91"/>
        <item x="92"/>
        <item x="710"/>
        <item x="93"/>
        <item x="94"/>
        <item x="95"/>
        <item x="96"/>
        <item x="780"/>
        <item x="97"/>
        <item x="98"/>
        <item x="99"/>
        <item x="100"/>
        <item x="101"/>
        <item x="102"/>
        <item x="103"/>
        <item x="77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767"/>
        <item x="782"/>
        <item x="116"/>
        <item x="701"/>
        <item x="117"/>
        <item x="784"/>
        <item x="118"/>
        <item x="119"/>
        <item x="120"/>
        <item x="709"/>
        <item x="732"/>
        <item x="121"/>
        <item x="755"/>
        <item x="716"/>
        <item x="122"/>
        <item x="756"/>
        <item x="741"/>
        <item x="123"/>
        <item x="124"/>
        <item x="125"/>
        <item x="126"/>
        <item x="753"/>
        <item x="127"/>
        <item x="717"/>
        <item x="128"/>
        <item x="129"/>
        <item x="130"/>
        <item x="788"/>
        <item x="702"/>
        <item x="728"/>
        <item x="131"/>
        <item x="132"/>
        <item x="764"/>
        <item x="781"/>
        <item x="706"/>
        <item x="133"/>
        <item x="134"/>
        <item x="754"/>
        <item x="725"/>
        <item x="135"/>
        <item x="136"/>
        <item x="740"/>
        <item x="137"/>
        <item x="703"/>
        <item x="777"/>
        <item x="138"/>
        <item x="721"/>
        <item x="139"/>
        <item x="140"/>
        <item x="749"/>
        <item x="758"/>
        <item x="744"/>
        <item x="141"/>
        <item x="765"/>
        <item x="142"/>
        <item x="712"/>
        <item x="722"/>
        <item x="143"/>
        <item x="144"/>
        <item x="145"/>
        <item x="146"/>
        <item x="147"/>
        <item x="148"/>
        <item x="743"/>
        <item x="149"/>
        <item x="150"/>
        <item x="761"/>
        <item x="714"/>
        <item x="151"/>
        <item x="723"/>
        <item x="152"/>
        <item x="783"/>
        <item x="766"/>
        <item x="776"/>
        <item x="759"/>
        <item x="153"/>
        <item x="154"/>
        <item x="707"/>
        <item x="155"/>
        <item x="748"/>
        <item x="156"/>
        <item x="157"/>
        <item x="779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738"/>
        <item x="169"/>
        <item x="757"/>
        <item x="170"/>
        <item x="772"/>
        <item x="724"/>
        <item x="171"/>
        <item x="172"/>
        <item x="730"/>
        <item x="774"/>
        <item x="173"/>
        <item x="771"/>
        <item x="174"/>
        <item x="713"/>
        <item x="733"/>
        <item x="175"/>
        <item x="176"/>
        <item x="177"/>
        <item x="736"/>
        <item x="708"/>
        <item x="178"/>
        <item x="746"/>
        <item x="711"/>
        <item x="179"/>
        <item x="180"/>
        <item x="705"/>
        <item x="762"/>
        <item x="739"/>
        <item x="787"/>
        <item x="181"/>
        <item x="775"/>
        <item x="182"/>
        <item x="745"/>
        <item x="720"/>
        <item x="715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719"/>
        <item x="202"/>
        <item x="727"/>
        <item x="731"/>
        <item x="203"/>
        <item x="747"/>
        <item x="750"/>
        <item x="204"/>
        <item x="205"/>
        <item x="206"/>
        <item x="207"/>
        <item x="208"/>
        <item x="209"/>
        <item x="72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7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704"/>
        <item x="255"/>
        <item x="769"/>
        <item x="256"/>
        <item x="257"/>
        <item x="258"/>
        <item x="751"/>
        <item x="259"/>
        <item x="260"/>
        <item x="261"/>
        <item x="262"/>
        <item x="263"/>
        <item x="264"/>
        <item x="265"/>
        <item x="266"/>
        <item x="72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5"/>
  </rowFields>
  <rowItems count="7">
    <i>
      <x v="2"/>
    </i>
    <i>
      <x/>
    </i>
    <i>
      <x v="5"/>
    </i>
    <i>
      <x v="4"/>
    </i>
    <i>
      <x v="3"/>
    </i>
    <i>
      <x v="1"/>
    </i>
    <i t="grand">
      <x/>
    </i>
  </rowItems>
  <colItems count="1">
    <i/>
  </colItems>
  <dataFields count="1">
    <dataField name="Count of EEID" fld="0" subtotal="count" showDataAs="percentOfTotal" baseField="5" baseItem="0" numFmtId="1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3C49B-D165-4FF9-B11F-F6AB3C780564}" name="PivotTable6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4:B15" firstHeaderRow="1" firstDataRow="1" firstDataCol="1"/>
  <pivotFields count="16">
    <pivotField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axis="axisRow" showAll="0" measureFilter="1" sortType="descending">
      <items count="793">
        <item x="380"/>
        <item x="204"/>
        <item x="200"/>
        <item x="14"/>
        <item x="751"/>
        <item x="350"/>
        <item x="464"/>
        <item x="131"/>
        <item x="280"/>
        <item x="165"/>
        <item x="555"/>
        <item x="674"/>
        <item x="180"/>
        <item x="688"/>
        <item x="665"/>
        <item x="186"/>
        <item x="329"/>
        <item x="367"/>
        <item x="156"/>
        <item x="679"/>
        <item x="668"/>
        <item x="468"/>
        <item x="487"/>
        <item x="2"/>
        <item x="611"/>
        <item x="215"/>
        <item x="171"/>
        <item x="651"/>
        <item x="434"/>
        <item x="159"/>
        <item x="634"/>
        <item x="693"/>
        <item x="224"/>
        <item x="346"/>
        <item x="514"/>
        <item x="645"/>
        <item x="603"/>
        <item x="705"/>
        <item x="55"/>
        <item x="695"/>
        <item x="740"/>
        <item x="724"/>
        <item x="68"/>
        <item x="169"/>
        <item x="495"/>
        <item x="478"/>
        <item x="647"/>
        <item x="18"/>
        <item x="540"/>
        <item x="734"/>
        <item x="87"/>
        <item x="519"/>
        <item x="745"/>
        <item x="134"/>
        <item x="593"/>
        <item x="201"/>
        <item x="573"/>
        <item x="557"/>
        <item x="498"/>
        <item x="531"/>
        <item x="5"/>
        <item x="636"/>
        <item x="466"/>
        <item x="77"/>
        <item x="592"/>
        <item x="109"/>
        <item x="139"/>
        <item x="36"/>
        <item x="168"/>
        <item x="135"/>
        <item x="29"/>
        <item x="669"/>
        <item x="474"/>
        <item x="15"/>
        <item x="435"/>
        <item x="136"/>
        <item x="256"/>
        <item x="108"/>
        <item x="710"/>
        <item x="564"/>
        <item x="646"/>
        <item x="213"/>
        <item x="361"/>
        <item x="397"/>
        <item x="211"/>
        <item x="594"/>
        <item x="630"/>
        <item x="330"/>
        <item x="183"/>
        <item x="525"/>
        <item x="43"/>
        <item x="763"/>
        <item x="778"/>
        <item x="659"/>
        <item x="783"/>
        <item x="534"/>
        <item x="575"/>
        <item x="676"/>
        <item x="617"/>
        <item x="650"/>
        <item x="460"/>
        <item x="111"/>
        <item x="72"/>
        <item x="237"/>
        <item x="494"/>
        <item x="302"/>
        <item x="473"/>
        <item x="279"/>
        <item x="250"/>
        <item x="106"/>
        <item x="773"/>
        <item x="691"/>
        <item x="137"/>
        <item x="95"/>
        <item x="488"/>
        <item x="445"/>
        <item x="381"/>
        <item x="535"/>
        <item x="355"/>
        <item x="605"/>
        <item x="791"/>
        <item x="744"/>
        <item x="7"/>
        <item x="258"/>
        <item x="187"/>
        <item x="107"/>
        <item x="485"/>
        <item x="748"/>
        <item x="423"/>
        <item x="344"/>
        <item x="640"/>
        <item x="625"/>
        <item x="341"/>
        <item x="391"/>
        <item x="615"/>
        <item x="130"/>
        <item x="587"/>
        <item x="104"/>
        <item x="277"/>
        <item x="300"/>
        <item x="411"/>
        <item x="272"/>
        <item x="230"/>
        <item x="196"/>
        <item x="318"/>
        <item x="232"/>
        <item x="255"/>
        <item x="32"/>
        <item x="144"/>
        <item x="263"/>
        <item x="363"/>
        <item x="189"/>
        <item x="138"/>
        <item x="249"/>
        <item x="742"/>
        <item x="571"/>
        <item x="644"/>
        <item x="749"/>
        <item x="248"/>
        <item x="737"/>
        <item x="416"/>
        <item x="730"/>
        <item x="475"/>
        <item x="90"/>
        <item x="66"/>
        <item x="251"/>
        <item x="132"/>
        <item x="74"/>
        <item x="707"/>
        <item x="425"/>
        <item x="753"/>
        <item x="415"/>
        <item x="595"/>
        <item x="680"/>
        <item x="602"/>
        <item x="550"/>
        <item x="223"/>
        <item x="789"/>
        <item x="100"/>
        <item x="343"/>
        <item x="570"/>
        <item x="712"/>
        <item x="40"/>
        <item x="206"/>
        <item x="558"/>
        <item x="546"/>
        <item x="776"/>
        <item x="347"/>
        <item x="532"/>
        <item x="454"/>
        <item x="284"/>
        <item x="471"/>
        <item x="761"/>
        <item x="290"/>
        <item x="577"/>
        <item x="207"/>
        <item x="226"/>
        <item x="254"/>
        <item x="308"/>
        <item x="407"/>
        <item x="149"/>
        <item x="719"/>
        <item x="772"/>
        <item x="596"/>
        <item x="323"/>
        <item x="25"/>
        <item x="193"/>
        <item x="556"/>
        <item x="738"/>
        <item x="340"/>
        <item x="479"/>
        <item x="26"/>
        <item x="80"/>
        <item x="13"/>
        <item x="181"/>
        <item x="91"/>
        <item x="94"/>
        <item x="53"/>
        <item x="452"/>
        <item x="115"/>
        <item x="152"/>
        <item x="543"/>
        <item x="176"/>
        <item x="27"/>
        <item x="127"/>
        <item x="547"/>
        <item x="19"/>
        <item x="3"/>
        <item x="699"/>
        <item x="628"/>
        <item x="262"/>
        <item x="702"/>
        <item x="662"/>
        <item x="626"/>
        <item x="692"/>
        <item x="424"/>
        <item x="10"/>
        <item x="128"/>
        <item x="689"/>
        <item x="348"/>
        <item x="698"/>
        <item x="71"/>
        <item x="184"/>
        <item x="664"/>
        <item x="48"/>
        <item x="35"/>
        <item x="618"/>
        <item x="69"/>
        <item x="4"/>
        <item x="503"/>
        <item x="269"/>
        <item x="311"/>
        <item x="721"/>
        <item x="600"/>
        <item x="453"/>
        <item x="398"/>
        <item x="298"/>
        <item x="389"/>
        <item x="243"/>
        <item x="462"/>
        <item x="567"/>
        <item x="678"/>
        <item x="708"/>
        <item x="54"/>
        <item x="1"/>
        <item x="584"/>
        <item x="356"/>
        <item x="314"/>
        <item x="52"/>
        <item x="545"/>
        <item x="98"/>
        <item x="376"/>
        <item x="429"/>
        <item x="379"/>
        <item x="164"/>
        <item x="332"/>
        <item x="325"/>
        <item x="21"/>
        <item x="448"/>
        <item x="78"/>
        <item x="315"/>
        <item x="260"/>
        <item x="631"/>
        <item x="210"/>
        <item x="377"/>
        <item x="234"/>
        <item x="426"/>
        <item x="553"/>
        <item x="112"/>
        <item x="147"/>
        <item x="522"/>
        <item x="270"/>
        <item x="333"/>
        <item x="757"/>
        <item x="86"/>
        <item x="620"/>
        <item x="484"/>
        <item x="718"/>
        <item x="9"/>
        <item x="396"/>
        <item x="623"/>
        <item x="463"/>
        <item x="580"/>
        <item x="194"/>
        <item x="358"/>
        <item x="472"/>
        <item x="228"/>
        <item x="675"/>
        <item x="17"/>
        <item x="227"/>
        <item x="274"/>
        <item x="324"/>
        <item x="316"/>
        <item x="371"/>
        <item x="372"/>
        <item x="755"/>
        <item x="537"/>
        <item x="246"/>
        <item x="264"/>
        <item x="521"/>
        <item x="417"/>
        <item x="305"/>
        <item x="385"/>
        <item x="238"/>
        <item x="97"/>
        <item x="119"/>
        <item x="275"/>
        <item x="402"/>
        <item x="12"/>
        <item x="518"/>
        <item x="154"/>
        <item x="24"/>
        <item x="458"/>
        <item x="770"/>
        <item x="39"/>
        <item x="706"/>
        <item x="561"/>
        <item x="786"/>
        <item x="67"/>
        <item x="541"/>
        <item x="160"/>
        <item x="51"/>
        <item x="202"/>
        <item x="161"/>
        <item x="482"/>
        <item x="38"/>
        <item x="683"/>
        <item x="743"/>
        <item x="124"/>
        <item x="99"/>
        <item x="598"/>
        <item x="552"/>
        <item x="93"/>
        <item x="22"/>
        <item x="686"/>
        <item x="723"/>
        <item x="155"/>
        <item x="606"/>
        <item x="236"/>
        <item x="760"/>
        <item x="105"/>
        <item x="337"/>
        <item x="364"/>
        <item x="642"/>
        <item x="28"/>
        <item x="667"/>
        <item x="335"/>
        <item x="777"/>
        <item x="113"/>
        <item x="217"/>
        <item x="116"/>
        <item x="46"/>
        <item x="45"/>
        <item x="166"/>
        <item x="142"/>
        <item x="188"/>
        <item x="528"/>
        <item x="704"/>
        <item x="746"/>
        <item x="386"/>
        <item x="782"/>
        <item x="146"/>
        <item x="85"/>
        <item x="590"/>
        <item x="288"/>
        <item x="610"/>
        <item x="747"/>
        <item x="122"/>
        <item x="716"/>
        <item x="687"/>
        <item x="635"/>
        <item x="661"/>
        <item x="582"/>
        <item x="299"/>
        <item x="788"/>
        <item x="428"/>
        <item x="197"/>
        <item x="470"/>
        <item x="725"/>
        <item x="597"/>
        <item x="656"/>
        <item x="578"/>
        <item x="601"/>
        <item x="83"/>
        <item x="780"/>
        <item x="511"/>
        <item x="400"/>
        <item x="653"/>
        <item x="510"/>
        <item x="612"/>
        <item x="441"/>
        <item x="282"/>
        <item x="465"/>
        <item x="456"/>
        <item x="126"/>
        <item x="500"/>
        <item x="233"/>
        <item x="720"/>
        <item x="785"/>
        <item x="513"/>
        <item x="293"/>
        <item x="666"/>
        <item x="700"/>
        <item x="242"/>
        <item x="140"/>
        <item x="637"/>
        <item x="581"/>
        <item x="613"/>
        <item x="403"/>
        <item x="784"/>
        <item x="524"/>
        <item x="673"/>
        <item x="133"/>
        <item x="697"/>
        <item x="633"/>
        <item x="422"/>
        <item x="16"/>
        <item x="408"/>
        <item x="619"/>
        <item x="65"/>
        <item x="764"/>
        <item x="685"/>
        <item x="158"/>
        <item x="11"/>
        <item x="291"/>
        <item x="84"/>
        <item x="253"/>
        <item x="349"/>
        <item x="75"/>
        <item x="345"/>
        <item x="774"/>
        <item x="696"/>
        <item x="526"/>
        <item x="162"/>
        <item x="145"/>
        <item x="589"/>
        <item x="92"/>
        <item x="395"/>
        <item x="410"/>
        <item x="49"/>
        <item x="285"/>
        <item x="419"/>
        <item x="143"/>
        <item x="766"/>
        <item x="353"/>
        <item x="663"/>
        <item x="231"/>
        <item x="117"/>
        <item x="96"/>
        <item x="121"/>
        <item x="762"/>
        <item x="652"/>
        <item x="129"/>
        <item x="110"/>
        <item x="383"/>
        <item x="366"/>
        <item x="310"/>
        <item x="177"/>
        <item x="192"/>
        <item x="421"/>
        <item x="512"/>
        <item x="533"/>
        <item x="756"/>
        <item x="713"/>
        <item x="609"/>
        <item x="64"/>
        <item x="185"/>
        <item x="173"/>
        <item x="655"/>
        <item x="672"/>
        <item x="741"/>
        <item x="271"/>
        <item x="529"/>
        <item x="566"/>
        <item x="507"/>
        <item x="336"/>
        <item x="758"/>
        <item x="604"/>
        <item x="576"/>
        <item x="103"/>
        <item x="715"/>
        <item x="671"/>
        <item x="286"/>
        <item x="476"/>
        <item x="212"/>
        <item x="362"/>
        <item x="101"/>
        <item x="81"/>
        <item x="608"/>
        <item x="57"/>
        <item x="167"/>
        <item x="588"/>
        <item x="174"/>
        <item x="768"/>
        <item x="677"/>
        <item x="373"/>
        <item x="649"/>
        <item x="261"/>
        <item x="229"/>
        <item x="779"/>
        <item x="491"/>
        <item x="123"/>
        <item x="731"/>
        <item x="297"/>
        <item x="447"/>
        <item x="58"/>
        <item x="42"/>
        <item x="41"/>
        <item x="406"/>
        <item x="486"/>
        <item x="769"/>
        <item x="338"/>
        <item x="327"/>
        <item x="701"/>
        <item x="244"/>
        <item x="266"/>
        <item x="444"/>
        <item x="735"/>
        <item x="414"/>
        <item x="265"/>
        <item x="342"/>
        <item x="775"/>
        <item x="191"/>
        <item x="759"/>
        <item x="30"/>
        <item x="179"/>
        <item x="102"/>
        <item x="273"/>
        <item x="292"/>
        <item x="62"/>
        <item x="218"/>
        <item x="387"/>
        <item x="412"/>
        <item x="170"/>
        <item x="461"/>
        <item x="736"/>
        <item x="752"/>
        <item x="0"/>
        <item x="790"/>
        <item x="559"/>
        <item x="61"/>
        <item x="481"/>
        <item x="141"/>
        <item x="771"/>
        <item x="70"/>
        <item x="409"/>
        <item x="599"/>
        <item x="681"/>
        <item x="607"/>
        <item x="443"/>
        <item x="205"/>
        <item x="175"/>
        <item x="508"/>
        <item x="432"/>
        <item x="328"/>
        <item x="125"/>
        <item x="354"/>
        <item x="504"/>
        <item x="240"/>
        <item x="549"/>
        <item x="509"/>
        <item x="88"/>
        <item x="536"/>
        <item x="307"/>
        <item x="47"/>
        <item x="368"/>
        <item x="369"/>
        <item x="501"/>
        <item x="563"/>
        <item x="241"/>
        <item x="33"/>
        <item x="574"/>
        <item x="442"/>
        <item x="239"/>
        <item x="750"/>
        <item x="457"/>
        <item x="190"/>
        <item x="357"/>
        <item x="392"/>
        <item x="446"/>
        <item x="34"/>
        <item x="221"/>
        <item x="624"/>
        <item x="523"/>
        <item x="148"/>
        <item x="163"/>
        <item x="296"/>
        <item x="439"/>
        <item x="378"/>
        <item x="621"/>
        <item x="496"/>
        <item x="682"/>
        <item x="493"/>
        <item x="658"/>
        <item x="781"/>
        <item x="690"/>
        <item x="294"/>
        <item x="654"/>
        <item x="703"/>
        <item x="629"/>
        <item x="320"/>
        <item x="684"/>
        <item x="709"/>
        <item x="259"/>
        <item x="459"/>
        <item x="6"/>
        <item x="449"/>
        <item x="225"/>
        <item x="150"/>
        <item x="384"/>
        <item x="352"/>
        <item x="515"/>
        <item x="554"/>
        <item x="287"/>
        <item x="216"/>
        <item x="247"/>
        <item x="641"/>
        <item x="151"/>
        <item x="569"/>
        <item x="278"/>
        <item x="530"/>
        <item x="505"/>
        <item x="268"/>
        <item x="542"/>
        <item x="648"/>
        <item x="586"/>
        <item x="157"/>
        <item x="304"/>
        <item x="195"/>
        <item x="765"/>
        <item x="59"/>
        <item x="203"/>
        <item x="516"/>
        <item x="257"/>
        <item x="767"/>
        <item x="63"/>
        <item x="480"/>
        <item x="44"/>
        <item x="413"/>
        <item x="208"/>
        <item x="309"/>
        <item x="585"/>
        <item x="20"/>
        <item x="787"/>
        <item x="438"/>
        <item x="520"/>
        <item x="727"/>
        <item x="114"/>
        <item x="548"/>
        <item x="499"/>
        <item x="178"/>
        <item x="722"/>
        <item x="73"/>
        <item x="427"/>
        <item x="198"/>
        <item x="483"/>
        <item x="172"/>
        <item x="527"/>
        <item x="390"/>
        <item x="326"/>
        <item x="717"/>
        <item x="729"/>
        <item x="281"/>
        <item x="622"/>
        <item x="89"/>
        <item x="222"/>
        <item x="283"/>
        <item x="431"/>
        <item x="539"/>
        <item x="31"/>
        <item x="351"/>
        <item x="120"/>
        <item x="418"/>
        <item x="76"/>
        <item x="82"/>
        <item x="267"/>
        <item x="627"/>
        <item x="562"/>
        <item x="657"/>
        <item x="404"/>
        <item x="393"/>
        <item x="437"/>
        <item x="401"/>
        <item x="643"/>
        <item x="728"/>
        <item x="714"/>
        <item x="632"/>
        <item x="301"/>
        <item x="733"/>
        <item x="182"/>
        <item x="23"/>
        <item x="405"/>
        <item x="339"/>
        <item x="365"/>
        <item x="560"/>
        <item x="469"/>
        <item x="433"/>
        <item x="538"/>
        <item x="322"/>
        <item x="420"/>
        <item x="430"/>
        <item x="199"/>
        <item x="467"/>
        <item x="583"/>
        <item x="289"/>
        <item x="436"/>
        <item x="374"/>
        <item x="388"/>
        <item x="334"/>
        <item x="497"/>
        <item x="670"/>
        <item x="8"/>
        <item x="492"/>
        <item x="153"/>
        <item x="79"/>
        <item x="732"/>
        <item x="209"/>
        <item x="235"/>
        <item x="214"/>
        <item x="638"/>
        <item x="726"/>
        <item x="245"/>
        <item x="306"/>
        <item x="502"/>
        <item x="711"/>
        <item x="544"/>
        <item x="118"/>
        <item x="565"/>
        <item x="579"/>
        <item x="321"/>
        <item x="591"/>
        <item x="37"/>
        <item x="295"/>
        <item x="616"/>
        <item x="50"/>
        <item x="375"/>
        <item x="739"/>
        <item x="312"/>
        <item x="399"/>
        <item x="319"/>
        <item x="382"/>
        <item x="450"/>
        <item x="56"/>
        <item x="220"/>
        <item x="360"/>
        <item x="614"/>
        <item x="219"/>
        <item x="694"/>
        <item x="317"/>
        <item x="506"/>
        <item x="359"/>
        <item x="394"/>
        <item x="370"/>
        <item x="252"/>
        <item x="489"/>
        <item x="490"/>
        <item x="455"/>
        <item x="754"/>
        <item x="517"/>
        <item x="660"/>
        <item x="303"/>
        <item x="313"/>
        <item x="276"/>
        <item x="440"/>
        <item x="331"/>
        <item x="572"/>
        <item x="639"/>
        <item x="60"/>
        <item x="451"/>
        <item x="568"/>
        <item x="551"/>
        <item x="4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1">
    <i>
      <x v="422"/>
    </i>
    <i>
      <x v="228"/>
    </i>
    <i>
      <x v="240"/>
    </i>
    <i>
      <x v="433"/>
    </i>
    <i>
      <x v="451"/>
    </i>
    <i>
      <x v="39"/>
    </i>
    <i>
      <x v="767"/>
    </i>
    <i>
      <x v="31"/>
    </i>
    <i>
      <x v="234"/>
    </i>
    <i>
      <x v="111"/>
    </i>
    <i t="grand">
      <x/>
    </i>
  </rowItems>
  <colItems count="1">
    <i/>
  </colItems>
  <dataFields count="1">
    <dataField name="Sum of Annual" fld="9" baseField="0" baseItem="0"/>
  </dataFields>
  <formats count="1">
    <format dxfId="5">
      <pivotArea outline="0" collapsedLevelsAreSubtotals="1" fieldPosition="0"/>
    </format>
  </formats>
  <chartFormats count="4"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793" totalsRowShown="0">
  <autoFilter ref="A1:O793" xr:uid="{00000000-0009-0000-0100-000001000000}"/>
  <tableColumns count="15">
    <tableColumn id="1" xr3:uid="{00000000-0010-0000-0000-000001000000}" name="EEID"/>
    <tableColumn id="2" xr3:uid="{00000000-0010-0000-0000-000002000000}" name="Full"/>
    <tableColumn id="3" xr3:uid="{00000000-0010-0000-0000-000003000000}" name="Gender"/>
    <tableColumn id="4" xr3:uid="{00000000-0010-0000-0000-000004000000}" name="Age"/>
    <tableColumn id="5" xr3:uid="{00000000-0010-0000-0000-000005000000}" name="Job"/>
    <tableColumn id="6" xr3:uid="{00000000-0010-0000-0000-000006000000}" name="Department"/>
    <tableColumn id="7" xr3:uid="{00000000-0010-0000-0000-000007000000}" name="Business"/>
    <tableColumn id="8" xr3:uid="{00000000-0010-0000-0000-000008000000}" name="Hire" dataDxfId="4"/>
    <tableColumn id="9" xr3:uid="{00000000-0010-0000-0000-000009000000}" name="Exit" dataDxfId="3"/>
    <tableColumn id="10" xr3:uid="{00000000-0010-0000-0000-00000A000000}" name="Annual"/>
    <tableColumn id="11" xr3:uid="{00000000-0010-0000-0000-00000B000000}" name="Bonus"/>
    <tableColumn id="12" xr3:uid="{00000000-0010-0000-0000-00000C000000}" name="Status"/>
    <tableColumn id="13" xr3:uid="{00000000-0010-0000-0000-00000D000000}" name="years" dataDxfId="2">
      <calculatedColumnFormula>IF(Table1[[#This Row],[Exit]]="",DATEDIF(Table1[[#This Row],[Hire]],TODAY(),"Y"),DATEDIF(Table1[[#This Row],[Hire]],Table1[[#This Row],[Exit]],"Y"))</calculatedColumnFormula>
    </tableColumn>
    <tableColumn id="15" xr3:uid="{88254915-A9ED-419A-8A78-2F64EF8317A7}" name="Age[10]" dataDxfId="1">
      <calculatedColumnFormula>FLOOR(Table1[[#This Row],[Age]],10)</calculatedColumnFormula>
    </tableColumn>
    <tableColumn id="16" xr3:uid="{C74011F8-FE57-4F0C-8E98-AE985642B649}" name="Age range" dataDxfId="0">
      <calculatedColumnFormula>IF(Table1[[#This Row],[Age]]&lt;30,"20-29",IF(Table1[[#This Row],[Age]]&lt;40,"30-39",IF(Table1[[#This Row],[Age]]&lt;50,"40-49",IF(Table1[[#This Row],[Age]]&lt;60,"50-59","60+"))))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86D6-82A5-4B27-A369-0AB891C46DEE}">
  <dimension ref="Q16:AF51"/>
  <sheetViews>
    <sheetView showGridLines="0" tabSelected="1" topLeftCell="A2" zoomScale="58" zoomScaleNormal="58" workbookViewId="0">
      <selection activeCell="AG47" sqref="AG47"/>
    </sheetView>
  </sheetViews>
  <sheetFormatPr defaultRowHeight="15" x14ac:dyDescent="0.25"/>
  <sheetData>
    <row r="16" spans="32:32" x14ac:dyDescent="0.25">
      <c r="AF16" t="s">
        <v>1559</v>
      </c>
    </row>
    <row r="51" spans="17:22" x14ac:dyDescent="0.25">
      <c r="Q51" t="s">
        <v>1557</v>
      </c>
      <c r="V51" t="s">
        <v>1558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F89A-B825-43A7-8284-2A43A2932C5C}">
  <dimension ref="Q51:V51"/>
  <sheetViews>
    <sheetView showGridLines="0" zoomScale="55" zoomScaleNormal="55" workbookViewId="0">
      <selection activeCell="AF16" sqref="AF16"/>
    </sheetView>
  </sheetViews>
  <sheetFormatPr defaultRowHeight="15" x14ac:dyDescent="0.25"/>
  <sheetData>
    <row r="51" spans="17:22" x14ac:dyDescent="0.25">
      <c r="Q51" t="s">
        <v>1557</v>
      </c>
      <c r="V51" t="s">
        <v>1558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9707-9CAA-4F55-8156-5E8DA1432EF9}">
  <dimension ref="A3:K21"/>
  <sheetViews>
    <sheetView zoomScaleNormal="100" workbookViewId="0">
      <selection activeCell="F31" sqref="F31"/>
    </sheetView>
  </sheetViews>
  <sheetFormatPr defaultRowHeight="15" x14ac:dyDescent="0.25"/>
  <cols>
    <col min="1" max="1" width="15.85546875" bestFit="1" customWidth="1"/>
    <col min="2" max="2" width="14.5703125" bestFit="1" customWidth="1"/>
    <col min="3" max="3" width="17.28515625" bestFit="1" customWidth="1"/>
    <col min="4" max="4" width="11.28515625" bestFit="1" customWidth="1"/>
    <col min="5" max="5" width="17.85546875" bestFit="1" customWidth="1"/>
    <col min="6" max="6" width="16.85546875" bestFit="1" customWidth="1"/>
    <col min="7" max="7" width="15.140625" style="8" bestFit="1" customWidth="1"/>
    <col min="8" max="46" width="6" bestFit="1" customWidth="1"/>
    <col min="47" max="587" width="7" bestFit="1" customWidth="1"/>
    <col min="588" max="792" width="8" bestFit="1" customWidth="1"/>
    <col min="793" max="793" width="11.28515625" bestFit="1" customWidth="1"/>
  </cols>
  <sheetData>
    <row r="3" spans="1:7" x14ac:dyDescent="0.25">
      <c r="A3" t="s">
        <v>1555</v>
      </c>
      <c r="C3" t="s">
        <v>1554</v>
      </c>
    </row>
    <row r="4" spans="1:7" x14ac:dyDescent="0.25">
      <c r="A4" s="5">
        <v>2.7904040404040402</v>
      </c>
      <c r="C4" s="6">
        <v>661108.70707070711</v>
      </c>
    </row>
    <row r="8" spans="1:7" x14ac:dyDescent="0.25">
      <c r="F8" s="2" t="s">
        <v>1550</v>
      </c>
      <c r="G8" s="8" t="s">
        <v>1552</v>
      </c>
    </row>
    <row r="9" spans="1:7" x14ac:dyDescent="0.25">
      <c r="A9" s="2" t="s">
        <v>1552</v>
      </c>
      <c r="B9" s="2" t="s">
        <v>1556</v>
      </c>
      <c r="F9" s="3" t="s">
        <v>24</v>
      </c>
      <c r="G9" s="8">
        <v>691</v>
      </c>
    </row>
    <row r="10" spans="1:7" x14ac:dyDescent="0.25">
      <c r="A10" s="2" t="s">
        <v>1550</v>
      </c>
      <c r="B10" t="s">
        <v>14</v>
      </c>
      <c r="C10" t="s">
        <v>21</v>
      </c>
      <c r="D10" t="s">
        <v>1551</v>
      </c>
      <c r="F10" s="3" t="s">
        <v>18</v>
      </c>
      <c r="G10" s="8">
        <v>101</v>
      </c>
    </row>
    <row r="11" spans="1:7" x14ac:dyDescent="0.25">
      <c r="A11" s="3">
        <v>20</v>
      </c>
      <c r="B11">
        <v>41</v>
      </c>
      <c r="C11">
        <v>32</v>
      </c>
      <c r="D11">
        <v>73</v>
      </c>
      <c r="F11" s="3" t="s">
        <v>1551</v>
      </c>
      <c r="G11" s="8">
        <v>792</v>
      </c>
    </row>
    <row r="12" spans="1:7" x14ac:dyDescent="0.25">
      <c r="A12" s="3">
        <v>30</v>
      </c>
      <c r="B12">
        <v>178</v>
      </c>
      <c r="C12">
        <v>172</v>
      </c>
      <c r="D12">
        <v>350</v>
      </c>
    </row>
    <row r="13" spans="1:7" x14ac:dyDescent="0.25">
      <c r="A13" s="3">
        <v>40</v>
      </c>
      <c r="B13">
        <v>120</v>
      </c>
      <c r="C13">
        <v>142</v>
      </c>
      <c r="D13">
        <v>262</v>
      </c>
    </row>
    <row r="14" spans="1:7" x14ac:dyDescent="0.25">
      <c r="A14" s="3">
        <v>50</v>
      </c>
      <c r="B14">
        <v>56</v>
      </c>
      <c r="C14">
        <v>51</v>
      </c>
      <c r="D14">
        <v>107</v>
      </c>
    </row>
    <row r="15" spans="1:7" x14ac:dyDescent="0.25">
      <c r="A15" s="3" t="s">
        <v>1551</v>
      </c>
      <c r="B15">
        <v>395</v>
      </c>
      <c r="C15">
        <v>397</v>
      </c>
      <c r="D15">
        <v>792</v>
      </c>
    </row>
    <row r="17" spans="6:11" x14ac:dyDescent="0.25">
      <c r="F17" t="str">
        <f>A3</f>
        <v>Average of years</v>
      </c>
      <c r="G17" s="7">
        <f>$A$4</f>
        <v>2.7904040404040402</v>
      </c>
    </row>
    <row r="18" spans="6:11" x14ac:dyDescent="0.25">
      <c r="F18" t="str">
        <f>C3</f>
        <v>Average of Annual</v>
      </c>
      <c r="G18" s="9">
        <f>$C$4</f>
        <v>661108.70707070711</v>
      </c>
    </row>
    <row r="19" spans="6:11" x14ac:dyDescent="0.25">
      <c r="F19" t="str">
        <f t="shared" ref="F19:G21" si="0">F9</f>
        <v>Active</v>
      </c>
      <c r="G19" s="8">
        <f t="shared" si="0"/>
        <v>691</v>
      </c>
    </row>
    <row r="20" spans="6:11" x14ac:dyDescent="0.25">
      <c r="F20" t="str">
        <f t="shared" si="0"/>
        <v>Inactive</v>
      </c>
      <c r="G20" s="8">
        <f t="shared" si="0"/>
        <v>101</v>
      </c>
      <c r="K20" s="7"/>
    </row>
    <row r="21" spans="6:11" x14ac:dyDescent="0.25">
      <c r="F21" t="str">
        <f t="shared" si="0"/>
        <v>Grand Total</v>
      </c>
      <c r="G21" s="8">
        <f t="shared" si="0"/>
        <v>792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D843-6D1F-45D6-8D76-14300784F942}">
  <dimension ref="A4:B11"/>
  <sheetViews>
    <sheetView zoomScale="85" zoomScaleNormal="85" workbookViewId="0">
      <selection activeCell="F39" sqref="F39"/>
    </sheetView>
  </sheetViews>
  <sheetFormatPr defaultRowHeight="15" x14ac:dyDescent="0.25"/>
  <cols>
    <col min="1" max="1" width="13.42578125" bestFit="1" customWidth="1"/>
    <col min="2" max="2" width="13.7109375" bestFit="1" customWidth="1"/>
  </cols>
  <sheetData>
    <row r="4" spans="1:2" x14ac:dyDescent="0.25">
      <c r="A4" s="2" t="s">
        <v>1550</v>
      </c>
      <c r="B4" t="s">
        <v>1552</v>
      </c>
    </row>
    <row r="5" spans="1:2" x14ac:dyDescent="0.25">
      <c r="A5" s="3" t="s">
        <v>43</v>
      </c>
      <c r="B5" s="4">
        <v>6.1868686868686872E-2</v>
      </c>
    </row>
    <row r="6" spans="1:2" x14ac:dyDescent="0.25">
      <c r="A6" s="3" t="s">
        <v>49</v>
      </c>
      <c r="B6" s="4">
        <v>6.3131313131313135E-2</v>
      </c>
    </row>
    <row r="7" spans="1:2" x14ac:dyDescent="0.25">
      <c r="A7" s="3" t="s">
        <v>28</v>
      </c>
      <c r="B7" s="4">
        <v>6.3131313131313135E-2</v>
      </c>
    </row>
    <row r="8" spans="1:2" x14ac:dyDescent="0.25">
      <c r="A8" s="3" t="s">
        <v>46</v>
      </c>
      <c r="B8" s="4">
        <v>9.4696969696969696E-2</v>
      </c>
    </row>
    <row r="9" spans="1:2" x14ac:dyDescent="0.25">
      <c r="A9" s="3" t="s">
        <v>59</v>
      </c>
      <c r="B9" s="4">
        <v>0.1553030303030303</v>
      </c>
    </row>
    <row r="10" spans="1:2" x14ac:dyDescent="0.25">
      <c r="A10" s="3" t="s">
        <v>16</v>
      </c>
      <c r="B10" s="4">
        <v>0.56186868686868685</v>
      </c>
    </row>
    <row r="11" spans="1:2" x14ac:dyDescent="0.25">
      <c r="A11" s="3" t="s">
        <v>1551</v>
      </c>
      <c r="B11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5915-145B-43AE-B698-DC4931C4795A}">
  <dimension ref="A4:B15"/>
  <sheetViews>
    <sheetView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4" spans="1:2" x14ac:dyDescent="0.25">
      <c r="A4" s="2" t="s">
        <v>1550</v>
      </c>
      <c r="B4" t="s">
        <v>1553</v>
      </c>
    </row>
    <row r="5" spans="1:2" x14ac:dyDescent="0.25">
      <c r="A5" s="3" t="s">
        <v>1377</v>
      </c>
      <c r="B5" s="6">
        <v>1408000</v>
      </c>
    </row>
    <row r="6" spans="1:2" x14ac:dyDescent="0.25">
      <c r="A6" s="3" t="s">
        <v>1376</v>
      </c>
      <c r="B6" s="6">
        <v>1406000</v>
      </c>
    </row>
    <row r="7" spans="1:2" x14ac:dyDescent="0.25">
      <c r="A7" s="3" t="s">
        <v>1374</v>
      </c>
      <c r="B7" s="6">
        <v>1404000</v>
      </c>
    </row>
    <row r="8" spans="1:2" x14ac:dyDescent="0.25">
      <c r="A8" s="3" t="s">
        <v>1372</v>
      </c>
      <c r="B8" s="6">
        <v>1402000</v>
      </c>
    </row>
    <row r="9" spans="1:2" x14ac:dyDescent="0.25">
      <c r="A9" s="3" t="s">
        <v>1370</v>
      </c>
      <c r="B9" s="6">
        <v>1400000</v>
      </c>
    </row>
    <row r="10" spans="1:2" x14ac:dyDescent="0.25">
      <c r="A10" s="3" t="s">
        <v>1369</v>
      </c>
      <c r="B10" s="6">
        <v>1398000</v>
      </c>
    </row>
    <row r="11" spans="1:2" x14ac:dyDescent="0.25">
      <c r="A11" s="3" t="s">
        <v>1367</v>
      </c>
      <c r="B11" s="6">
        <v>1396000</v>
      </c>
    </row>
    <row r="12" spans="1:2" x14ac:dyDescent="0.25">
      <c r="A12" s="3" t="s">
        <v>1365</v>
      </c>
      <c r="B12" s="6">
        <v>1394000</v>
      </c>
    </row>
    <row r="13" spans="1:2" x14ac:dyDescent="0.25">
      <c r="A13" s="3" t="s">
        <v>1363</v>
      </c>
      <c r="B13" s="6">
        <v>1392000</v>
      </c>
    </row>
    <row r="14" spans="1:2" x14ac:dyDescent="0.25">
      <c r="A14" s="3" t="s">
        <v>1361</v>
      </c>
      <c r="B14" s="6">
        <v>1390000</v>
      </c>
    </row>
    <row r="15" spans="1:2" x14ac:dyDescent="0.25">
      <c r="A15" s="3" t="s">
        <v>1551</v>
      </c>
      <c r="B15" s="6">
        <v>13990000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3"/>
  <sheetViews>
    <sheetView topLeftCell="F1" zoomScale="70" zoomScaleNormal="70" workbookViewId="0">
      <selection activeCell="O1" sqref="O1"/>
    </sheetView>
  </sheetViews>
  <sheetFormatPr defaultRowHeight="15" x14ac:dyDescent="0.25"/>
  <cols>
    <col min="1" max="1" width="7.5703125" bestFit="1" customWidth="1"/>
    <col min="2" max="2" width="13.140625" customWidth="1"/>
    <col min="3" max="3" width="12.42578125" customWidth="1"/>
    <col min="4" max="4" width="12.28515625" customWidth="1"/>
    <col min="5" max="5" width="11.7109375" customWidth="1"/>
    <col min="6" max="6" width="16" customWidth="1"/>
    <col min="7" max="7" width="13.7109375" customWidth="1"/>
    <col min="8" max="8" width="13.85546875" style="1" customWidth="1"/>
    <col min="9" max="9" width="15.28515625" style="1" customWidth="1"/>
    <col min="10" max="10" width="11.85546875" customWidth="1"/>
    <col min="11" max="11" width="12.140625" customWidth="1"/>
    <col min="12" max="12" width="12.5703125" customWidth="1"/>
    <col min="13" max="13" width="20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1547</v>
      </c>
      <c r="N1" t="s">
        <v>1549</v>
      </c>
      <c r="O1" t="s">
        <v>1548</v>
      </c>
    </row>
    <row r="2" spans="1:15" x14ac:dyDescent="0.25">
      <c r="A2" t="s">
        <v>12</v>
      </c>
      <c r="B2" t="s">
        <v>13</v>
      </c>
      <c r="C2" t="s">
        <v>14</v>
      </c>
      <c r="D2">
        <v>47</v>
      </c>
      <c r="E2" t="s">
        <v>15</v>
      </c>
      <c r="F2" t="s">
        <v>16</v>
      </c>
      <c r="G2" t="s">
        <v>17</v>
      </c>
      <c r="H2" s="1">
        <v>44116</v>
      </c>
      <c r="I2" s="1">
        <v>44857</v>
      </c>
      <c r="J2">
        <v>10000</v>
      </c>
      <c r="K2">
        <v>0</v>
      </c>
      <c r="L2" t="s">
        <v>18</v>
      </c>
      <c r="M2">
        <f ca="1">IF(Table1[[#This Row],[Exit]]="",DATEDIF(Table1[[#This Row],[Hire]],TODAY(),"Y"),DATEDIF(Table1[[#This Row],[Hire]],Table1[[#This Row],[Exit]],"Y"))</f>
        <v>2</v>
      </c>
      <c r="N2">
        <f>FLOOR(Table1[[#This Row],[Age]],10)</f>
        <v>40</v>
      </c>
      <c r="O2" t="str">
        <f>IF(Table1[[#This Row],[Age]]&lt;30,"20-29",IF(Table1[[#This Row],[Age]]&lt;40,"30-39",IF(Table1[[#This Row],[Age]]&lt;50,"40-49",IF(Table1[[#This Row],[Age]]&lt;60,"50-59","60+"))))</f>
        <v>40-49</v>
      </c>
    </row>
    <row r="3" spans="1:15" x14ac:dyDescent="0.25">
      <c r="A3" t="s">
        <v>19</v>
      </c>
      <c r="B3" t="s">
        <v>20</v>
      </c>
      <c r="C3" t="s">
        <v>21</v>
      </c>
      <c r="D3">
        <v>36</v>
      </c>
      <c r="E3" t="s">
        <v>22</v>
      </c>
      <c r="F3" t="s">
        <v>16</v>
      </c>
      <c r="G3" t="s">
        <v>23</v>
      </c>
      <c r="H3" s="1">
        <v>44588</v>
      </c>
      <c r="J3">
        <v>10000</v>
      </c>
      <c r="K3">
        <v>0</v>
      </c>
      <c r="L3" t="s">
        <v>24</v>
      </c>
      <c r="M3">
        <f ca="1">IF(Table1[[#This Row],[Exit]]="",DATEDIF(Table1[[#This Row],[Hire]],TODAY(),"Y"),DATEDIF(Table1[[#This Row],[Hire]],Table1[[#This Row],[Exit]],"Y"))</f>
        <v>4</v>
      </c>
      <c r="N3">
        <f>FLOOR(Table1[[#This Row],[Age]],10)</f>
        <v>30</v>
      </c>
      <c r="O3" t="str">
        <f>IF(Table1[[#This Row],[Age]]&lt;30,"20-29",IF(Table1[[#This Row],[Age]]&lt;40,"30-39",IF(Table1[[#This Row],[Age]]&lt;50,"40-49",IF(Table1[[#This Row],[Age]]&lt;60,"50-59","60+"))))</f>
        <v>30-39</v>
      </c>
    </row>
    <row r="4" spans="1:15" x14ac:dyDescent="0.25">
      <c r="A4" t="s">
        <v>25</v>
      </c>
      <c r="B4" t="s">
        <v>26</v>
      </c>
      <c r="C4" t="s">
        <v>14</v>
      </c>
      <c r="D4">
        <v>41</v>
      </c>
      <c r="E4" t="s">
        <v>27</v>
      </c>
      <c r="F4" t="s">
        <v>28</v>
      </c>
      <c r="G4" t="s">
        <v>17</v>
      </c>
      <c r="H4" s="1">
        <v>45337</v>
      </c>
      <c r="J4">
        <v>12000</v>
      </c>
      <c r="K4">
        <v>0</v>
      </c>
      <c r="L4" t="s">
        <v>24</v>
      </c>
      <c r="M4">
        <f ca="1">IF(Table1[[#This Row],[Exit]]="",DATEDIF(Table1[[#This Row],[Hire]],TODAY(),"Y"),DATEDIF(Table1[[#This Row],[Hire]],Table1[[#This Row],[Exit]],"Y"))</f>
        <v>1</v>
      </c>
      <c r="N4">
        <f>FLOOR(Table1[[#This Row],[Age]],10)</f>
        <v>40</v>
      </c>
      <c r="O4" t="str">
        <f>IF(Table1[[#This Row],[Age]]&lt;30,"20-29",IF(Table1[[#This Row],[Age]]&lt;40,"30-39",IF(Table1[[#This Row],[Age]]&lt;50,"40-49",IF(Table1[[#This Row],[Age]]&lt;60,"50-59","60+"))))</f>
        <v>40-49</v>
      </c>
    </row>
    <row r="5" spans="1:15" x14ac:dyDescent="0.25">
      <c r="A5" t="s">
        <v>29</v>
      </c>
      <c r="B5" t="s">
        <v>30</v>
      </c>
      <c r="C5" t="s">
        <v>21</v>
      </c>
      <c r="D5">
        <v>30</v>
      </c>
      <c r="E5" t="s">
        <v>31</v>
      </c>
      <c r="F5" t="s">
        <v>16</v>
      </c>
      <c r="G5" t="s">
        <v>23</v>
      </c>
      <c r="H5" s="1">
        <v>45332</v>
      </c>
      <c r="J5">
        <v>14000</v>
      </c>
      <c r="K5">
        <v>0</v>
      </c>
      <c r="L5" t="s">
        <v>24</v>
      </c>
      <c r="M5">
        <f ca="1">IF(Table1[[#This Row],[Exit]]="",DATEDIF(Table1[[#This Row],[Hire]],TODAY(),"Y"),DATEDIF(Table1[[#This Row],[Hire]],Table1[[#This Row],[Exit]],"Y"))</f>
        <v>1</v>
      </c>
      <c r="N5">
        <f>FLOOR(Table1[[#This Row],[Age]],10)</f>
        <v>30</v>
      </c>
      <c r="O5" t="str">
        <f>IF(Table1[[#This Row],[Age]]&lt;30,"20-29",IF(Table1[[#This Row],[Age]]&lt;40,"30-39",IF(Table1[[#This Row],[Age]]&lt;50,"40-49",IF(Table1[[#This Row],[Age]]&lt;60,"50-59","60+"))))</f>
        <v>30-39</v>
      </c>
    </row>
    <row r="6" spans="1:15" x14ac:dyDescent="0.25">
      <c r="A6" t="s">
        <v>32</v>
      </c>
      <c r="B6" t="s">
        <v>33</v>
      </c>
      <c r="C6" t="s">
        <v>14</v>
      </c>
      <c r="D6">
        <v>30</v>
      </c>
      <c r="E6" t="s">
        <v>27</v>
      </c>
      <c r="F6" t="s">
        <v>28</v>
      </c>
      <c r="G6" t="s">
        <v>34</v>
      </c>
      <c r="H6" s="1">
        <v>44183</v>
      </c>
      <c r="I6" s="1">
        <v>45430</v>
      </c>
      <c r="J6">
        <v>16000</v>
      </c>
      <c r="K6">
        <v>0</v>
      </c>
      <c r="L6" t="s">
        <v>18</v>
      </c>
      <c r="M6">
        <f ca="1">IF(Table1[[#This Row],[Exit]]="",DATEDIF(Table1[[#This Row],[Hire]],TODAY(),"Y"),DATEDIF(Table1[[#This Row],[Hire]],Table1[[#This Row],[Exit]],"Y"))</f>
        <v>3</v>
      </c>
      <c r="N6">
        <f>FLOOR(Table1[[#This Row],[Age]],10)</f>
        <v>30</v>
      </c>
      <c r="O6" t="str">
        <f>IF(Table1[[#This Row],[Age]]&lt;30,"20-29",IF(Table1[[#This Row],[Age]]&lt;40,"30-39",IF(Table1[[#This Row],[Age]]&lt;50,"40-49",IF(Table1[[#This Row],[Age]]&lt;60,"50-59","60+"))))</f>
        <v>30-39</v>
      </c>
    </row>
    <row r="7" spans="1:15" x14ac:dyDescent="0.25">
      <c r="A7" t="s">
        <v>35</v>
      </c>
      <c r="B7" t="s">
        <v>36</v>
      </c>
      <c r="C7" t="s">
        <v>21</v>
      </c>
      <c r="D7">
        <v>38</v>
      </c>
      <c r="E7" t="s">
        <v>15</v>
      </c>
      <c r="F7" t="s">
        <v>16</v>
      </c>
      <c r="G7" t="s">
        <v>23</v>
      </c>
      <c r="H7" s="1">
        <v>43837</v>
      </c>
      <c r="I7" s="1">
        <v>45430</v>
      </c>
      <c r="J7">
        <v>18000</v>
      </c>
      <c r="K7">
        <v>0.15</v>
      </c>
      <c r="L7" t="s">
        <v>18</v>
      </c>
      <c r="M7">
        <f ca="1">IF(Table1[[#This Row],[Exit]]="",DATEDIF(Table1[[#This Row],[Hire]],TODAY(),"Y"),DATEDIF(Table1[[#This Row],[Hire]],Table1[[#This Row],[Exit]],"Y"))</f>
        <v>4</v>
      </c>
      <c r="N7">
        <f>FLOOR(Table1[[#This Row],[Age]],10)</f>
        <v>30</v>
      </c>
      <c r="O7" t="str">
        <f>IF(Table1[[#This Row],[Age]]&lt;30,"20-29",IF(Table1[[#This Row],[Age]]&lt;40,"30-39",IF(Table1[[#This Row],[Age]]&lt;50,"40-49",IF(Table1[[#This Row],[Age]]&lt;60,"50-59","60+"))))</f>
        <v>30-39</v>
      </c>
    </row>
    <row r="8" spans="1:15" x14ac:dyDescent="0.25">
      <c r="A8" t="s">
        <v>37</v>
      </c>
      <c r="B8" t="s">
        <v>38</v>
      </c>
      <c r="C8" t="s">
        <v>14</v>
      </c>
      <c r="D8">
        <v>28</v>
      </c>
      <c r="E8" t="s">
        <v>15</v>
      </c>
      <c r="F8" t="s">
        <v>16</v>
      </c>
      <c r="G8" t="s">
        <v>34</v>
      </c>
      <c r="H8" s="1">
        <v>45206</v>
      </c>
      <c r="J8">
        <v>20000</v>
      </c>
      <c r="K8">
        <v>0</v>
      </c>
      <c r="L8" t="s">
        <v>24</v>
      </c>
      <c r="M8">
        <f ca="1">IF(Table1[[#This Row],[Exit]]="",DATEDIF(Table1[[#This Row],[Hire]],TODAY(),"Y"),DATEDIF(Table1[[#This Row],[Hire]],Table1[[#This Row],[Exit]],"Y"))</f>
        <v>2</v>
      </c>
      <c r="N8">
        <f>FLOOR(Table1[[#This Row],[Age]],10)</f>
        <v>20</v>
      </c>
      <c r="O8" t="str">
        <f>IF(Table1[[#This Row],[Age]]&lt;30,"20-29",IF(Table1[[#This Row],[Age]]&lt;40,"30-39",IF(Table1[[#This Row],[Age]]&lt;50,"40-49",IF(Table1[[#This Row],[Age]]&lt;60,"50-59","60+"))))</f>
        <v>20-29</v>
      </c>
    </row>
    <row r="9" spans="1:15" x14ac:dyDescent="0.25">
      <c r="A9" t="s">
        <v>39</v>
      </c>
      <c r="B9" t="s">
        <v>40</v>
      </c>
      <c r="C9" t="s">
        <v>41</v>
      </c>
      <c r="D9">
        <v>39</v>
      </c>
      <c r="E9" t="s">
        <v>42</v>
      </c>
      <c r="F9" t="s">
        <v>43</v>
      </c>
      <c r="G9" t="s">
        <v>34</v>
      </c>
      <c r="H9" s="1">
        <v>44487</v>
      </c>
      <c r="J9">
        <v>22000</v>
      </c>
      <c r="K9">
        <v>0.11</v>
      </c>
      <c r="L9" t="s">
        <v>24</v>
      </c>
      <c r="M9">
        <f ca="1">IF(Table1[[#This Row],[Exit]]="",DATEDIF(Table1[[#This Row],[Hire]],TODAY(),"Y"),DATEDIF(Table1[[#This Row],[Hire]],Table1[[#This Row],[Exit]],"Y"))</f>
        <v>4</v>
      </c>
      <c r="N9">
        <f>FLOOR(Table1[[#This Row],[Age]],10)</f>
        <v>30</v>
      </c>
      <c r="O9" t="str">
        <f>IF(Table1[[#This Row],[Age]]&lt;30,"20-29",IF(Table1[[#This Row],[Age]]&lt;40,"30-39",IF(Table1[[#This Row],[Age]]&lt;50,"40-49",IF(Table1[[#This Row],[Age]]&lt;60,"50-59","60+"))))</f>
        <v>30-39</v>
      </c>
    </row>
    <row r="10" spans="1:15" x14ac:dyDescent="0.25">
      <c r="A10" t="s">
        <v>44</v>
      </c>
      <c r="B10" t="s">
        <v>45</v>
      </c>
      <c r="C10" t="s">
        <v>14</v>
      </c>
      <c r="D10">
        <v>31</v>
      </c>
      <c r="E10" t="s">
        <v>42</v>
      </c>
      <c r="F10" t="s">
        <v>46</v>
      </c>
      <c r="G10" t="s">
        <v>23</v>
      </c>
      <c r="H10" s="1">
        <v>44791</v>
      </c>
      <c r="J10">
        <v>24000</v>
      </c>
      <c r="K10">
        <v>0.12</v>
      </c>
      <c r="L10" t="s">
        <v>24</v>
      </c>
      <c r="M10">
        <f ca="1">IF(Table1[[#This Row],[Exit]]="",DATEDIF(Table1[[#This Row],[Hire]],TODAY(),"Y"),DATEDIF(Table1[[#This Row],[Hire]],Table1[[#This Row],[Exit]],"Y"))</f>
        <v>3</v>
      </c>
      <c r="N10">
        <f>FLOOR(Table1[[#This Row],[Age]],10)</f>
        <v>30</v>
      </c>
      <c r="O10" t="str">
        <f>IF(Table1[[#This Row],[Age]]&lt;30,"20-29",IF(Table1[[#This Row],[Age]]&lt;40,"30-39",IF(Table1[[#This Row],[Age]]&lt;50,"40-49",IF(Table1[[#This Row],[Age]]&lt;60,"50-59","60+"))))</f>
        <v>30-39</v>
      </c>
    </row>
    <row r="11" spans="1:15" x14ac:dyDescent="0.25">
      <c r="A11" t="s">
        <v>47</v>
      </c>
      <c r="B11" t="s">
        <v>48</v>
      </c>
      <c r="C11" t="s">
        <v>14</v>
      </c>
      <c r="D11">
        <v>45</v>
      </c>
      <c r="E11" t="s">
        <v>42</v>
      </c>
      <c r="F11" t="s">
        <v>49</v>
      </c>
      <c r="G11" t="s">
        <v>17</v>
      </c>
      <c r="H11" s="1">
        <v>45440</v>
      </c>
      <c r="J11">
        <v>26000</v>
      </c>
      <c r="K11">
        <v>0</v>
      </c>
      <c r="L11" t="s">
        <v>24</v>
      </c>
      <c r="M11">
        <f ca="1">IF(Table1[[#This Row],[Exit]]="",DATEDIF(Table1[[#This Row],[Hire]],TODAY(),"Y"),DATEDIF(Table1[[#This Row],[Hire]],Table1[[#This Row],[Exit]],"Y"))</f>
        <v>1</v>
      </c>
      <c r="N11">
        <f>FLOOR(Table1[[#This Row],[Age]],10)</f>
        <v>40</v>
      </c>
      <c r="O11" t="str">
        <f>IF(Table1[[#This Row],[Age]]&lt;30,"20-29",IF(Table1[[#This Row],[Age]]&lt;40,"30-39",IF(Table1[[#This Row],[Age]]&lt;50,"40-49",IF(Table1[[#This Row],[Age]]&lt;60,"50-59","60+"))))</f>
        <v>40-49</v>
      </c>
    </row>
    <row r="12" spans="1:15" x14ac:dyDescent="0.25">
      <c r="A12" t="s">
        <v>50</v>
      </c>
      <c r="B12" t="s">
        <v>51</v>
      </c>
      <c r="C12" t="s">
        <v>14</v>
      </c>
      <c r="D12">
        <v>50</v>
      </c>
      <c r="E12" t="s">
        <v>52</v>
      </c>
      <c r="F12" t="s">
        <v>16</v>
      </c>
      <c r="G12" t="s">
        <v>53</v>
      </c>
      <c r="H12" s="1">
        <v>44811</v>
      </c>
      <c r="J12">
        <v>28000</v>
      </c>
      <c r="K12">
        <v>0.12</v>
      </c>
      <c r="L12" t="s">
        <v>24</v>
      </c>
      <c r="M12">
        <f ca="1">IF(Table1[[#This Row],[Exit]]="",DATEDIF(Table1[[#This Row],[Hire]],TODAY(),"Y"),DATEDIF(Table1[[#This Row],[Hire]],Table1[[#This Row],[Exit]],"Y"))</f>
        <v>3</v>
      </c>
      <c r="N12">
        <f>FLOOR(Table1[[#This Row],[Age]],10)</f>
        <v>50</v>
      </c>
      <c r="O12" t="str">
        <f>IF(Table1[[#This Row],[Age]]&lt;30,"20-29",IF(Table1[[#This Row],[Age]]&lt;40,"30-39",IF(Table1[[#This Row],[Age]]&lt;50,"40-49",IF(Table1[[#This Row],[Age]]&lt;60,"50-59","60+"))))</f>
        <v>50-59</v>
      </c>
    </row>
    <row r="13" spans="1:15" x14ac:dyDescent="0.25">
      <c r="A13" t="s">
        <v>54</v>
      </c>
      <c r="B13" t="s">
        <v>55</v>
      </c>
      <c r="C13" t="s">
        <v>21</v>
      </c>
      <c r="D13">
        <v>36</v>
      </c>
      <c r="E13" t="s">
        <v>42</v>
      </c>
      <c r="F13" t="s">
        <v>46</v>
      </c>
      <c r="G13" t="s">
        <v>53</v>
      </c>
      <c r="H13" s="1">
        <v>45294</v>
      </c>
      <c r="J13">
        <v>30000</v>
      </c>
      <c r="K13">
        <v>0.15</v>
      </c>
      <c r="L13" t="s">
        <v>24</v>
      </c>
      <c r="M13">
        <f ca="1">IF(Table1[[#This Row],[Exit]]="",DATEDIF(Table1[[#This Row],[Hire]],TODAY(),"Y"),DATEDIF(Table1[[#This Row],[Hire]],Table1[[#This Row],[Exit]],"Y"))</f>
        <v>2</v>
      </c>
      <c r="N13">
        <f>FLOOR(Table1[[#This Row],[Age]],10)</f>
        <v>30</v>
      </c>
      <c r="O13" t="str">
        <f>IF(Table1[[#This Row],[Age]]&lt;30,"20-29",IF(Table1[[#This Row],[Age]]&lt;40,"30-39",IF(Table1[[#This Row],[Age]]&lt;50,"40-49",IF(Table1[[#This Row],[Age]]&lt;60,"50-59","60+"))))</f>
        <v>30-39</v>
      </c>
    </row>
    <row r="14" spans="1:15" x14ac:dyDescent="0.25">
      <c r="A14" t="s">
        <v>56</v>
      </c>
      <c r="B14" t="s">
        <v>57</v>
      </c>
      <c r="C14" t="s">
        <v>14</v>
      </c>
      <c r="D14">
        <v>45</v>
      </c>
      <c r="E14" t="s">
        <v>58</v>
      </c>
      <c r="F14" t="s">
        <v>59</v>
      </c>
      <c r="G14" t="s">
        <v>34</v>
      </c>
      <c r="H14" s="1">
        <v>45074</v>
      </c>
      <c r="J14">
        <v>32000</v>
      </c>
      <c r="K14">
        <v>0</v>
      </c>
      <c r="L14" t="s">
        <v>24</v>
      </c>
      <c r="M14">
        <f ca="1">IF(Table1[[#This Row],[Exit]]="",DATEDIF(Table1[[#This Row],[Hire]],TODAY(),"Y"),DATEDIF(Table1[[#This Row],[Hire]],Table1[[#This Row],[Exit]],"Y"))</f>
        <v>2</v>
      </c>
      <c r="N14">
        <f>FLOOR(Table1[[#This Row],[Age]],10)</f>
        <v>40</v>
      </c>
      <c r="O14" t="str">
        <f>IF(Table1[[#This Row],[Age]]&lt;30,"20-29",IF(Table1[[#This Row],[Age]]&lt;40,"30-39",IF(Table1[[#This Row],[Age]]&lt;50,"40-49",IF(Table1[[#This Row],[Age]]&lt;60,"50-59","60+"))))</f>
        <v>40-49</v>
      </c>
    </row>
    <row r="15" spans="1:15" x14ac:dyDescent="0.25">
      <c r="A15" t="s">
        <v>60</v>
      </c>
      <c r="B15" t="s">
        <v>61</v>
      </c>
      <c r="C15" t="s">
        <v>41</v>
      </c>
      <c r="D15">
        <v>29</v>
      </c>
      <c r="E15" t="s">
        <v>52</v>
      </c>
      <c r="F15" t="s">
        <v>16</v>
      </c>
      <c r="G15" t="s">
        <v>23</v>
      </c>
      <c r="H15" s="1">
        <v>45245</v>
      </c>
      <c r="J15">
        <v>34000</v>
      </c>
      <c r="K15">
        <v>0</v>
      </c>
      <c r="L15" t="s">
        <v>24</v>
      </c>
      <c r="M15">
        <f ca="1">IF(Table1[[#This Row],[Exit]]="",DATEDIF(Table1[[#This Row],[Hire]],TODAY(),"Y"),DATEDIF(Table1[[#This Row],[Hire]],Table1[[#This Row],[Exit]],"Y"))</f>
        <v>2</v>
      </c>
      <c r="N15">
        <f>FLOOR(Table1[[#This Row],[Age]],10)</f>
        <v>20</v>
      </c>
      <c r="O15" t="str">
        <f>IF(Table1[[#This Row],[Age]]&lt;30,"20-29",IF(Table1[[#This Row],[Age]]&lt;40,"30-39",IF(Table1[[#This Row],[Age]]&lt;50,"40-49",IF(Table1[[#This Row],[Age]]&lt;60,"50-59","60+"))))</f>
        <v>20-29</v>
      </c>
    </row>
    <row r="16" spans="1:15" x14ac:dyDescent="0.25">
      <c r="A16" t="s">
        <v>62</v>
      </c>
      <c r="B16" t="s">
        <v>63</v>
      </c>
      <c r="C16" t="s">
        <v>41</v>
      </c>
      <c r="D16">
        <v>41</v>
      </c>
      <c r="E16" t="s">
        <v>52</v>
      </c>
      <c r="F16" t="s">
        <v>16</v>
      </c>
      <c r="G16" t="s">
        <v>34</v>
      </c>
      <c r="H16" s="1">
        <v>43851</v>
      </c>
      <c r="I16" s="1">
        <v>44857</v>
      </c>
      <c r="J16">
        <v>36000</v>
      </c>
      <c r="K16">
        <v>0.15</v>
      </c>
      <c r="L16" t="s">
        <v>18</v>
      </c>
      <c r="M16">
        <f ca="1">IF(Table1[[#This Row],[Exit]]="",DATEDIF(Table1[[#This Row],[Hire]],TODAY(),"Y"),DATEDIF(Table1[[#This Row],[Hire]],Table1[[#This Row],[Exit]],"Y"))</f>
        <v>2</v>
      </c>
      <c r="N16">
        <f>FLOOR(Table1[[#This Row],[Age]],10)</f>
        <v>40</v>
      </c>
      <c r="O16" t="str">
        <f>IF(Table1[[#This Row],[Age]]&lt;30,"20-29",IF(Table1[[#This Row],[Age]]&lt;40,"30-39",IF(Table1[[#This Row],[Age]]&lt;50,"40-49",IF(Table1[[#This Row],[Age]]&lt;60,"50-59","60+"))))</f>
        <v>40-49</v>
      </c>
    </row>
    <row r="17" spans="1:15" x14ac:dyDescent="0.25">
      <c r="A17" t="s">
        <v>64</v>
      </c>
      <c r="B17" t="s">
        <v>65</v>
      </c>
      <c r="C17" t="s">
        <v>21</v>
      </c>
      <c r="D17">
        <v>47</v>
      </c>
      <c r="E17" t="s">
        <v>66</v>
      </c>
      <c r="F17" t="s">
        <v>16</v>
      </c>
      <c r="G17" t="s">
        <v>17</v>
      </c>
      <c r="H17" s="1">
        <v>45206</v>
      </c>
      <c r="I17" s="1">
        <v>45537</v>
      </c>
      <c r="J17">
        <v>38000</v>
      </c>
      <c r="K17">
        <v>0</v>
      </c>
      <c r="L17" t="s">
        <v>18</v>
      </c>
      <c r="M17">
        <f ca="1">IF(Table1[[#This Row],[Exit]]="",DATEDIF(Table1[[#This Row],[Hire]],TODAY(),"Y"),DATEDIF(Table1[[#This Row],[Hire]],Table1[[#This Row],[Exit]],"Y"))</f>
        <v>0</v>
      </c>
      <c r="N17">
        <f>FLOOR(Table1[[#This Row],[Age]],10)</f>
        <v>40</v>
      </c>
      <c r="O17" t="str">
        <f>IF(Table1[[#This Row],[Age]]&lt;30,"20-29",IF(Table1[[#This Row],[Age]]&lt;40,"30-39",IF(Table1[[#This Row],[Age]]&lt;50,"40-49",IF(Table1[[#This Row],[Age]]&lt;60,"50-59","60+"))))</f>
        <v>40-49</v>
      </c>
    </row>
    <row r="18" spans="1:15" x14ac:dyDescent="0.25">
      <c r="A18" t="s">
        <v>67</v>
      </c>
      <c r="B18" t="s">
        <v>68</v>
      </c>
      <c r="C18" t="s">
        <v>21</v>
      </c>
      <c r="D18">
        <v>38</v>
      </c>
      <c r="E18" t="s">
        <v>58</v>
      </c>
      <c r="F18" t="s">
        <v>59</v>
      </c>
      <c r="G18" t="s">
        <v>23</v>
      </c>
      <c r="H18" s="1">
        <v>45401</v>
      </c>
      <c r="J18">
        <v>40000</v>
      </c>
      <c r="K18">
        <v>0</v>
      </c>
      <c r="L18" t="s">
        <v>24</v>
      </c>
      <c r="M18">
        <f ca="1">IF(Table1[[#This Row],[Exit]]="",DATEDIF(Table1[[#This Row],[Hire]],TODAY(),"Y"),DATEDIF(Table1[[#This Row],[Hire]],Table1[[#This Row],[Exit]],"Y"))</f>
        <v>1</v>
      </c>
      <c r="N18">
        <f>FLOOR(Table1[[#This Row],[Age]],10)</f>
        <v>30</v>
      </c>
      <c r="O18" t="str">
        <f>IF(Table1[[#This Row],[Age]]&lt;30,"20-29",IF(Table1[[#This Row],[Age]]&lt;40,"30-39",IF(Table1[[#This Row],[Age]]&lt;50,"40-49",IF(Table1[[#This Row],[Age]]&lt;60,"50-59","60+"))))</f>
        <v>30-39</v>
      </c>
    </row>
    <row r="19" spans="1:15" x14ac:dyDescent="0.25">
      <c r="A19" t="s">
        <v>69</v>
      </c>
      <c r="B19" t="s">
        <v>70</v>
      </c>
      <c r="C19" t="s">
        <v>14</v>
      </c>
      <c r="D19">
        <v>40</v>
      </c>
      <c r="E19" t="s">
        <v>66</v>
      </c>
      <c r="F19" t="s">
        <v>16</v>
      </c>
      <c r="G19" t="s">
        <v>34</v>
      </c>
      <c r="H19" s="1">
        <v>44083</v>
      </c>
      <c r="J19">
        <v>42000</v>
      </c>
      <c r="K19">
        <v>0.15</v>
      </c>
      <c r="L19" t="s">
        <v>24</v>
      </c>
      <c r="M19">
        <f ca="1">IF(Table1[[#This Row],[Exit]]="",DATEDIF(Table1[[#This Row],[Hire]],TODAY(),"Y"),DATEDIF(Table1[[#This Row],[Hire]],Table1[[#This Row],[Exit]],"Y"))</f>
        <v>5</v>
      </c>
      <c r="N19">
        <f>FLOOR(Table1[[#This Row],[Age]],10)</f>
        <v>40</v>
      </c>
      <c r="O19" t="str">
        <f>IF(Table1[[#This Row],[Age]]&lt;30,"20-29",IF(Table1[[#This Row],[Age]]&lt;40,"30-39",IF(Table1[[#This Row],[Age]]&lt;50,"40-49",IF(Table1[[#This Row],[Age]]&lt;60,"50-59","60+"))))</f>
        <v>40-49</v>
      </c>
    </row>
    <row r="20" spans="1:15" x14ac:dyDescent="0.25">
      <c r="A20" t="s">
        <v>71</v>
      </c>
      <c r="B20" t="s">
        <v>72</v>
      </c>
      <c r="C20" t="s">
        <v>41</v>
      </c>
      <c r="D20">
        <v>45</v>
      </c>
      <c r="E20" t="s">
        <v>66</v>
      </c>
      <c r="F20" t="s">
        <v>16</v>
      </c>
      <c r="G20" t="s">
        <v>53</v>
      </c>
      <c r="H20" s="1">
        <v>45233</v>
      </c>
      <c r="J20">
        <v>44000</v>
      </c>
      <c r="K20">
        <v>0</v>
      </c>
      <c r="L20" t="s">
        <v>24</v>
      </c>
      <c r="M20">
        <f ca="1">IF(Table1[[#This Row],[Exit]]="",DATEDIF(Table1[[#This Row],[Hire]],TODAY(),"Y"),DATEDIF(Table1[[#This Row],[Hire]],Table1[[#This Row],[Exit]],"Y"))</f>
        <v>2</v>
      </c>
      <c r="N20">
        <f>FLOOR(Table1[[#This Row],[Age]],10)</f>
        <v>40</v>
      </c>
      <c r="O20" t="str">
        <f>IF(Table1[[#This Row],[Age]]&lt;30,"20-29",IF(Table1[[#This Row],[Age]]&lt;40,"30-39",IF(Table1[[#This Row],[Age]]&lt;50,"40-49",IF(Table1[[#This Row],[Age]]&lt;60,"50-59","60+"))))</f>
        <v>40-49</v>
      </c>
    </row>
    <row r="21" spans="1:15" x14ac:dyDescent="0.25">
      <c r="A21" t="s">
        <v>73</v>
      </c>
      <c r="B21" t="s">
        <v>74</v>
      </c>
      <c r="C21" t="s">
        <v>14</v>
      </c>
      <c r="D21">
        <v>26</v>
      </c>
      <c r="E21" t="s">
        <v>58</v>
      </c>
      <c r="F21" t="s">
        <v>59</v>
      </c>
      <c r="G21" t="s">
        <v>53</v>
      </c>
      <c r="H21" s="1">
        <v>45412</v>
      </c>
      <c r="J21">
        <v>46000</v>
      </c>
      <c r="K21">
        <v>0</v>
      </c>
      <c r="L21" t="s">
        <v>24</v>
      </c>
      <c r="M21">
        <f ca="1">IF(Table1[[#This Row],[Exit]]="",DATEDIF(Table1[[#This Row],[Hire]],TODAY(),"Y"),DATEDIF(Table1[[#This Row],[Hire]],Table1[[#This Row],[Exit]],"Y"))</f>
        <v>1</v>
      </c>
      <c r="N21">
        <f>FLOOR(Table1[[#This Row],[Age]],10)</f>
        <v>20</v>
      </c>
      <c r="O21" t="str">
        <f>IF(Table1[[#This Row],[Age]]&lt;30,"20-29",IF(Table1[[#This Row],[Age]]&lt;40,"30-39",IF(Table1[[#This Row],[Age]]&lt;50,"40-49",IF(Table1[[#This Row],[Age]]&lt;60,"50-59","60+"))))</f>
        <v>20-29</v>
      </c>
    </row>
    <row r="22" spans="1:15" x14ac:dyDescent="0.25">
      <c r="A22" t="s">
        <v>75</v>
      </c>
      <c r="B22" t="s">
        <v>76</v>
      </c>
      <c r="C22" t="s">
        <v>21</v>
      </c>
      <c r="D22">
        <v>35</v>
      </c>
      <c r="E22" t="s">
        <v>15</v>
      </c>
      <c r="F22" t="s">
        <v>16</v>
      </c>
      <c r="G22" t="s">
        <v>53</v>
      </c>
      <c r="H22" s="1">
        <v>43887</v>
      </c>
      <c r="I22" s="1">
        <v>44446</v>
      </c>
      <c r="J22">
        <v>48000</v>
      </c>
      <c r="K22">
        <v>0</v>
      </c>
      <c r="L22" t="s">
        <v>18</v>
      </c>
      <c r="M22">
        <f ca="1">IF(Table1[[#This Row],[Exit]]="",DATEDIF(Table1[[#This Row],[Hire]],TODAY(),"Y"),DATEDIF(Table1[[#This Row],[Hire]],Table1[[#This Row],[Exit]],"Y"))</f>
        <v>1</v>
      </c>
      <c r="N22">
        <f>FLOOR(Table1[[#This Row],[Age]],10)</f>
        <v>30</v>
      </c>
      <c r="O22" t="str">
        <f>IF(Table1[[#This Row],[Age]]&lt;30,"20-29",IF(Table1[[#This Row],[Age]]&lt;40,"30-39",IF(Table1[[#This Row],[Age]]&lt;50,"40-49",IF(Table1[[#This Row],[Age]]&lt;60,"50-59","60+"))))</f>
        <v>30-39</v>
      </c>
    </row>
    <row r="23" spans="1:15" x14ac:dyDescent="0.25">
      <c r="A23" t="s">
        <v>77</v>
      </c>
      <c r="B23" t="s">
        <v>78</v>
      </c>
      <c r="C23" t="s">
        <v>14</v>
      </c>
      <c r="D23">
        <v>29</v>
      </c>
      <c r="E23" t="s">
        <v>22</v>
      </c>
      <c r="F23" t="s">
        <v>16</v>
      </c>
      <c r="G23" t="s">
        <v>53</v>
      </c>
      <c r="H23" s="1">
        <v>44815</v>
      </c>
      <c r="J23">
        <v>50000</v>
      </c>
      <c r="K23">
        <v>0</v>
      </c>
      <c r="L23" t="s">
        <v>24</v>
      </c>
      <c r="M23">
        <f ca="1">IF(Table1[[#This Row],[Exit]]="",DATEDIF(Table1[[#This Row],[Hire]],TODAY(),"Y"),DATEDIF(Table1[[#This Row],[Hire]],Table1[[#This Row],[Exit]],"Y"))</f>
        <v>3</v>
      </c>
      <c r="N23">
        <f>FLOOR(Table1[[#This Row],[Age]],10)</f>
        <v>20</v>
      </c>
      <c r="O23" t="str">
        <f>IF(Table1[[#This Row],[Age]]&lt;30,"20-29",IF(Table1[[#This Row],[Age]]&lt;40,"30-39",IF(Table1[[#This Row],[Age]]&lt;50,"40-49",IF(Table1[[#This Row],[Age]]&lt;60,"50-59","60+"))))</f>
        <v>20-29</v>
      </c>
    </row>
    <row r="24" spans="1:15" x14ac:dyDescent="0.25">
      <c r="A24" t="s">
        <v>79</v>
      </c>
      <c r="B24" t="s">
        <v>80</v>
      </c>
      <c r="C24" t="s">
        <v>14</v>
      </c>
      <c r="D24">
        <v>35</v>
      </c>
      <c r="E24" t="s">
        <v>81</v>
      </c>
      <c r="F24" t="s">
        <v>43</v>
      </c>
      <c r="G24" t="s">
        <v>53</v>
      </c>
      <c r="H24" s="1">
        <v>45430</v>
      </c>
      <c r="J24">
        <v>52000</v>
      </c>
      <c r="K24">
        <v>0</v>
      </c>
      <c r="L24" t="s">
        <v>24</v>
      </c>
      <c r="M24">
        <f ca="1">IF(Table1[[#This Row],[Exit]]="",DATEDIF(Table1[[#This Row],[Hire]],TODAY(),"Y"),DATEDIF(Table1[[#This Row],[Hire]],Table1[[#This Row],[Exit]],"Y"))</f>
        <v>1</v>
      </c>
      <c r="N24">
        <f>FLOOR(Table1[[#This Row],[Age]],10)</f>
        <v>30</v>
      </c>
      <c r="O24" t="str">
        <f>IF(Table1[[#This Row],[Age]]&lt;30,"20-29",IF(Table1[[#This Row],[Age]]&lt;40,"30-39",IF(Table1[[#This Row],[Age]]&lt;50,"40-49",IF(Table1[[#This Row],[Age]]&lt;60,"50-59","60+"))))</f>
        <v>30-39</v>
      </c>
    </row>
    <row r="25" spans="1:15" x14ac:dyDescent="0.25">
      <c r="A25" t="s">
        <v>82</v>
      </c>
      <c r="B25" t="s">
        <v>83</v>
      </c>
      <c r="C25" t="s">
        <v>21</v>
      </c>
      <c r="D25">
        <v>27</v>
      </c>
      <c r="E25" t="s">
        <v>52</v>
      </c>
      <c r="F25" t="s">
        <v>16</v>
      </c>
      <c r="G25" t="s">
        <v>17</v>
      </c>
      <c r="H25" s="1">
        <v>44509</v>
      </c>
      <c r="J25">
        <v>54000</v>
      </c>
      <c r="K25">
        <v>0.12</v>
      </c>
      <c r="L25" t="s">
        <v>24</v>
      </c>
      <c r="M25">
        <f ca="1">IF(Table1[[#This Row],[Exit]]="",DATEDIF(Table1[[#This Row],[Hire]],TODAY(),"Y"),DATEDIF(Table1[[#This Row],[Hire]],Table1[[#This Row],[Exit]],"Y"))</f>
        <v>4</v>
      </c>
      <c r="N25">
        <f>FLOOR(Table1[[#This Row],[Age]],10)</f>
        <v>20</v>
      </c>
      <c r="O25" t="str">
        <f>IF(Table1[[#This Row],[Age]]&lt;30,"20-29",IF(Table1[[#This Row],[Age]]&lt;40,"30-39",IF(Table1[[#This Row],[Age]]&lt;50,"40-49",IF(Table1[[#This Row],[Age]]&lt;60,"50-59","60+"))))</f>
        <v>20-29</v>
      </c>
    </row>
    <row r="26" spans="1:15" x14ac:dyDescent="0.25">
      <c r="A26" t="s">
        <v>84</v>
      </c>
      <c r="B26" t="s">
        <v>85</v>
      </c>
      <c r="C26" t="s">
        <v>21</v>
      </c>
      <c r="D26">
        <v>26</v>
      </c>
      <c r="E26" t="s">
        <v>66</v>
      </c>
      <c r="F26" t="s">
        <v>16</v>
      </c>
      <c r="G26" t="s">
        <v>23</v>
      </c>
      <c r="H26" s="1">
        <v>43963</v>
      </c>
      <c r="I26" s="1">
        <v>44857</v>
      </c>
      <c r="J26">
        <v>56000</v>
      </c>
      <c r="K26">
        <v>0.15</v>
      </c>
      <c r="L26" t="s">
        <v>18</v>
      </c>
      <c r="M26">
        <f ca="1">IF(Table1[[#This Row],[Exit]]="",DATEDIF(Table1[[#This Row],[Hire]],TODAY(),"Y"),DATEDIF(Table1[[#This Row],[Hire]],Table1[[#This Row],[Exit]],"Y"))</f>
        <v>2</v>
      </c>
      <c r="N26">
        <f>FLOOR(Table1[[#This Row],[Age]],10)</f>
        <v>20</v>
      </c>
      <c r="O26" t="str">
        <f>IF(Table1[[#This Row],[Age]]&lt;30,"20-29",IF(Table1[[#This Row],[Age]]&lt;40,"30-39",IF(Table1[[#This Row],[Age]]&lt;50,"40-49",IF(Table1[[#This Row],[Age]]&lt;60,"50-59","60+"))))</f>
        <v>20-29</v>
      </c>
    </row>
    <row r="27" spans="1:15" x14ac:dyDescent="0.25">
      <c r="A27" t="s">
        <v>86</v>
      </c>
      <c r="B27" t="s">
        <v>87</v>
      </c>
      <c r="C27" t="s">
        <v>21</v>
      </c>
      <c r="D27">
        <v>27</v>
      </c>
      <c r="E27" t="s">
        <v>31</v>
      </c>
      <c r="F27" t="s">
        <v>16</v>
      </c>
      <c r="G27" t="s">
        <v>53</v>
      </c>
      <c r="H27" s="1">
        <v>44815</v>
      </c>
      <c r="J27">
        <v>58000</v>
      </c>
      <c r="K27">
        <v>0</v>
      </c>
      <c r="L27" t="s">
        <v>24</v>
      </c>
      <c r="M27">
        <f ca="1">IF(Table1[[#This Row],[Exit]]="",DATEDIF(Table1[[#This Row],[Hire]],TODAY(),"Y"),DATEDIF(Table1[[#This Row],[Hire]],Table1[[#This Row],[Exit]],"Y"))</f>
        <v>3</v>
      </c>
      <c r="N27">
        <f>FLOOR(Table1[[#This Row],[Age]],10)</f>
        <v>20</v>
      </c>
      <c r="O27" t="str">
        <f>IF(Table1[[#This Row],[Age]]&lt;30,"20-29",IF(Table1[[#This Row],[Age]]&lt;40,"30-39",IF(Table1[[#This Row],[Age]]&lt;50,"40-49",IF(Table1[[#This Row],[Age]]&lt;60,"50-59","60+"))))</f>
        <v>20-29</v>
      </c>
    </row>
    <row r="28" spans="1:15" x14ac:dyDescent="0.25">
      <c r="A28" t="s">
        <v>88</v>
      </c>
      <c r="B28" t="s">
        <v>89</v>
      </c>
      <c r="C28" t="s">
        <v>21</v>
      </c>
      <c r="D28">
        <v>30</v>
      </c>
      <c r="E28" t="s">
        <v>81</v>
      </c>
      <c r="F28" t="s">
        <v>49</v>
      </c>
      <c r="G28" t="s">
        <v>34</v>
      </c>
      <c r="H28" s="1">
        <v>44857</v>
      </c>
      <c r="J28">
        <v>60000</v>
      </c>
      <c r="K28">
        <v>0</v>
      </c>
      <c r="L28" t="s">
        <v>24</v>
      </c>
      <c r="M28">
        <f ca="1">IF(Table1[[#This Row],[Exit]]="",DATEDIF(Table1[[#This Row],[Hire]],TODAY(),"Y"),DATEDIF(Table1[[#This Row],[Hire]],Table1[[#This Row],[Exit]],"Y"))</f>
        <v>3</v>
      </c>
      <c r="N28">
        <f>FLOOR(Table1[[#This Row],[Age]],10)</f>
        <v>30</v>
      </c>
      <c r="O28" t="str">
        <f>IF(Table1[[#This Row],[Age]]&lt;30,"20-29",IF(Table1[[#This Row],[Age]]&lt;40,"30-39",IF(Table1[[#This Row],[Age]]&lt;50,"40-49",IF(Table1[[#This Row],[Age]]&lt;60,"50-59","60+"))))</f>
        <v>30-39</v>
      </c>
    </row>
    <row r="29" spans="1:15" x14ac:dyDescent="0.25">
      <c r="A29" t="s">
        <v>90</v>
      </c>
      <c r="B29" t="s">
        <v>91</v>
      </c>
      <c r="C29" t="s">
        <v>14</v>
      </c>
      <c r="D29">
        <v>36</v>
      </c>
      <c r="E29" t="s">
        <v>92</v>
      </c>
      <c r="F29" t="s">
        <v>59</v>
      </c>
      <c r="G29" t="s">
        <v>53</v>
      </c>
      <c r="H29" s="1">
        <v>44066</v>
      </c>
      <c r="I29" s="1">
        <v>45430</v>
      </c>
      <c r="J29">
        <v>62000</v>
      </c>
      <c r="K29">
        <v>0</v>
      </c>
      <c r="L29" t="s">
        <v>18</v>
      </c>
      <c r="M29">
        <f ca="1">IF(Table1[[#This Row],[Exit]]="",DATEDIF(Table1[[#This Row],[Hire]],TODAY(),"Y"),DATEDIF(Table1[[#This Row],[Hire]],Table1[[#This Row],[Exit]],"Y"))</f>
        <v>3</v>
      </c>
      <c r="N29">
        <f>FLOOR(Table1[[#This Row],[Age]],10)</f>
        <v>30</v>
      </c>
      <c r="O29" t="str">
        <f>IF(Table1[[#This Row],[Age]]&lt;30,"20-29",IF(Table1[[#This Row],[Age]]&lt;40,"30-39",IF(Table1[[#This Row],[Age]]&lt;50,"40-49",IF(Table1[[#This Row],[Age]]&lt;60,"50-59","60+"))))</f>
        <v>30-39</v>
      </c>
    </row>
    <row r="30" spans="1:15" x14ac:dyDescent="0.25">
      <c r="A30" t="s">
        <v>93</v>
      </c>
      <c r="B30" t="s">
        <v>94</v>
      </c>
      <c r="C30" t="s">
        <v>21</v>
      </c>
      <c r="D30">
        <v>45</v>
      </c>
      <c r="E30" t="s">
        <v>81</v>
      </c>
      <c r="F30" t="s">
        <v>46</v>
      </c>
      <c r="G30" t="s">
        <v>23</v>
      </c>
      <c r="H30" s="1">
        <v>45237</v>
      </c>
      <c r="J30">
        <v>64000</v>
      </c>
      <c r="K30">
        <v>0</v>
      </c>
      <c r="L30" t="s">
        <v>24</v>
      </c>
      <c r="M30">
        <f ca="1">IF(Table1[[#This Row],[Exit]]="",DATEDIF(Table1[[#This Row],[Hire]],TODAY(),"Y"),DATEDIF(Table1[[#This Row],[Hire]],Table1[[#This Row],[Exit]],"Y"))</f>
        <v>2</v>
      </c>
      <c r="N30">
        <f>FLOOR(Table1[[#This Row],[Age]],10)</f>
        <v>40</v>
      </c>
      <c r="O30" t="str">
        <f>IF(Table1[[#This Row],[Age]]&lt;30,"20-29",IF(Table1[[#This Row],[Age]]&lt;40,"30-39",IF(Table1[[#This Row],[Age]]&lt;50,"40-49",IF(Table1[[#This Row],[Age]]&lt;60,"50-59","60+"))))</f>
        <v>40-49</v>
      </c>
    </row>
    <row r="31" spans="1:15" x14ac:dyDescent="0.25">
      <c r="A31" t="s">
        <v>95</v>
      </c>
      <c r="B31" t="s">
        <v>96</v>
      </c>
      <c r="C31" t="s">
        <v>14</v>
      </c>
      <c r="D31">
        <v>37</v>
      </c>
      <c r="E31" t="s">
        <v>22</v>
      </c>
      <c r="F31" t="s">
        <v>16</v>
      </c>
      <c r="G31" t="s">
        <v>34</v>
      </c>
      <c r="H31" s="1">
        <v>45206</v>
      </c>
      <c r="J31">
        <v>66000</v>
      </c>
      <c r="K31">
        <v>0</v>
      </c>
      <c r="L31" t="s">
        <v>24</v>
      </c>
      <c r="M31">
        <f ca="1">IF(Table1[[#This Row],[Exit]]="",DATEDIF(Table1[[#This Row],[Hire]],TODAY(),"Y"),DATEDIF(Table1[[#This Row],[Hire]],Table1[[#This Row],[Exit]],"Y"))</f>
        <v>2</v>
      </c>
      <c r="N31">
        <f>FLOOR(Table1[[#This Row],[Age]],10)</f>
        <v>30</v>
      </c>
      <c r="O31" t="str">
        <f>IF(Table1[[#This Row],[Age]]&lt;30,"20-29",IF(Table1[[#This Row],[Age]]&lt;40,"30-39",IF(Table1[[#This Row],[Age]]&lt;50,"40-49",IF(Table1[[#This Row],[Age]]&lt;60,"50-59","60+"))))</f>
        <v>30-39</v>
      </c>
    </row>
    <row r="32" spans="1:15" x14ac:dyDescent="0.25">
      <c r="A32" t="s">
        <v>97</v>
      </c>
      <c r="B32" t="s">
        <v>98</v>
      </c>
      <c r="C32" t="s">
        <v>14</v>
      </c>
      <c r="D32">
        <v>32</v>
      </c>
      <c r="E32" t="s">
        <v>92</v>
      </c>
      <c r="F32" t="s">
        <v>59</v>
      </c>
      <c r="G32" t="s">
        <v>34</v>
      </c>
      <c r="H32" s="1">
        <v>44677</v>
      </c>
      <c r="J32">
        <v>68000</v>
      </c>
      <c r="K32">
        <v>0.12</v>
      </c>
      <c r="L32" t="s">
        <v>24</v>
      </c>
      <c r="M32">
        <f ca="1">IF(Table1[[#This Row],[Exit]]="",DATEDIF(Table1[[#This Row],[Hire]],TODAY(),"Y"),DATEDIF(Table1[[#This Row],[Hire]],Table1[[#This Row],[Exit]],"Y"))</f>
        <v>3</v>
      </c>
      <c r="N32">
        <f>FLOOR(Table1[[#This Row],[Age]],10)</f>
        <v>30</v>
      </c>
      <c r="O32" t="str">
        <f>IF(Table1[[#This Row],[Age]]&lt;30,"20-29",IF(Table1[[#This Row],[Age]]&lt;40,"30-39",IF(Table1[[#This Row],[Age]]&lt;50,"40-49",IF(Table1[[#This Row],[Age]]&lt;60,"50-59","60+"))))</f>
        <v>30-39</v>
      </c>
    </row>
    <row r="33" spans="1:15" x14ac:dyDescent="0.25">
      <c r="A33" t="s">
        <v>99</v>
      </c>
      <c r="B33" t="s">
        <v>100</v>
      </c>
      <c r="C33" t="s">
        <v>14</v>
      </c>
      <c r="D33">
        <v>45</v>
      </c>
      <c r="E33" t="s">
        <v>31</v>
      </c>
      <c r="F33" t="s">
        <v>16</v>
      </c>
      <c r="G33" t="s">
        <v>17</v>
      </c>
      <c r="H33" s="1">
        <v>43889</v>
      </c>
      <c r="J33">
        <v>70000</v>
      </c>
      <c r="K33">
        <v>0.15</v>
      </c>
      <c r="L33" t="s">
        <v>24</v>
      </c>
      <c r="M33">
        <f ca="1">IF(Table1[[#This Row],[Exit]]="",DATEDIF(Table1[[#This Row],[Hire]],TODAY(),"Y"),DATEDIF(Table1[[#This Row],[Hire]],Table1[[#This Row],[Exit]],"Y"))</f>
        <v>5</v>
      </c>
      <c r="N33">
        <f>FLOOR(Table1[[#This Row],[Age]],10)</f>
        <v>40</v>
      </c>
      <c r="O33" t="str">
        <f>IF(Table1[[#This Row],[Age]]&lt;30,"20-29",IF(Table1[[#This Row],[Age]]&lt;40,"30-39",IF(Table1[[#This Row],[Age]]&lt;50,"40-49",IF(Table1[[#This Row],[Age]]&lt;60,"50-59","60+"))))</f>
        <v>40-49</v>
      </c>
    </row>
    <row r="34" spans="1:15" x14ac:dyDescent="0.25">
      <c r="A34" t="s">
        <v>101</v>
      </c>
      <c r="B34" t="s">
        <v>102</v>
      </c>
      <c r="C34" t="s">
        <v>14</v>
      </c>
      <c r="D34">
        <v>51</v>
      </c>
      <c r="E34" t="s">
        <v>15</v>
      </c>
      <c r="F34" t="s">
        <v>16</v>
      </c>
      <c r="G34" t="s">
        <v>17</v>
      </c>
      <c r="H34" s="1">
        <v>44116</v>
      </c>
      <c r="J34">
        <v>72000</v>
      </c>
      <c r="K34">
        <v>0.15</v>
      </c>
      <c r="L34" t="s">
        <v>24</v>
      </c>
      <c r="M34">
        <f ca="1">IF(Table1[[#This Row],[Exit]]="",DATEDIF(Table1[[#This Row],[Hire]],TODAY(),"Y"),DATEDIF(Table1[[#This Row],[Hire]],Table1[[#This Row],[Exit]],"Y"))</f>
        <v>5</v>
      </c>
      <c r="N34">
        <f>FLOOR(Table1[[#This Row],[Age]],10)</f>
        <v>50</v>
      </c>
      <c r="O34" t="str">
        <f>IF(Table1[[#This Row],[Age]]&lt;30,"20-29",IF(Table1[[#This Row],[Age]]&lt;40,"30-39",IF(Table1[[#This Row],[Age]]&lt;50,"40-49",IF(Table1[[#This Row],[Age]]&lt;60,"50-59","60+"))))</f>
        <v>50-59</v>
      </c>
    </row>
    <row r="35" spans="1:15" x14ac:dyDescent="0.25">
      <c r="A35" t="s">
        <v>103</v>
      </c>
      <c r="B35" t="s">
        <v>104</v>
      </c>
      <c r="C35" t="s">
        <v>14</v>
      </c>
      <c r="D35">
        <v>56</v>
      </c>
      <c r="E35" t="s">
        <v>22</v>
      </c>
      <c r="F35" t="s">
        <v>16</v>
      </c>
      <c r="G35" t="s">
        <v>23</v>
      </c>
      <c r="H35" s="1">
        <v>44588</v>
      </c>
      <c r="J35">
        <v>74000</v>
      </c>
      <c r="K35">
        <v>0.1</v>
      </c>
      <c r="L35" t="s">
        <v>24</v>
      </c>
      <c r="M35">
        <f ca="1">IF(Table1[[#This Row],[Exit]]="",DATEDIF(Table1[[#This Row],[Hire]],TODAY(),"Y"),DATEDIF(Table1[[#This Row],[Hire]],Table1[[#This Row],[Exit]],"Y"))</f>
        <v>4</v>
      </c>
      <c r="N35">
        <f>FLOOR(Table1[[#This Row],[Age]],10)</f>
        <v>50</v>
      </c>
      <c r="O35" t="str">
        <f>IF(Table1[[#This Row],[Age]]&lt;30,"20-29",IF(Table1[[#This Row],[Age]]&lt;40,"30-39",IF(Table1[[#This Row],[Age]]&lt;50,"40-49",IF(Table1[[#This Row],[Age]]&lt;60,"50-59","60+"))))</f>
        <v>50-59</v>
      </c>
    </row>
    <row r="36" spans="1:15" x14ac:dyDescent="0.25">
      <c r="A36" t="s">
        <v>105</v>
      </c>
      <c r="B36" t="s">
        <v>106</v>
      </c>
      <c r="C36" t="s">
        <v>21</v>
      </c>
      <c r="D36">
        <v>53</v>
      </c>
      <c r="E36" t="s">
        <v>27</v>
      </c>
      <c r="F36" t="s">
        <v>28</v>
      </c>
      <c r="G36" t="s">
        <v>17</v>
      </c>
      <c r="H36" s="1">
        <v>43876</v>
      </c>
      <c r="I36" s="1">
        <v>45145</v>
      </c>
      <c r="J36">
        <v>76000</v>
      </c>
      <c r="K36">
        <v>0</v>
      </c>
      <c r="L36" t="s">
        <v>18</v>
      </c>
      <c r="M36">
        <f ca="1">IF(Table1[[#This Row],[Exit]]="",DATEDIF(Table1[[#This Row],[Hire]],TODAY(),"Y"),DATEDIF(Table1[[#This Row],[Hire]],Table1[[#This Row],[Exit]],"Y"))</f>
        <v>3</v>
      </c>
      <c r="N36">
        <f>FLOOR(Table1[[#This Row],[Age]],10)</f>
        <v>50</v>
      </c>
      <c r="O36" t="str">
        <f>IF(Table1[[#This Row],[Age]]&lt;30,"20-29",IF(Table1[[#This Row],[Age]]&lt;40,"30-39",IF(Table1[[#This Row],[Age]]&lt;50,"40-49",IF(Table1[[#This Row],[Age]]&lt;60,"50-59","60+"))))</f>
        <v>50-59</v>
      </c>
    </row>
    <row r="37" spans="1:15" x14ac:dyDescent="0.25">
      <c r="A37" t="s">
        <v>107</v>
      </c>
      <c r="B37" t="s">
        <v>108</v>
      </c>
      <c r="C37" t="s">
        <v>14</v>
      </c>
      <c r="D37">
        <v>47</v>
      </c>
      <c r="E37" t="s">
        <v>31</v>
      </c>
      <c r="F37" t="s">
        <v>16</v>
      </c>
      <c r="G37" t="s">
        <v>23</v>
      </c>
      <c r="H37" s="1">
        <v>43871</v>
      </c>
      <c r="I37" s="1">
        <v>44251</v>
      </c>
      <c r="J37">
        <v>78000</v>
      </c>
      <c r="K37">
        <v>0.13</v>
      </c>
      <c r="L37" t="s">
        <v>18</v>
      </c>
      <c r="M37">
        <f ca="1">IF(Table1[[#This Row],[Exit]]="",DATEDIF(Table1[[#This Row],[Hire]],TODAY(),"Y"),DATEDIF(Table1[[#This Row],[Hire]],Table1[[#This Row],[Exit]],"Y"))</f>
        <v>1</v>
      </c>
      <c r="N37">
        <f>FLOOR(Table1[[#This Row],[Age]],10)</f>
        <v>40</v>
      </c>
      <c r="O37" t="str">
        <f>IF(Table1[[#This Row],[Age]]&lt;30,"20-29",IF(Table1[[#This Row],[Age]]&lt;40,"30-39",IF(Table1[[#This Row],[Age]]&lt;50,"40-49",IF(Table1[[#This Row],[Age]]&lt;60,"50-59","60+"))))</f>
        <v>40-49</v>
      </c>
    </row>
    <row r="38" spans="1:15" x14ac:dyDescent="0.25">
      <c r="A38" t="s">
        <v>109</v>
      </c>
      <c r="B38" t="s">
        <v>110</v>
      </c>
      <c r="C38" t="s">
        <v>14</v>
      </c>
      <c r="D38">
        <v>36</v>
      </c>
      <c r="E38" t="s">
        <v>27</v>
      </c>
      <c r="F38" t="s">
        <v>28</v>
      </c>
      <c r="G38" t="s">
        <v>34</v>
      </c>
      <c r="H38" s="1">
        <v>44183</v>
      </c>
      <c r="J38">
        <v>80000</v>
      </c>
      <c r="K38">
        <v>0.37</v>
      </c>
      <c r="L38" t="s">
        <v>24</v>
      </c>
      <c r="M38">
        <f ca="1">IF(Table1[[#This Row],[Exit]]="",DATEDIF(Table1[[#This Row],[Hire]],TODAY(),"Y"),DATEDIF(Table1[[#This Row],[Hire]],Table1[[#This Row],[Exit]],"Y"))</f>
        <v>5</v>
      </c>
      <c r="N38">
        <f>FLOOR(Table1[[#This Row],[Age]],10)</f>
        <v>30</v>
      </c>
      <c r="O38" t="str">
        <f>IF(Table1[[#This Row],[Age]]&lt;30,"20-29",IF(Table1[[#This Row],[Age]]&lt;40,"30-39",IF(Table1[[#This Row],[Age]]&lt;50,"40-49",IF(Table1[[#This Row],[Age]]&lt;60,"50-59","60+"))))</f>
        <v>30-39</v>
      </c>
    </row>
    <row r="39" spans="1:15" x14ac:dyDescent="0.25">
      <c r="A39" t="s">
        <v>111</v>
      </c>
      <c r="B39" t="s">
        <v>112</v>
      </c>
      <c r="C39" t="s">
        <v>14</v>
      </c>
      <c r="D39">
        <v>41</v>
      </c>
      <c r="E39" t="s">
        <v>15</v>
      </c>
      <c r="F39" t="s">
        <v>16</v>
      </c>
      <c r="G39" t="s">
        <v>23</v>
      </c>
      <c r="H39" s="1">
        <v>43837</v>
      </c>
      <c r="J39">
        <v>82000</v>
      </c>
      <c r="K39">
        <v>0</v>
      </c>
      <c r="L39" t="s">
        <v>24</v>
      </c>
      <c r="M39">
        <f ca="1">IF(Table1[[#This Row],[Exit]]="",DATEDIF(Table1[[#This Row],[Hire]],TODAY(),"Y"),DATEDIF(Table1[[#This Row],[Hire]],Table1[[#This Row],[Exit]],"Y"))</f>
        <v>6</v>
      </c>
      <c r="N39">
        <f>FLOOR(Table1[[#This Row],[Age]],10)</f>
        <v>40</v>
      </c>
      <c r="O39" t="str">
        <f>IF(Table1[[#This Row],[Age]]&lt;30,"20-29",IF(Table1[[#This Row],[Age]]&lt;40,"30-39",IF(Table1[[#This Row],[Age]]&lt;50,"40-49",IF(Table1[[#This Row],[Age]]&lt;60,"50-59","60+"))))</f>
        <v>40-49</v>
      </c>
    </row>
    <row r="40" spans="1:15" x14ac:dyDescent="0.25">
      <c r="A40" t="s">
        <v>113</v>
      </c>
      <c r="B40" t="s">
        <v>114</v>
      </c>
      <c r="C40" t="s">
        <v>21</v>
      </c>
      <c r="D40">
        <v>30</v>
      </c>
      <c r="E40" t="s">
        <v>15</v>
      </c>
      <c r="F40" t="s">
        <v>16</v>
      </c>
      <c r="G40" t="s">
        <v>34</v>
      </c>
      <c r="H40" s="1">
        <v>45206</v>
      </c>
      <c r="J40">
        <v>84000</v>
      </c>
      <c r="K40">
        <v>0</v>
      </c>
      <c r="L40" t="s">
        <v>24</v>
      </c>
      <c r="M40">
        <f ca="1">IF(Table1[[#This Row],[Exit]]="",DATEDIF(Table1[[#This Row],[Hire]],TODAY(),"Y"),DATEDIF(Table1[[#This Row],[Hire]],Table1[[#This Row],[Exit]],"Y"))</f>
        <v>2</v>
      </c>
      <c r="N40">
        <f>FLOOR(Table1[[#This Row],[Age]],10)</f>
        <v>30</v>
      </c>
      <c r="O40" t="str">
        <f>IF(Table1[[#This Row],[Age]]&lt;30,"20-29",IF(Table1[[#This Row],[Age]]&lt;40,"30-39",IF(Table1[[#This Row],[Age]]&lt;50,"40-49",IF(Table1[[#This Row],[Age]]&lt;60,"50-59","60+"))))</f>
        <v>30-39</v>
      </c>
    </row>
    <row r="41" spans="1:15" x14ac:dyDescent="0.25">
      <c r="A41" t="s">
        <v>115</v>
      </c>
      <c r="B41" t="s">
        <v>116</v>
      </c>
      <c r="C41" t="s">
        <v>21</v>
      </c>
      <c r="D41">
        <v>30</v>
      </c>
      <c r="E41" t="s">
        <v>42</v>
      </c>
      <c r="F41" t="s">
        <v>43</v>
      </c>
      <c r="G41" t="s">
        <v>34</v>
      </c>
      <c r="H41" s="1">
        <v>44852</v>
      </c>
      <c r="I41" s="1">
        <v>45344</v>
      </c>
      <c r="J41">
        <v>86000</v>
      </c>
      <c r="K41">
        <v>0</v>
      </c>
      <c r="L41" t="s">
        <v>18</v>
      </c>
      <c r="M41">
        <f ca="1">IF(Table1[[#This Row],[Exit]]="",DATEDIF(Table1[[#This Row],[Hire]],TODAY(),"Y"),DATEDIF(Table1[[#This Row],[Hire]],Table1[[#This Row],[Exit]],"Y"))</f>
        <v>1</v>
      </c>
      <c r="N41">
        <f>FLOOR(Table1[[#This Row],[Age]],10)</f>
        <v>30</v>
      </c>
      <c r="O41" t="str">
        <f>IF(Table1[[#This Row],[Age]]&lt;30,"20-29",IF(Table1[[#This Row],[Age]]&lt;40,"30-39",IF(Table1[[#This Row],[Age]]&lt;50,"40-49",IF(Table1[[#This Row],[Age]]&lt;60,"50-59","60+"))))</f>
        <v>30-39</v>
      </c>
    </row>
    <row r="42" spans="1:15" x14ac:dyDescent="0.25">
      <c r="A42" t="s">
        <v>117</v>
      </c>
      <c r="B42" t="s">
        <v>118</v>
      </c>
      <c r="C42" t="s">
        <v>41</v>
      </c>
      <c r="D42">
        <v>38</v>
      </c>
      <c r="E42" t="s">
        <v>42</v>
      </c>
      <c r="F42" t="s">
        <v>46</v>
      </c>
      <c r="G42" t="s">
        <v>23</v>
      </c>
      <c r="H42" s="1">
        <v>44791</v>
      </c>
      <c r="J42">
        <v>88000</v>
      </c>
      <c r="K42">
        <v>7.0000000000000007E-2</v>
      </c>
      <c r="L42" t="s">
        <v>24</v>
      </c>
      <c r="M42">
        <f ca="1">IF(Table1[[#This Row],[Exit]]="",DATEDIF(Table1[[#This Row],[Hire]],TODAY(),"Y"),DATEDIF(Table1[[#This Row],[Hire]],Table1[[#This Row],[Exit]],"Y"))</f>
        <v>3</v>
      </c>
      <c r="N42">
        <f>FLOOR(Table1[[#This Row],[Age]],10)</f>
        <v>30</v>
      </c>
      <c r="O42" t="str">
        <f>IF(Table1[[#This Row],[Age]]&lt;30,"20-29",IF(Table1[[#This Row],[Age]]&lt;40,"30-39",IF(Table1[[#This Row],[Age]]&lt;50,"40-49",IF(Table1[[#This Row],[Age]]&lt;60,"50-59","60+"))))</f>
        <v>30-39</v>
      </c>
    </row>
    <row r="43" spans="1:15" x14ac:dyDescent="0.25">
      <c r="A43" t="s">
        <v>119</v>
      </c>
      <c r="B43" t="s">
        <v>120</v>
      </c>
      <c r="C43" t="s">
        <v>14</v>
      </c>
      <c r="D43">
        <v>28</v>
      </c>
      <c r="E43" t="s">
        <v>42</v>
      </c>
      <c r="F43" t="s">
        <v>49</v>
      </c>
      <c r="G43" t="s">
        <v>17</v>
      </c>
      <c r="H43" s="1">
        <v>44709</v>
      </c>
      <c r="I43" s="1">
        <v>45430</v>
      </c>
      <c r="J43">
        <v>90000</v>
      </c>
      <c r="K43">
        <v>0.35</v>
      </c>
      <c r="L43" t="s">
        <v>18</v>
      </c>
      <c r="M43">
        <f ca="1">IF(Table1[[#This Row],[Exit]]="",DATEDIF(Table1[[#This Row],[Hire]],TODAY(),"Y"),DATEDIF(Table1[[#This Row],[Hire]],Table1[[#This Row],[Exit]],"Y"))</f>
        <v>1</v>
      </c>
      <c r="N43">
        <f>FLOOR(Table1[[#This Row],[Age]],10)</f>
        <v>20</v>
      </c>
      <c r="O43" t="str">
        <f>IF(Table1[[#This Row],[Age]]&lt;30,"20-29",IF(Table1[[#This Row],[Age]]&lt;40,"30-39",IF(Table1[[#This Row],[Age]]&lt;50,"40-49",IF(Table1[[#This Row],[Age]]&lt;60,"50-59","60+"))))</f>
        <v>20-29</v>
      </c>
    </row>
    <row r="44" spans="1:15" x14ac:dyDescent="0.25">
      <c r="A44" t="s">
        <v>121</v>
      </c>
      <c r="B44" t="s">
        <v>122</v>
      </c>
      <c r="C44" t="s">
        <v>41</v>
      </c>
      <c r="D44">
        <v>46</v>
      </c>
      <c r="E44" t="s">
        <v>52</v>
      </c>
      <c r="F44" t="s">
        <v>16</v>
      </c>
      <c r="G44" t="s">
        <v>53</v>
      </c>
      <c r="H44" s="1">
        <v>44811</v>
      </c>
      <c r="J44">
        <v>92000</v>
      </c>
      <c r="K44">
        <v>0</v>
      </c>
      <c r="L44" t="s">
        <v>24</v>
      </c>
      <c r="M44">
        <f ca="1">IF(Table1[[#This Row],[Exit]]="",DATEDIF(Table1[[#This Row],[Hire]],TODAY(),"Y"),DATEDIF(Table1[[#This Row],[Hire]],Table1[[#This Row],[Exit]],"Y"))</f>
        <v>3</v>
      </c>
      <c r="N44">
        <f>FLOOR(Table1[[#This Row],[Age]],10)</f>
        <v>40</v>
      </c>
      <c r="O44" t="str">
        <f>IF(Table1[[#This Row],[Age]]&lt;30,"20-29",IF(Table1[[#This Row],[Age]]&lt;40,"30-39",IF(Table1[[#This Row],[Age]]&lt;50,"40-49",IF(Table1[[#This Row],[Age]]&lt;60,"50-59","60+"))))</f>
        <v>40-49</v>
      </c>
    </row>
    <row r="45" spans="1:15" x14ac:dyDescent="0.25">
      <c r="A45" t="s">
        <v>123</v>
      </c>
      <c r="B45" t="s">
        <v>124</v>
      </c>
      <c r="C45" t="s">
        <v>14</v>
      </c>
      <c r="D45">
        <v>31</v>
      </c>
      <c r="E45" t="s">
        <v>42</v>
      </c>
      <c r="F45" t="s">
        <v>46</v>
      </c>
      <c r="G45" t="s">
        <v>53</v>
      </c>
      <c r="H45" s="1">
        <v>44199</v>
      </c>
      <c r="I45" s="1">
        <v>44465</v>
      </c>
      <c r="J45">
        <v>94000</v>
      </c>
      <c r="K45">
        <v>0</v>
      </c>
      <c r="L45" t="s">
        <v>18</v>
      </c>
      <c r="M45">
        <f ca="1">IF(Table1[[#This Row],[Exit]]="",DATEDIF(Table1[[#This Row],[Hire]],TODAY(),"Y"),DATEDIF(Table1[[#This Row],[Hire]],Table1[[#This Row],[Exit]],"Y"))</f>
        <v>0</v>
      </c>
      <c r="N45">
        <f>FLOOR(Table1[[#This Row],[Age]],10)</f>
        <v>30</v>
      </c>
      <c r="O45" t="str">
        <f>IF(Table1[[#This Row],[Age]]&lt;30,"20-29",IF(Table1[[#This Row],[Age]]&lt;40,"30-39",IF(Table1[[#This Row],[Age]]&lt;50,"40-49",IF(Table1[[#This Row],[Age]]&lt;60,"50-59","60+"))))</f>
        <v>30-39</v>
      </c>
    </row>
    <row r="46" spans="1:15" x14ac:dyDescent="0.25">
      <c r="A46" t="s">
        <v>125</v>
      </c>
      <c r="B46" t="s">
        <v>126</v>
      </c>
      <c r="C46" t="s">
        <v>21</v>
      </c>
      <c r="D46">
        <v>45</v>
      </c>
      <c r="E46" t="s">
        <v>58</v>
      </c>
      <c r="F46" t="s">
        <v>59</v>
      </c>
      <c r="G46" t="s">
        <v>34</v>
      </c>
      <c r="H46" s="1">
        <v>45074</v>
      </c>
      <c r="J46">
        <v>96000</v>
      </c>
      <c r="K46">
        <v>0.2</v>
      </c>
      <c r="L46" t="s">
        <v>24</v>
      </c>
      <c r="M46">
        <f ca="1">IF(Table1[[#This Row],[Exit]]="",DATEDIF(Table1[[#This Row],[Hire]],TODAY(),"Y"),DATEDIF(Table1[[#This Row],[Hire]],Table1[[#This Row],[Exit]],"Y"))</f>
        <v>2</v>
      </c>
      <c r="N46">
        <f>FLOOR(Table1[[#This Row],[Age]],10)</f>
        <v>40</v>
      </c>
      <c r="O46" t="str">
        <f>IF(Table1[[#This Row],[Age]]&lt;30,"20-29",IF(Table1[[#This Row],[Age]]&lt;40,"30-39",IF(Table1[[#This Row],[Age]]&lt;50,"40-49",IF(Table1[[#This Row],[Age]]&lt;60,"50-59","60+"))))</f>
        <v>40-49</v>
      </c>
    </row>
    <row r="47" spans="1:15" x14ac:dyDescent="0.25">
      <c r="A47" t="s">
        <v>127</v>
      </c>
      <c r="B47" t="s">
        <v>128</v>
      </c>
      <c r="C47" t="s">
        <v>21</v>
      </c>
      <c r="D47">
        <v>50</v>
      </c>
      <c r="E47" t="s">
        <v>52</v>
      </c>
      <c r="F47" t="s">
        <v>16</v>
      </c>
      <c r="G47" t="s">
        <v>23</v>
      </c>
      <c r="H47" s="1">
        <v>45245</v>
      </c>
      <c r="J47">
        <v>98000</v>
      </c>
      <c r="K47">
        <v>0.09</v>
      </c>
      <c r="L47" t="s">
        <v>24</v>
      </c>
      <c r="M47">
        <f ca="1">IF(Table1[[#This Row],[Exit]]="",DATEDIF(Table1[[#This Row],[Hire]],TODAY(),"Y"),DATEDIF(Table1[[#This Row],[Hire]],Table1[[#This Row],[Exit]],"Y"))</f>
        <v>2</v>
      </c>
      <c r="N47">
        <f>FLOOR(Table1[[#This Row],[Age]],10)</f>
        <v>50</v>
      </c>
      <c r="O47" t="str">
        <f>IF(Table1[[#This Row],[Age]]&lt;30,"20-29",IF(Table1[[#This Row],[Age]]&lt;40,"30-39",IF(Table1[[#This Row],[Age]]&lt;50,"40-49",IF(Table1[[#This Row],[Age]]&lt;60,"50-59","60+"))))</f>
        <v>50-59</v>
      </c>
    </row>
    <row r="48" spans="1:15" x14ac:dyDescent="0.25">
      <c r="A48" t="s">
        <v>129</v>
      </c>
      <c r="B48" t="s">
        <v>130</v>
      </c>
      <c r="C48" t="s">
        <v>21</v>
      </c>
      <c r="D48">
        <v>46</v>
      </c>
      <c r="E48" t="s">
        <v>52</v>
      </c>
      <c r="F48" t="s">
        <v>16</v>
      </c>
      <c r="G48" t="s">
        <v>34</v>
      </c>
      <c r="H48" s="1">
        <v>43851</v>
      </c>
      <c r="J48">
        <v>100000</v>
      </c>
      <c r="K48">
        <v>0</v>
      </c>
      <c r="L48" t="s">
        <v>24</v>
      </c>
      <c r="M48">
        <f ca="1">IF(Table1[[#This Row],[Exit]]="",DATEDIF(Table1[[#This Row],[Hire]],TODAY(),"Y"),DATEDIF(Table1[[#This Row],[Hire]],Table1[[#This Row],[Exit]],"Y"))</f>
        <v>6</v>
      </c>
      <c r="N48">
        <f>FLOOR(Table1[[#This Row],[Age]],10)</f>
        <v>40</v>
      </c>
      <c r="O48" t="str">
        <f>IF(Table1[[#This Row],[Age]]&lt;30,"20-29",IF(Table1[[#This Row],[Age]]&lt;40,"30-39",IF(Table1[[#This Row],[Age]]&lt;50,"40-49",IF(Table1[[#This Row],[Age]]&lt;60,"50-59","60+"))))</f>
        <v>40-49</v>
      </c>
    </row>
    <row r="49" spans="1:15" x14ac:dyDescent="0.25">
      <c r="A49" t="s">
        <v>131</v>
      </c>
      <c r="B49" t="s">
        <v>132</v>
      </c>
      <c r="C49" t="s">
        <v>21</v>
      </c>
      <c r="D49">
        <v>45</v>
      </c>
      <c r="E49" t="s">
        <v>66</v>
      </c>
      <c r="F49" t="s">
        <v>16</v>
      </c>
      <c r="G49" t="s">
        <v>17</v>
      </c>
      <c r="H49" s="1">
        <v>45206</v>
      </c>
      <c r="J49">
        <v>102000</v>
      </c>
      <c r="K49">
        <v>0.4</v>
      </c>
      <c r="L49" t="s">
        <v>24</v>
      </c>
      <c r="M49">
        <f ca="1">IF(Table1[[#This Row],[Exit]]="",DATEDIF(Table1[[#This Row],[Hire]],TODAY(),"Y"),DATEDIF(Table1[[#This Row],[Hire]],Table1[[#This Row],[Exit]],"Y"))</f>
        <v>2</v>
      </c>
      <c r="N49">
        <f>FLOOR(Table1[[#This Row],[Age]],10)</f>
        <v>40</v>
      </c>
      <c r="O49" t="str">
        <f>IF(Table1[[#This Row],[Age]]&lt;30,"20-29",IF(Table1[[#This Row],[Age]]&lt;40,"30-39",IF(Table1[[#This Row],[Age]]&lt;50,"40-49",IF(Table1[[#This Row],[Age]]&lt;60,"50-59","60+"))))</f>
        <v>40-49</v>
      </c>
    </row>
    <row r="50" spans="1:15" x14ac:dyDescent="0.25">
      <c r="A50" t="s">
        <v>133</v>
      </c>
      <c r="B50" t="s">
        <v>134</v>
      </c>
      <c r="C50" t="s">
        <v>21</v>
      </c>
      <c r="D50">
        <v>29</v>
      </c>
      <c r="E50" t="s">
        <v>58</v>
      </c>
      <c r="F50" t="s">
        <v>59</v>
      </c>
      <c r="G50" t="s">
        <v>23</v>
      </c>
      <c r="H50" s="1">
        <v>43940</v>
      </c>
      <c r="I50" s="1">
        <v>44647</v>
      </c>
      <c r="J50">
        <v>104000</v>
      </c>
      <c r="K50">
        <v>0</v>
      </c>
      <c r="L50" t="s">
        <v>18</v>
      </c>
      <c r="M50">
        <f ca="1">IF(Table1[[#This Row],[Exit]]="",DATEDIF(Table1[[#This Row],[Hire]],TODAY(),"Y"),DATEDIF(Table1[[#This Row],[Hire]],Table1[[#This Row],[Exit]],"Y"))</f>
        <v>1</v>
      </c>
      <c r="N50">
        <f>FLOOR(Table1[[#This Row],[Age]],10)</f>
        <v>20</v>
      </c>
      <c r="O50" t="str">
        <f>IF(Table1[[#This Row],[Age]]&lt;30,"20-29",IF(Table1[[#This Row],[Age]]&lt;40,"30-39",IF(Table1[[#This Row],[Age]]&lt;50,"40-49",IF(Table1[[#This Row],[Age]]&lt;60,"50-59","60+"))))</f>
        <v>20-29</v>
      </c>
    </row>
    <row r="51" spans="1:15" x14ac:dyDescent="0.25">
      <c r="A51" t="s">
        <v>135</v>
      </c>
      <c r="B51" t="s">
        <v>136</v>
      </c>
      <c r="C51" t="s">
        <v>21</v>
      </c>
      <c r="D51">
        <v>41</v>
      </c>
      <c r="E51" t="s">
        <v>66</v>
      </c>
      <c r="F51" t="s">
        <v>16</v>
      </c>
      <c r="G51" t="s">
        <v>34</v>
      </c>
      <c r="H51" s="1">
        <v>44083</v>
      </c>
      <c r="I51" s="1">
        <v>45514</v>
      </c>
      <c r="J51">
        <v>106000</v>
      </c>
      <c r="K51">
        <v>0</v>
      </c>
      <c r="L51" t="s">
        <v>18</v>
      </c>
      <c r="M51">
        <f ca="1">IF(Table1[[#This Row],[Exit]]="",DATEDIF(Table1[[#This Row],[Hire]],TODAY(),"Y"),DATEDIF(Table1[[#This Row],[Hire]],Table1[[#This Row],[Exit]],"Y"))</f>
        <v>3</v>
      </c>
      <c r="N51">
        <f>FLOOR(Table1[[#This Row],[Age]],10)</f>
        <v>40</v>
      </c>
      <c r="O51" t="str">
        <f>IF(Table1[[#This Row],[Age]]&lt;30,"20-29",IF(Table1[[#This Row],[Age]]&lt;40,"30-39",IF(Table1[[#This Row],[Age]]&lt;50,"40-49",IF(Table1[[#This Row],[Age]]&lt;60,"50-59","60+"))))</f>
        <v>40-49</v>
      </c>
    </row>
    <row r="52" spans="1:15" x14ac:dyDescent="0.25">
      <c r="A52" t="s">
        <v>137</v>
      </c>
      <c r="B52" t="s">
        <v>138</v>
      </c>
      <c r="C52" t="s">
        <v>14</v>
      </c>
      <c r="D52">
        <v>47</v>
      </c>
      <c r="E52" t="s">
        <v>66</v>
      </c>
      <c r="F52" t="s">
        <v>16</v>
      </c>
      <c r="G52" t="s">
        <v>53</v>
      </c>
      <c r="H52" s="1">
        <v>45233</v>
      </c>
      <c r="I52" s="1">
        <v>45430</v>
      </c>
      <c r="J52">
        <v>108000</v>
      </c>
      <c r="K52">
        <v>0.08</v>
      </c>
      <c r="L52" t="s">
        <v>18</v>
      </c>
      <c r="M52">
        <f ca="1">IF(Table1[[#This Row],[Exit]]="",DATEDIF(Table1[[#This Row],[Hire]],TODAY(),"Y"),DATEDIF(Table1[[#This Row],[Hire]],Table1[[#This Row],[Exit]],"Y"))</f>
        <v>0</v>
      </c>
      <c r="N52">
        <f>FLOOR(Table1[[#This Row],[Age]],10)</f>
        <v>40</v>
      </c>
      <c r="O52" t="str">
        <f>IF(Table1[[#This Row],[Age]]&lt;30,"20-29",IF(Table1[[#This Row],[Age]]&lt;40,"30-39",IF(Table1[[#This Row],[Age]]&lt;50,"40-49",IF(Table1[[#This Row],[Age]]&lt;60,"50-59","60+"))))</f>
        <v>40-49</v>
      </c>
    </row>
    <row r="53" spans="1:15" x14ac:dyDescent="0.25">
      <c r="A53" t="s">
        <v>139</v>
      </c>
      <c r="B53" t="s">
        <v>140</v>
      </c>
      <c r="C53" t="s">
        <v>41</v>
      </c>
      <c r="D53">
        <v>46</v>
      </c>
      <c r="E53" t="s">
        <v>58</v>
      </c>
      <c r="F53" t="s">
        <v>59</v>
      </c>
      <c r="G53" t="s">
        <v>53</v>
      </c>
      <c r="H53" s="1">
        <v>45412</v>
      </c>
      <c r="J53">
        <v>110000</v>
      </c>
      <c r="K53">
        <v>0</v>
      </c>
      <c r="L53" t="s">
        <v>24</v>
      </c>
      <c r="M53">
        <f ca="1">IF(Table1[[#This Row],[Exit]]="",DATEDIF(Table1[[#This Row],[Hire]],TODAY(),"Y"),DATEDIF(Table1[[#This Row],[Hire]],Table1[[#This Row],[Exit]],"Y"))</f>
        <v>1</v>
      </c>
      <c r="N53">
        <f>FLOOR(Table1[[#This Row],[Age]],10)</f>
        <v>40</v>
      </c>
      <c r="O53" t="str">
        <f>IF(Table1[[#This Row],[Age]]&lt;30,"20-29",IF(Table1[[#This Row],[Age]]&lt;40,"30-39",IF(Table1[[#This Row],[Age]]&lt;50,"40-49",IF(Table1[[#This Row],[Age]]&lt;60,"50-59","60+"))))</f>
        <v>40-49</v>
      </c>
    </row>
    <row r="54" spans="1:15" x14ac:dyDescent="0.25">
      <c r="A54" t="s">
        <v>141</v>
      </c>
      <c r="B54" t="s">
        <v>142</v>
      </c>
      <c r="C54" t="s">
        <v>14</v>
      </c>
      <c r="D54">
        <v>40</v>
      </c>
      <c r="E54" t="s">
        <v>15</v>
      </c>
      <c r="F54" t="s">
        <v>16</v>
      </c>
      <c r="G54" t="s">
        <v>53</v>
      </c>
      <c r="H54" s="1">
        <v>43887</v>
      </c>
      <c r="J54">
        <v>112000</v>
      </c>
      <c r="K54">
        <v>0.15</v>
      </c>
      <c r="L54" t="s">
        <v>24</v>
      </c>
      <c r="M54">
        <f ca="1">IF(Table1[[#This Row],[Exit]]="",DATEDIF(Table1[[#This Row],[Hire]],TODAY(),"Y"),DATEDIF(Table1[[#This Row],[Hire]],Table1[[#This Row],[Exit]],"Y"))</f>
        <v>5</v>
      </c>
      <c r="N54">
        <f>FLOOR(Table1[[#This Row],[Age]],10)</f>
        <v>40</v>
      </c>
      <c r="O54" t="str">
        <f>IF(Table1[[#This Row],[Age]]&lt;30,"20-29",IF(Table1[[#This Row],[Age]]&lt;40,"30-39",IF(Table1[[#This Row],[Age]]&lt;50,"40-49",IF(Table1[[#This Row],[Age]]&lt;60,"50-59","60+"))))</f>
        <v>40-49</v>
      </c>
    </row>
    <row r="55" spans="1:15" x14ac:dyDescent="0.25">
      <c r="A55" t="s">
        <v>143</v>
      </c>
      <c r="B55" t="s">
        <v>144</v>
      </c>
      <c r="C55" t="s">
        <v>21</v>
      </c>
      <c r="D55">
        <v>45</v>
      </c>
      <c r="E55" t="s">
        <v>22</v>
      </c>
      <c r="F55" t="s">
        <v>16</v>
      </c>
      <c r="G55" t="s">
        <v>53</v>
      </c>
      <c r="H55" s="1">
        <v>44815</v>
      </c>
      <c r="J55">
        <v>114000</v>
      </c>
      <c r="K55">
        <v>0</v>
      </c>
      <c r="L55" t="s">
        <v>24</v>
      </c>
      <c r="M55">
        <f ca="1">IF(Table1[[#This Row],[Exit]]="",DATEDIF(Table1[[#This Row],[Hire]],TODAY(),"Y"),DATEDIF(Table1[[#This Row],[Hire]],Table1[[#This Row],[Exit]],"Y"))</f>
        <v>3</v>
      </c>
      <c r="N55">
        <f>FLOOR(Table1[[#This Row],[Age]],10)</f>
        <v>40</v>
      </c>
      <c r="O55" t="str">
        <f>IF(Table1[[#This Row],[Age]]&lt;30,"20-29",IF(Table1[[#This Row],[Age]]&lt;40,"30-39",IF(Table1[[#This Row],[Age]]&lt;50,"40-49",IF(Table1[[#This Row],[Age]]&lt;60,"50-59","60+"))))</f>
        <v>40-49</v>
      </c>
    </row>
    <row r="56" spans="1:15" x14ac:dyDescent="0.25">
      <c r="A56" t="s">
        <v>145</v>
      </c>
      <c r="B56" t="s">
        <v>146</v>
      </c>
      <c r="C56" t="s">
        <v>41</v>
      </c>
      <c r="D56">
        <v>26</v>
      </c>
      <c r="E56" t="s">
        <v>81</v>
      </c>
      <c r="F56" t="s">
        <v>43</v>
      </c>
      <c r="G56" t="s">
        <v>53</v>
      </c>
      <c r="H56" s="1">
        <v>45430</v>
      </c>
      <c r="J56">
        <v>116000</v>
      </c>
      <c r="K56">
        <v>0.11</v>
      </c>
      <c r="L56" t="s">
        <v>24</v>
      </c>
      <c r="M56">
        <f ca="1">IF(Table1[[#This Row],[Exit]]="",DATEDIF(Table1[[#This Row],[Hire]],TODAY(),"Y"),DATEDIF(Table1[[#This Row],[Hire]],Table1[[#This Row],[Exit]],"Y"))</f>
        <v>1</v>
      </c>
      <c r="N56">
        <f>FLOOR(Table1[[#This Row],[Age]],10)</f>
        <v>20</v>
      </c>
      <c r="O56" t="str">
        <f>IF(Table1[[#This Row],[Age]]&lt;30,"20-29",IF(Table1[[#This Row],[Age]]&lt;40,"30-39",IF(Table1[[#This Row],[Age]]&lt;50,"40-49",IF(Table1[[#This Row],[Age]]&lt;60,"50-59","60+"))))</f>
        <v>20-29</v>
      </c>
    </row>
    <row r="57" spans="1:15" x14ac:dyDescent="0.25">
      <c r="A57" t="s">
        <v>147</v>
      </c>
      <c r="B57" t="s">
        <v>148</v>
      </c>
      <c r="C57" t="s">
        <v>14</v>
      </c>
      <c r="D57">
        <v>35</v>
      </c>
      <c r="E57" t="s">
        <v>52</v>
      </c>
      <c r="F57" t="s">
        <v>16</v>
      </c>
      <c r="G57" t="s">
        <v>17</v>
      </c>
      <c r="H57" s="1">
        <v>44509</v>
      </c>
      <c r="J57">
        <v>118000</v>
      </c>
      <c r="K57">
        <v>0</v>
      </c>
      <c r="L57" t="s">
        <v>24</v>
      </c>
      <c r="M57">
        <f ca="1">IF(Table1[[#This Row],[Exit]]="",DATEDIF(Table1[[#This Row],[Hire]],TODAY(),"Y"),DATEDIF(Table1[[#This Row],[Hire]],Table1[[#This Row],[Exit]],"Y"))</f>
        <v>4</v>
      </c>
      <c r="N57">
        <f>FLOOR(Table1[[#This Row],[Age]],10)</f>
        <v>30</v>
      </c>
      <c r="O57" t="str">
        <f>IF(Table1[[#This Row],[Age]]&lt;30,"20-29",IF(Table1[[#This Row],[Age]]&lt;40,"30-39",IF(Table1[[#This Row],[Age]]&lt;50,"40-49",IF(Table1[[#This Row],[Age]]&lt;60,"50-59","60+"))))</f>
        <v>30-39</v>
      </c>
    </row>
    <row r="58" spans="1:15" x14ac:dyDescent="0.25">
      <c r="A58" t="s">
        <v>149</v>
      </c>
      <c r="B58" t="s">
        <v>150</v>
      </c>
      <c r="C58" t="s">
        <v>21</v>
      </c>
      <c r="D58">
        <v>29</v>
      </c>
      <c r="E58" t="s">
        <v>66</v>
      </c>
      <c r="F58" t="s">
        <v>16</v>
      </c>
      <c r="G58" t="s">
        <v>23</v>
      </c>
      <c r="H58" s="1">
        <v>43963</v>
      </c>
      <c r="I58" s="1">
        <v>44907</v>
      </c>
      <c r="J58">
        <v>120000</v>
      </c>
      <c r="K58">
        <v>0.28000000000000003</v>
      </c>
      <c r="L58" t="s">
        <v>18</v>
      </c>
      <c r="M58">
        <f ca="1">IF(Table1[[#This Row],[Exit]]="",DATEDIF(Table1[[#This Row],[Hire]],TODAY(),"Y"),DATEDIF(Table1[[#This Row],[Hire]],Table1[[#This Row],[Exit]],"Y"))</f>
        <v>2</v>
      </c>
      <c r="N58">
        <f>FLOOR(Table1[[#This Row],[Age]],10)</f>
        <v>20</v>
      </c>
      <c r="O58" t="str">
        <f>IF(Table1[[#This Row],[Age]]&lt;30,"20-29",IF(Table1[[#This Row],[Age]]&lt;40,"30-39",IF(Table1[[#This Row],[Age]]&lt;50,"40-49",IF(Table1[[#This Row],[Age]]&lt;60,"50-59","60+"))))</f>
        <v>20-29</v>
      </c>
    </row>
    <row r="59" spans="1:15" x14ac:dyDescent="0.25">
      <c r="A59" t="s">
        <v>151</v>
      </c>
      <c r="B59" t="s">
        <v>152</v>
      </c>
      <c r="C59" t="s">
        <v>21</v>
      </c>
      <c r="D59">
        <v>35</v>
      </c>
      <c r="E59" t="s">
        <v>31</v>
      </c>
      <c r="F59" t="s">
        <v>16</v>
      </c>
      <c r="G59" t="s">
        <v>53</v>
      </c>
      <c r="H59" s="1">
        <v>44815</v>
      </c>
      <c r="J59">
        <v>122000</v>
      </c>
      <c r="K59">
        <v>0.27</v>
      </c>
      <c r="L59" t="s">
        <v>24</v>
      </c>
      <c r="M59">
        <f ca="1">IF(Table1[[#This Row],[Exit]]="",DATEDIF(Table1[[#This Row],[Hire]],TODAY(),"Y"),DATEDIF(Table1[[#This Row],[Hire]],Table1[[#This Row],[Exit]],"Y"))</f>
        <v>3</v>
      </c>
      <c r="N59">
        <f>FLOOR(Table1[[#This Row],[Age]],10)</f>
        <v>30</v>
      </c>
      <c r="O59" t="str">
        <f>IF(Table1[[#This Row],[Age]]&lt;30,"20-29",IF(Table1[[#This Row],[Age]]&lt;40,"30-39",IF(Table1[[#This Row],[Age]]&lt;50,"40-49",IF(Table1[[#This Row],[Age]]&lt;60,"50-59","60+"))))</f>
        <v>30-39</v>
      </c>
    </row>
    <row r="60" spans="1:15" x14ac:dyDescent="0.25">
      <c r="A60" t="s">
        <v>153</v>
      </c>
      <c r="B60" t="s">
        <v>154</v>
      </c>
      <c r="C60" t="s">
        <v>21</v>
      </c>
      <c r="D60">
        <v>27</v>
      </c>
      <c r="E60" t="s">
        <v>81</v>
      </c>
      <c r="F60" t="s">
        <v>49</v>
      </c>
      <c r="G60" t="s">
        <v>34</v>
      </c>
      <c r="H60" s="1">
        <v>44857</v>
      </c>
      <c r="J60">
        <v>124000</v>
      </c>
      <c r="K60">
        <v>0</v>
      </c>
      <c r="L60" t="s">
        <v>24</v>
      </c>
      <c r="M60">
        <f ca="1">IF(Table1[[#This Row],[Exit]]="",DATEDIF(Table1[[#This Row],[Hire]],TODAY(),"Y"),DATEDIF(Table1[[#This Row],[Hire]],Table1[[#This Row],[Exit]],"Y"))</f>
        <v>3</v>
      </c>
      <c r="N60">
        <f>FLOOR(Table1[[#This Row],[Age]],10)</f>
        <v>20</v>
      </c>
      <c r="O60" t="str">
        <f>IF(Table1[[#This Row],[Age]]&lt;30,"20-29",IF(Table1[[#This Row],[Age]]&lt;40,"30-39",IF(Table1[[#This Row],[Age]]&lt;50,"40-49",IF(Table1[[#This Row],[Age]]&lt;60,"50-59","60+"))))</f>
        <v>20-29</v>
      </c>
    </row>
    <row r="61" spans="1:15" x14ac:dyDescent="0.25">
      <c r="A61" t="s">
        <v>155</v>
      </c>
      <c r="B61" t="s">
        <v>156</v>
      </c>
      <c r="C61" t="s">
        <v>21</v>
      </c>
      <c r="D61">
        <v>26</v>
      </c>
      <c r="E61" t="s">
        <v>92</v>
      </c>
      <c r="F61" t="s">
        <v>59</v>
      </c>
      <c r="G61" t="s">
        <v>53</v>
      </c>
      <c r="H61" s="1">
        <v>45527</v>
      </c>
      <c r="J61">
        <v>126000</v>
      </c>
      <c r="K61">
        <v>0.3</v>
      </c>
      <c r="L61" t="s">
        <v>24</v>
      </c>
      <c r="M61">
        <f ca="1">IF(Table1[[#This Row],[Exit]]="",DATEDIF(Table1[[#This Row],[Hire]],TODAY(),"Y"),DATEDIF(Table1[[#This Row],[Hire]],Table1[[#This Row],[Exit]],"Y"))</f>
        <v>1</v>
      </c>
      <c r="N61">
        <f>FLOOR(Table1[[#This Row],[Age]],10)</f>
        <v>20</v>
      </c>
      <c r="O61" t="str">
        <f>IF(Table1[[#This Row],[Age]]&lt;30,"20-29",IF(Table1[[#This Row],[Age]]&lt;40,"30-39",IF(Table1[[#This Row],[Age]]&lt;50,"40-49",IF(Table1[[#This Row],[Age]]&lt;60,"50-59","60+"))))</f>
        <v>20-29</v>
      </c>
    </row>
    <row r="62" spans="1:15" x14ac:dyDescent="0.25">
      <c r="A62" t="s">
        <v>157</v>
      </c>
      <c r="B62" t="s">
        <v>158</v>
      </c>
      <c r="C62" t="s">
        <v>14</v>
      </c>
      <c r="D62">
        <v>27</v>
      </c>
      <c r="E62" t="s">
        <v>81</v>
      </c>
      <c r="F62" t="s">
        <v>46</v>
      </c>
      <c r="G62" t="s">
        <v>23</v>
      </c>
      <c r="H62" s="1">
        <v>45237</v>
      </c>
      <c r="J62">
        <v>128000</v>
      </c>
      <c r="K62">
        <v>0</v>
      </c>
      <c r="L62" t="s">
        <v>24</v>
      </c>
      <c r="M62">
        <f ca="1">IF(Table1[[#This Row],[Exit]]="",DATEDIF(Table1[[#This Row],[Hire]],TODAY(),"Y"),DATEDIF(Table1[[#This Row],[Hire]],Table1[[#This Row],[Exit]],"Y"))</f>
        <v>2</v>
      </c>
      <c r="N62">
        <f>FLOOR(Table1[[#This Row],[Age]],10)</f>
        <v>20</v>
      </c>
      <c r="O62" t="str">
        <f>IF(Table1[[#This Row],[Age]]&lt;30,"20-29",IF(Table1[[#This Row],[Age]]&lt;40,"30-39",IF(Table1[[#This Row],[Age]]&lt;50,"40-49",IF(Table1[[#This Row],[Age]]&lt;60,"50-59","60+"))))</f>
        <v>20-29</v>
      </c>
    </row>
    <row r="63" spans="1:15" x14ac:dyDescent="0.25">
      <c r="A63" t="s">
        <v>159</v>
      </c>
      <c r="B63" t="s">
        <v>160</v>
      </c>
      <c r="C63" t="s">
        <v>14</v>
      </c>
      <c r="D63">
        <v>30</v>
      </c>
      <c r="E63" t="s">
        <v>22</v>
      </c>
      <c r="F63" t="s">
        <v>16</v>
      </c>
      <c r="G63" t="s">
        <v>34</v>
      </c>
      <c r="H63" s="1">
        <v>45206</v>
      </c>
      <c r="J63">
        <v>130000</v>
      </c>
      <c r="K63">
        <v>0</v>
      </c>
      <c r="L63" t="s">
        <v>24</v>
      </c>
      <c r="M63">
        <f ca="1">IF(Table1[[#This Row],[Exit]]="",DATEDIF(Table1[[#This Row],[Hire]],TODAY(),"Y"),DATEDIF(Table1[[#This Row],[Hire]],Table1[[#This Row],[Exit]],"Y"))</f>
        <v>2</v>
      </c>
      <c r="N63">
        <f>FLOOR(Table1[[#This Row],[Age]],10)</f>
        <v>30</v>
      </c>
      <c r="O63" t="str">
        <f>IF(Table1[[#This Row],[Age]]&lt;30,"20-29",IF(Table1[[#This Row],[Age]]&lt;40,"30-39",IF(Table1[[#This Row],[Age]]&lt;50,"40-49",IF(Table1[[#This Row],[Age]]&lt;60,"50-59","60+"))))</f>
        <v>30-39</v>
      </c>
    </row>
    <row r="64" spans="1:15" x14ac:dyDescent="0.25">
      <c r="A64" t="s">
        <v>161</v>
      </c>
      <c r="B64" t="s">
        <v>162</v>
      </c>
      <c r="C64" t="s">
        <v>14</v>
      </c>
      <c r="D64">
        <v>36</v>
      </c>
      <c r="E64" t="s">
        <v>92</v>
      </c>
      <c r="F64" t="s">
        <v>59</v>
      </c>
      <c r="G64" t="s">
        <v>34</v>
      </c>
      <c r="H64" s="1">
        <v>44677</v>
      </c>
      <c r="J64">
        <v>132000</v>
      </c>
      <c r="K64">
        <v>0</v>
      </c>
      <c r="L64" t="s">
        <v>24</v>
      </c>
      <c r="M64">
        <f ca="1">IF(Table1[[#This Row],[Exit]]="",DATEDIF(Table1[[#This Row],[Hire]],TODAY(),"Y"),DATEDIF(Table1[[#This Row],[Hire]],Table1[[#This Row],[Exit]],"Y"))</f>
        <v>3</v>
      </c>
      <c r="N64">
        <f>FLOOR(Table1[[#This Row],[Age]],10)</f>
        <v>30</v>
      </c>
      <c r="O64" t="str">
        <f>IF(Table1[[#This Row],[Age]]&lt;30,"20-29",IF(Table1[[#This Row],[Age]]&lt;40,"30-39",IF(Table1[[#This Row],[Age]]&lt;50,"40-49",IF(Table1[[#This Row],[Age]]&lt;60,"50-59","60+"))))</f>
        <v>30-39</v>
      </c>
    </row>
    <row r="65" spans="1:15" x14ac:dyDescent="0.25">
      <c r="A65" t="s">
        <v>163</v>
      </c>
      <c r="B65" t="s">
        <v>164</v>
      </c>
      <c r="C65" t="s">
        <v>14</v>
      </c>
      <c r="D65">
        <v>45</v>
      </c>
      <c r="E65" t="s">
        <v>31</v>
      </c>
      <c r="F65" t="s">
        <v>16</v>
      </c>
      <c r="G65" t="s">
        <v>17</v>
      </c>
      <c r="H65" s="1">
        <v>43889</v>
      </c>
      <c r="I65" s="1">
        <v>45282</v>
      </c>
      <c r="J65">
        <v>134000</v>
      </c>
      <c r="K65">
        <v>0.1</v>
      </c>
      <c r="L65" t="s">
        <v>18</v>
      </c>
      <c r="M65">
        <f ca="1">IF(Table1[[#This Row],[Exit]]="",DATEDIF(Table1[[#This Row],[Hire]],TODAY(),"Y"),DATEDIF(Table1[[#This Row],[Hire]],Table1[[#This Row],[Exit]],"Y"))</f>
        <v>3</v>
      </c>
      <c r="N65">
        <f>FLOOR(Table1[[#This Row],[Age]],10)</f>
        <v>40</v>
      </c>
      <c r="O65" t="str">
        <f>IF(Table1[[#This Row],[Age]]&lt;30,"20-29",IF(Table1[[#This Row],[Age]]&lt;40,"30-39",IF(Table1[[#This Row],[Age]]&lt;50,"40-49",IF(Table1[[#This Row],[Age]]&lt;60,"50-59","60+"))))</f>
        <v>40-49</v>
      </c>
    </row>
    <row r="66" spans="1:15" x14ac:dyDescent="0.25">
      <c r="A66" t="s">
        <v>165</v>
      </c>
      <c r="B66" t="s">
        <v>166</v>
      </c>
      <c r="C66" t="s">
        <v>14</v>
      </c>
      <c r="D66">
        <v>37</v>
      </c>
      <c r="E66" t="s">
        <v>15</v>
      </c>
      <c r="F66" t="s">
        <v>16</v>
      </c>
      <c r="G66" t="s">
        <v>17</v>
      </c>
      <c r="H66" s="1">
        <v>44116</v>
      </c>
      <c r="I66" s="1">
        <v>45332</v>
      </c>
      <c r="J66">
        <v>136000</v>
      </c>
      <c r="K66">
        <v>0.15</v>
      </c>
      <c r="L66" t="s">
        <v>18</v>
      </c>
      <c r="M66">
        <f ca="1">IF(Table1[[#This Row],[Exit]]="",DATEDIF(Table1[[#This Row],[Hire]],TODAY(),"Y"),DATEDIF(Table1[[#This Row],[Hire]],Table1[[#This Row],[Exit]],"Y"))</f>
        <v>3</v>
      </c>
      <c r="N66">
        <f>FLOOR(Table1[[#This Row],[Age]],10)</f>
        <v>30</v>
      </c>
      <c r="O66" t="str">
        <f>IF(Table1[[#This Row],[Age]]&lt;30,"20-29",IF(Table1[[#This Row],[Age]]&lt;40,"30-39",IF(Table1[[#This Row],[Age]]&lt;50,"40-49",IF(Table1[[#This Row],[Age]]&lt;60,"50-59","60+"))))</f>
        <v>30-39</v>
      </c>
    </row>
    <row r="67" spans="1:15" x14ac:dyDescent="0.25">
      <c r="A67" t="s">
        <v>167</v>
      </c>
      <c r="B67" t="s">
        <v>168</v>
      </c>
      <c r="C67" t="s">
        <v>14</v>
      </c>
      <c r="D67">
        <v>38</v>
      </c>
      <c r="E67" t="s">
        <v>22</v>
      </c>
      <c r="F67" t="s">
        <v>16</v>
      </c>
      <c r="G67" t="s">
        <v>23</v>
      </c>
      <c r="H67" s="1">
        <v>44588</v>
      </c>
      <c r="I67" s="1">
        <v>45430</v>
      </c>
      <c r="J67">
        <v>138000</v>
      </c>
      <c r="K67">
        <v>0</v>
      </c>
      <c r="L67" t="s">
        <v>18</v>
      </c>
      <c r="M67">
        <f ca="1">IF(Table1[[#This Row],[Exit]]="",DATEDIF(Table1[[#This Row],[Hire]],TODAY(),"Y"),DATEDIF(Table1[[#This Row],[Hire]],Table1[[#This Row],[Exit]],"Y"))</f>
        <v>2</v>
      </c>
      <c r="N67">
        <f>FLOOR(Table1[[#This Row],[Age]],10)</f>
        <v>30</v>
      </c>
      <c r="O67" t="str">
        <f>IF(Table1[[#This Row],[Age]]&lt;30,"20-29",IF(Table1[[#This Row],[Age]]&lt;40,"30-39",IF(Table1[[#This Row],[Age]]&lt;50,"40-49",IF(Table1[[#This Row],[Age]]&lt;60,"50-59","60+"))))</f>
        <v>30-39</v>
      </c>
    </row>
    <row r="68" spans="1:15" x14ac:dyDescent="0.25">
      <c r="A68" t="s">
        <v>169</v>
      </c>
      <c r="B68" t="s">
        <v>170</v>
      </c>
      <c r="C68" t="s">
        <v>14</v>
      </c>
      <c r="D68">
        <v>45</v>
      </c>
      <c r="E68" t="s">
        <v>27</v>
      </c>
      <c r="F68" t="s">
        <v>28</v>
      </c>
      <c r="G68" t="s">
        <v>17</v>
      </c>
      <c r="H68" s="1">
        <v>45337</v>
      </c>
      <c r="J68">
        <v>140000</v>
      </c>
      <c r="K68">
        <v>0</v>
      </c>
      <c r="L68" t="s">
        <v>24</v>
      </c>
      <c r="M68">
        <f ca="1">IF(Table1[[#This Row],[Exit]]="",DATEDIF(Table1[[#This Row],[Hire]],TODAY(),"Y"),DATEDIF(Table1[[#This Row],[Hire]],Table1[[#This Row],[Exit]],"Y"))</f>
        <v>1</v>
      </c>
      <c r="N68">
        <f>FLOOR(Table1[[#This Row],[Age]],10)</f>
        <v>40</v>
      </c>
      <c r="O68" t="str">
        <f>IF(Table1[[#This Row],[Age]]&lt;30,"20-29",IF(Table1[[#This Row],[Age]]&lt;40,"30-39",IF(Table1[[#This Row],[Age]]&lt;50,"40-49",IF(Table1[[#This Row],[Age]]&lt;60,"50-59","60+"))))</f>
        <v>40-49</v>
      </c>
    </row>
    <row r="69" spans="1:15" x14ac:dyDescent="0.25">
      <c r="A69" t="s">
        <v>171</v>
      </c>
      <c r="B69" t="s">
        <v>172</v>
      </c>
      <c r="C69" t="s">
        <v>14</v>
      </c>
      <c r="D69">
        <v>51</v>
      </c>
      <c r="E69" t="s">
        <v>31</v>
      </c>
      <c r="F69" t="s">
        <v>16</v>
      </c>
      <c r="G69" t="s">
        <v>23</v>
      </c>
      <c r="H69" s="1">
        <v>45332</v>
      </c>
      <c r="J69">
        <v>142000</v>
      </c>
      <c r="K69">
        <v>0</v>
      </c>
      <c r="L69" t="s">
        <v>24</v>
      </c>
      <c r="M69">
        <f ca="1">IF(Table1[[#This Row],[Exit]]="",DATEDIF(Table1[[#This Row],[Hire]],TODAY(),"Y"),DATEDIF(Table1[[#This Row],[Hire]],Table1[[#This Row],[Exit]],"Y"))</f>
        <v>1</v>
      </c>
      <c r="N69">
        <f>FLOOR(Table1[[#This Row],[Age]],10)</f>
        <v>50</v>
      </c>
      <c r="O69" t="str">
        <f>IF(Table1[[#This Row],[Age]]&lt;30,"20-29",IF(Table1[[#This Row],[Age]]&lt;40,"30-39",IF(Table1[[#This Row],[Age]]&lt;50,"40-49",IF(Table1[[#This Row],[Age]]&lt;60,"50-59","60+"))))</f>
        <v>50-59</v>
      </c>
    </row>
    <row r="70" spans="1:15" x14ac:dyDescent="0.25">
      <c r="A70" t="s">
        <v>173</v>
      </c>
      <c r="B70" t="s">
        <v>174</v>
      </c>
      <c r="C70" t="s">
        <v>21</v>
      </c>
      <c r="D70">
        <v>56</v>
      </c>
      <c r="E70" t="s">
        <v>27</v>
      </c>
      <c r="F70" t="s">
        <v>28</v>
      </c>
      <c r="G70" t="s">
        <v>34</v>
      </c>
      <c r="H70" s="1">
        <v>44183</v>
      </c>
      <c r="J70">
        <v>144000</v>
      </c>
      <c r="K70">
        <v>0.13</v>
      </c>
      <c r="L70" t="s">
        <v>24</v>
      </c>
      <c r="M70">
        <f ca="1">IF(Table1[[#This Row],[Exit]]="",DATEDIF(Table1[[#This Row],[Hire]],TODAY(),"Y"),DATEDIF(Table1[[#This Row],[Hire]],Table1[[#This Row],[Exit]],"Y"))</f>
        <v>5</v>
      </c>
      <c r="N70">
        <f>FLOOR(Table1[[#This Row],[Age]],10)</f>
        <v>50</v>
      </c>
      <c r="O70" t="str">
        <f>IF(Table1[[#This Row],[Age]]&lt;30,"20-29",IF(Table1[[#This Row],[Age]]&lt;40,"30-39",IF(Table1[[#This Row],[Age]]&lt;50,"40-49",IF(Table1[[#This Row],[Age]]&lt;60,"50-59","60+"))))</f>
        <v>50-59</v>
      </c>
    </row>
    <row r="71" spans="1:15" x14ac:dyDescent="0.25">
      <c r="A71" t="s">
        <v>175</v>
      </c>
      <c r="B71" t="s">
        <v>176</v>
      </c>
      <c r="C71" t="s">
        <v>14</v>
      </c>
      <c r="D71">
        <v>53</v>
      </c>
      <c r="E71" t="s">
        <v>15</v>
      </c>
      <c r="F71" t="s">
        <v>16</v>
      </c>
      <c r="G71" t="s">
        <v>23</v>
      </c>
      <c r="H71" s="1">
        <v>43837</v>
      </c>
      <c r="J71">
        <v>146000</v>
      </c>
      <c r="K71">
        <v>0.3</v>
      </c>
      <c r="L71" t="s">
        <v>24</v>
      </c>
      <c r="M71">
        <f ca="1">IF(Table1[[#This Row],[Exit]]="",DATEDIF(Table1[[#This Row],[Hire]],TODAY(),"Y"),DATEDIF(Table1[[#This Row],[Hire]],Table1[[#This Row],[Exit]],"Y"))</f>
        <v>6</v>
      </c>
      <c r="N71">
        <f>FLOOR(Table1[[#This Row],[Age]],10)</f>
        <v>50</v>
      </c>
      <c r="O71" t="str">
        <f>IF(Table1[[#This Row],[Age]]&lt;30,"20-29",IF(Table1[[#This Row],[Age]]&lt;40,"30-39",IF(Table1[[#This Row],[Age]]&lt;50,"40-49",IF(Table1[[#This Row],[Age]]&lt;60,"50-59","60+"))))</f>
        <v>50-59</v>
      </c>
    </row>
    <row r="72" spans="1:15" x14ac:dyDescent="0.25">
      <c r="A72" t="s">
        <v>177</v>
      </c>
      <c r="B72" t="s">
        <v>178</v>
      </c>
      <c r="C72" t="s">
        <v>14</v>
      </c>
      <c r="D72">
        <v>47</v>
      </c>
      <c r="E72" t="s">
        <v>15</v>
      </c>
      <c r="F72" t="s">
        <v>16</v>
      </c>
      <c r="G72" t="s">
        <v>34</v>
      </c>
      <c r="H72" s="1">
        <v>45206</v>
      </c>
      <c r="J72">
        <v>148000</v>
      </c>
      <c r="K72">
        <v>0</v>
      </c>
      <c r="L72" t="s">
        <v>24</v>
      </c>
      <c r="M72">
        <f ca="1">IF(Table1[[#This Row],[Exit]]="",DATEDIF(Table1[[#This Row],[Hire]],TODAY(),"Y"),DATEDIF(Table1[[#This Row],[Hire]],Table1[[#This Row],[Exit]],"Y"))</f>
        <v>2</v>
      </c>
      <c r="N72">
        <f>FLOOR(Table1[[#This Row],[Age]],10)</f>
        <v>40</v>
      </c>
      <c r="O72" t="str">
        <f>IF(Table1[[#This Row],[Age]]&lt;30,"20-29",IF(Table1[[#This Row],[Age]]&lt;40,"30-39",IF(Table1[[#This Row],[Age]]&lt;50,"40-49",IF(Table1[[#This Row],[Age]]&lt;60,"50-59","60+"))))</f>
        <v>40-49</v>
      </c>
    </row>
    <row r="73" spans="1:15" x14ac:dyDescent="0.25">
      <c r="A73" t="s">
        <v>179</v>
      </c>
      <c r="B73" t="s">
        <v>180</v>
      </c>
      <c r="C73" t="s">
        <v>14</v>
      </c>
      <c r="D73">
        <v>36</v>
      </c>
      <c r="E73" t="s">
        <v>42</v>
      </c>
      <c r="F73" t="s">
        <v>43</v>
      </c>
      <c r="G73" t="s">
        <v>34</v>
      </c>
      <c r="H73" s="1">
        <v>44487</v>
      </c>
      <c r="J73">
        <v>150000</v>
      </c>
      <c r="K73">
        <v>0.08</v>
      </c>
      <c r="L73" t="s">
        <v>24</v>
      </c>
      <c r="M73">
        <f ca="1">IF(Table1[[#This Row],[Exit]]="",DATEDIF(Table1[[#This Row],[Hire]],TODAY(),"Y"),DATEDIF(Table1[[#This Row],[Hire]],Table1[[#This Row],[Exit]],"Y"))</f>
        <v>4</v>
      </c>
      <c r="N73">
        <f>FLOOR(Table1[[#This Row],[Age]],10)</f>
        <v>30</v>
      </c>
      <c r="O73" t="str">
        <f>IF(Table1[[#This Row],[Age]]&lt;30,"20-29",IF(Table1[[#This Row],[Age]]&lt;40,"30-39",IF(Table1[[#This Row],[Age]]&lt;50,"40-49",IF(Table1[[#This Row],[Age]]&lt;60,"50-59","60+"))))</f>
        <v>30-39</v>
      </c>
    </row>
    <row r="74" spans="1:15" x14ac:dyDescent="0.25">
      <c r="A74" t="s">
        <v>181</v>
      </c>
      <c r="B74" t="s">
        <v>182</v>
      </c>
      <c r="C74" t="s">
        <v>14</v>
      </c>
      <c r="D74">
        <v>41</v>
      </c>
      <c r="E74" t="s">
        <v>42</v>
      </c>
      <c r="F74" t="s">
        <v>46</v>
      </c>
      <c r="G74" t="s">
        <v>23</v>
      </c>
      <c r="H74" s="1">
        <v>44791</v>
      </c>
      <c r="J74">
        <v>152000</v>
      </c>
      <c r="K74">
        <v>0.3</v>
      </c>
      <c r="L74" t="s">
        <v>24</v>
      </c>
      <c r="M74">
        <f ca="1">IF(Table1[[#This Row],[Exit]]="",DATEDIF(Table1[[#This Row],[Hire]],TODAY(),"Y"),DATEDIF(Table1[[#This Row],[Hire]],Table1[[#This Row],[Exit]],"Y"))</f>
        <v>3</v>
      </c>
      <c r="N74">
        <f>FLOOR(Table1[[#This Row],[Age]],10)</f>
        <v>40</v>
      </c>
      <c r="O74" t="str">
        <f>IF(Table1[[#This Row],[Age]]&lt;30,"20-29",IF(Table1[[#This Row],[Age]]&lt;40,"30-39",IF(Table1[[#This Row],[Age]]&lt;50,"40-49",IF(Table1[[#This Row],[Age]]&lt;60,"50-59","60+"))))</f>
        <v>40-49</v>
      </c>
    </row>
    <row r="75" spans="1:15" x14ac:dyDescent="0.25">
      <c r="A75" t="s">
        <v>183</v>
      </c>
      <c r="B75" t="s">
        <v>184</v>
      </c>
      <c r="C75" t="s">
        <v>14</v>
      </c>
      <c r="D75">
        <v>30</v>
      </c>
      <c r="E75" t="s">
        <v>42</v>
      </c>
      <c r="F75" t="s">
        <v>49</v>
      </c>
      <c r="G75" t="s">
        <v>17</v>
      </c>
      <c r="H75" s="1">
        <v>45440</v>
      </c>
      <c r="J75">
        <v>154000</v>
      </c>
      <c r="K75">
        <v>0</v>
      </c>
      <c r="L75" t="s">
        <v>24</v>
      </c>
      <c r="M75">
        <f ca="1">IF(Table1[[#This Row],[Exit]]="",DATEDIF(Table1[[#This Row],[Hire]],TODAY(),"Y"),DATEDIF(Table1[[#This Row],[Hire]],Table1[[#This Row],[Exit]],"Y"))</f>
        <v>1</v>
      </c>
      <c r="N75">
        <f>FLOOR(Table1[[#This Row],[Age]],10)</f>
        <v>30</v>
      </c>
      <c r="O75" t="str">
        <f>IF(Table1[[#This Row],[Age]]&lt;30,"20-29",IF(Table1[[#This Row],[Age]]&lt;40,"30-39",IF(Table1[[#This Row],[Age]]&lt;50,"40-49",IF(Table1[[#This Row],[Age]]&lt;60,"50-59","60+"))))</f>
        <v>30-39</v>
      </c>
    </row>
    <row r="76" spans="1:15" x14ac:dyDescent="0.25">
      <c r="A76" t="s">
        <v>185</v>
      </c>
      <c r="B76" t="s">
        <v>186</v>
      </c>
      <c r="C76" t="s">
        <v>41</v>
      </c>
      <c r="D76">
        <v>30</v>
      </c>
      <c r="E76" t="s">
        <v>52</v>
      </c>
      <c r="F76" t="s">
        <v>16</v>
      </c>
      <c r="G76" t="s">
        <v>53</v>
      </c>
      <c r="H76" s="1">
        <v>44811</v>
      </c>
      <c r="J76">
        <v>156000</v>
      </c>
      <c r="K76">
        <v>0.09</v>
      </c>
      <c r="L76" t="s">
        <v>24</v>
      </c>
      <c r="M76">
        <f ca="1">IF(Table1[[#This Row],[Exit]]="",DATEDIF(Table1[[#This Row],[Hire]],TODAY(),"Y"),DATEDIF(Table1[[#This Row],[Hire]],Table1[[#This Row],[Exit]],"Y"))</f>
        <v>3</v>
      </c>
      <c r="N76">
        <f>FLOOR(Table1[[#This Row],[Age]],10)</f>
        <v>30</v>
      </c>
      <c r="O76" t="str">
        <f>IF(Table1[[#This Row],[Age]]&lt;30,"20-29",IF(Table1[[#This Row],[Age]]&lt;40,"30-39",IF(Table1[[#This Row],[Age]]&lt;50,"40-49",IF(Table1[[#This Row],[Age]]&lt;60,"50-59","60+"))))</f>
        <v>30-39</v>
      </c>
    </row>
    <row r="77" spans="1:15" x14ac:dyDescent="0.25">
      <c r="A77" t="s">
        <v>19</v>
      </c>
      <c r="B77" t="s">
        <v>187</v>
      </c>
      <c r="C77" t="s">
        <v>14</v>
      </c>
      <c r="D77">
        <v>38</v>
      </c>
      <c r="E77" t="s">
        <v>42</v>
      </c>
      <c r="F77" t="s">
        <v>46</v>
      </c>
      <c r="G77" t="s">
        <v>53</v>
      </c>
      <c r="H77" s="1">
        <v>45294</v>
      </c>
      <c r="J77">
        <v>158000</v>
      </c>
      <c r="K77">
        <v>0</v>
      </c>
      <c r="L77" t="s">
        <v>24</v>
      </c>
      <c r="M77">
        <f ca="1">IF(Table1[[#This Row],[Exit]]="",DATEDIF(Table1[[#This Row],[Hire]],TODAY(),"Y"),DATEDIF(Table1[[#This Row],[Hire]],Table1[[#This Row],[Exit]],"Y"))</f>
        <v>2</v>
      </c>
      <c r="N77">
        <f>FLOOR(Table1[[#This Row],[Age]],10)</f>
        <v>30</v>
      </c>
      <c r="O77" t="str">
        <f>IF(Table1[[#This Row],[Age]]&lt;30,"20-29",IF(Table1[[#This Row],[Age]]&lt;40,"30-39",IF(Table1[[#This Row],[Age]]&lt;50,"40-49",IF(Table1[[#This Row],[Age]]&lt;60,"50-59","60+"))))</f>
        <v>30-39</v>
      </c>
    </row>
    <row r="78" spans="1:15" x14ac:dyDescent="0.25">
      <c r="A78" t="s">
        <v>188</v>
      </c>
      <c r="B78" t="s">
        <v>189</v>
      </c>
      <c r="C78" t="s">
        <v>21</v>
      </c>
      <c r="D78">
        <v>28</v>
      </c>
      <c r="E78" t="s">
        <v>58</v>
      </c>
      <c r="F78" t="s">
        <v>59</v>
      </c>
      <c r="G78" t="s">
        <v>34</v>
      </c>
      <c r="H78" s="1">
        <v>45074</v>
      </c>
      <c r="J78">
        <v>160000</v>
      </c>
      <c r="K78">
        <v>0.16</v>
      </c>
      <c r="L78" t="s">
        <v>24</v>
      </c>
      <c r="M78">
        <f ca="1">IF(Table1[[#This Row],[Exit]]="",DATEDIF(Table1[[#This Row],[Hire]],TODAY(),"Y"),DATEDIF(Table1[[#This Row],[Hire]],Table1[[#This Row],[Exit]],"Y"))</f>
        <v>2</v>
      </c>
      <c r="N78">
        <f>FLOOR(Table1[[#This Row],[Age]],10)</f>
        <v>20</v>
      </c>
      <c r="O78" t="str">
        <f>IF(Table1[[#This Row],[Age]]&lt;30,"20-29",IF(Table1[[#This Row],[Age]]&lt;40,"30-39",IF(Table1[[#This Row],[Age]]&lt;50,"40-49",IF(Table1[[#This Row],[Age]]&lt;60,"50-59","60+"))))</f>
        <v>20-29</v>
      </c>
    </row>
    <row r="79" spans="1:15" x14ac:dyDescent="0.25">
      <c r="A79" t="s">
        <v>190</v>
      </c>
      <c r="B79" t="s">
        <v>191</v>
      </c>
      <c r="C79" t="s">
        <v>14</v>
      </c>
      <c r="D79">
        <v>39</v>
      </c>
      <c r="E79" t="s">
        <v>52</v>
      </c>
      <c r="F79" t="s">
        <v>16</v>
      </c>
      <c r="G79" t="s">
        <v>23</v>
      </c>
      <c r="H79" s="1">
        <v>45245</v>
      </c>
      <c r="I79" s="1">
        <v>45514</v>
      </c>
      <c r="J79">
        <v>162000</v>
      </c>
      <c r="K79">
        <v>0</v>
      </c>
      <c r="L79" t="s">
        <v>18</v>
      </c>
      <c r="M79">
        <f ca="1">IF(Table1[[#This Row],[Exit]]="",DATEDIF(Table1[[#This Row],[Hire]],TODAY(),"Y"),DATEDIF(Table1[[#This Row],[Hire]],Table1[[#This Row],[Exit]],"Y"))</f>
        <v>0</v>
      </c>
      <c r="N79">
        <f>FLOOR(Table1[[#This Row],[Age]],10)</f>
        <v>30</v>
      </c>
      <c r="O79" t="str">
        <f>IF(Table1[[#This Row],[Age]]&lt;30,"20-29",IF(Table1[[#This Row],[Age]]&lt;40,"30-39",IF(Table1[[#This Row],[Age]]&lt;50,"40-49",IF(Table1[[#This Row],[Age]]&lt;60,"50-59","60+"))))</f>
        <v>30-39</v>
      </c>
    </row>
    <row r="80" spans="1:15" x14ac:dyDescent="0.25">
      <c r="A80" t="s">
        <v>192</v>
      </c>
      <c r="B80" t="s">
        <v>193</v>
      </c>
      <c r="C80" t="s">
        <v>21</v>
      </c>
      <c r="D80">
        <v>31</v>
      </c>
      <c r="E80" t="s">
        <v>52</v>
      </c>
      <c r="F80" t="s">
        <v>16</v>
      </c>
      <c r="G80" t="s">
        <v>34</v>
      </c>
      <c r="H80" s="1">
        <v>43851</v>
      </c>
      <c r="I80" s="1">
        <v>45332</v>
      </c>
      <c r="J80">
        <v>164000</v>
      </c>
      <c r="K80">
        <v>0.1</v>
      </c>
      <c r="L80" t="s">
        <v>18</v>
      </c>
      <c r="M80">
        <f ca="1">IF(Table1[[#This Row],[Exit]]="",DATEDIF(Table1[[#This Row],[Hire]],TODAY(),"Y"),DATEDIF(Table1[[#This Row],[Hire]],Table1[[#This Row],[Exit]],"Y"))</f>
        <v>4</v>
      </c>
      <c r="N80">
        <f>FLOOR(Table1[[#This Row],[Age]],10)</f>
        <v>30</v>
      </c>
      <c r="O80" t="str">
        <f>IF(Table1[[#This Row],[Age]]&lt;30,"20-29",IF(Table1[[#This Row],[Age]]&lt;40,"30-39",IF(Table1[[#This Row],[Age]]&lt;50,"40-49",IF(Table1[[#This Row],[Age]]&lt;60,"50-59","60+"))))</f>
        <v>30-39</v>
      </c>
    </row>
    <row r="81" spans="1:15" x14ac:dyDescent="0.25">
      <c r="A81" t="s">
        <v>194</v>
      </c>
      <c r="B81" t="s">
        <v>195</v>
      </c>
      <c r="C81" t="s">
        <v>21</v>
      </c>
      <c r="D81">
        <v>45</v>
      </c>
      <c r="E81" t="s">
        <v>66</v>
      </c>
      <c r="F81" t="s">
        <v>16</v>
      </c>
      <c r="G81" t="s">
        <v>17</v>
      </c>
      <c r="H81" s="1">
        <v>45206</v>
      </c>
      <c r="J81">
        <v>166000</v>
      </c>
      <c r="K81">
        <v>0</v>
      </c>
      <c r="L81" t="s">
        <v>24</v>
      </c>
      <c r="M81">
        <f ca="1">IF(Table1[[#This Row],[Exit]]="",DATEDIF(Table1[[#This Row],[Hire]],TODAY(),"Y"),DATEDIF(Table1[[#This Row],[Hire]],Table1[[#This Row],[Exit]],"Y"))</f>
        <v>2</v>
      </c>
      <c r="N81">
        <f>FLOOR(Table1[[#This Row],[Age]],10)</f>
        <v>40</v>
      </c>
      <c r="O81" t="str">
        <f>IF(Table1[[#This Row],[Age]]&lt;30,"20-29",IF(Table1[[#This Row],[Age]]&lt;40,"30-39",IF(Table1[[#This Row],[Age]]&lt;50,"40-49",IF(Table1[[#This Row],[Age]]&lt;60,"50-59","60+"))))</f>
        <v>40-49</v>
      </c>
    </row>
    <row r="82" spans="1:15" x14ac:dyDescent="0.25">
      <c r="A82" t="s">
        <v>196</v>
      </c>
      <c r="B82" t="s">
        <v>197</v>
      </c>
      <c r="C82" t="s">
        <v>21</v>
      </c>
      <c r="D82">
        <v>50</v>
      </c>
      <c r="E82" t="s">
        <v>58</v>
      </c>
      <c r="F82" t="s">
        <v>59</v>
      </c>
      <c r="G82" t="s">
        <v>23</v>
      </c>
      <c r="H82" s="1">
        <v>45401</v>
      </c>
      <c r="J82">
        <v>168000</v>
      </c>
      <c r="K82">
        <v>0</v>
      </c>
      <c r="L82" t="s">
        <v>24</v>
      </c>
      <c r="M82">
        <f ca="1">IF(Table1[[#This Row],[Exit]]="",DATEDIF(Table1[[#This Row],[Hire]],TODAY(),"Y"),DATEDIF(Table1[[#This Row],[Hire]],Table1[[#This Row],[Exit]],"Y"))</f>
        <v>1</v>
      </c>
      <c r="N82">
        <f>FLOOR(Table1[[#This Row],[Age]],10)</f>
        <v>50</v>
      </c>
      <c r="O82" t="str">
        <f>IF(Table1[[#This Row],[Age]]&lt;30,"20-29",IF(Table1[[#This Row],[Age]]&lt;40,"30-39",IF(Table1[[#This Row],[Age]]&lt;50,"40-49",IF(Table1[[#This Row],[Age]]&lt;60,"50-59","60+"))))</f>
        <v>50-59</v>
      </c>
    </row>
    <row r="83" spans="1:15" x14ac:dyDescent="0.25">
      <c r="A83" t="s">
        <v>198</v>
      </c>
      <c r="B83" t="s">
        <v>199</v>
      </c>
      <c r="C83" t="s">
        <v>14</v>
      </c>
      <c r="D83">
        <v>36</v>
      </c>
      <c r="E83" t="s">
        <v>66</v>
      </c>
      <c r="F83" t="s">
        <v>16</v>
      </c>
      <c r="G83" t="s">
        <v>34</v>
      </c>
      <c r="H83" s="1">
        <v>44083</v>
      </c>
      <c r="J83">
        <v>170000</v>
      </c>
      <c r="K83">
        <v>0</v>
      </c>
      <c r="L83" t="s">
        <v>24</v>
      </c>
      <c r="M83">
        <f ca="1">IF(Table1[[#This Row],[Exit]]="",DATEDIF(Table1[[#This Row],[Hire]],TODAY(),"Y"),DATEDIF(Table1[[#This Row],[Hire]],Table1[[#This Row],[Exit]],"Y"))</f>
        <v>5</v>
      </c>
      <c r="N83">
        <f>FLOOR(Table1[[#This Row],[Age]],10)</f>
        <v>30</v>
      </c>
      <c r="O83" t="str">
        <f>IF(Table1[[#This Row],[Age]]&lt;30,"20-29",IF(Table1[[#This Row],[Age]]&lt;40,"30-39",IF(Table1[[#This Row],[Age]]&lt;50,"40-49",IF(Table1[[#This Row],[Age]]&lt;60,"50-59","60+"))))</f>
        <v>30-39</v>
      </c>
    </row>
    <row r="84" spans="1:15" x14ac:dyDescent="0.25">
      <c r="A84" t="s">
        <v>200</v>
      </c>
      <c r="B84" t="s">
        <v>201</v>
      </c>
      <c r="C84" t="s">
        <v>41</v>
      </c>
      <c r="D84">
        <v>45</v>
      </c>
      <c r="E84" t="s">
        <v>66</v>
      </c>
      <c r="F84" t="s">
        <v>16</v>
      </c>
      <c r="G84" t="s">
        <v>53</v>
      </c>
      <c r="H84" s="1">
        <v>45233</v>
      </c>
      <c r="J84">
        <v>172000</v>
      </c>
      <c r="K84">
        <v>0.26</v>
      </c>
      <c r="L84" t="s">
        <v>24</v>
      </c>
      <c r="M84">
        <f ca="1">IF(Table1[[#This Row],[Exit]]="",DATEDIF(Table1[[#This Row],[Hire]],TODAY(),"Y"),DATEDIF(Table1[[#This Row],[Hire]],Table1[[#This Row],[Exit]],"Y"))</f>
        <v>2</v>
      </c>
      <c r="N84">
        <f>FLOOR(Table1[[#This Row],[Age]],10)</f>
        <v>40</v>
      </c>
      <c r="O84" t="str">
        <f>IF(Table1[[#This Row],[Age]]&lt;30,"20-29",IF(Table1[[#This Row],[Age]]&lt;40,"30-39",IF(Table1[[#This Row],[Age]]&lt;50,"40-49",IF(Table1[[#This Row],[Age]]&lt;60,"50-59","60+"))))</f>
        <v>40-49</v>
      </c>
    </row>
    <row r="85" spans="1:15" x14ac:dyDescent="0.25">
      <c r="A85" t="s">
        <v>25</v>
      </c>
      <c r="B85" t="s">
        <v>202</v>
      </c>
      <c r="C85" t="s">
        <v>41</v>
      </c>
      <c r="D85">
        <v>29</v>
      </c>
      <c r="E85" t="s">
        <v>58</v>
      </c>
      <c r="F85" t="s">
        <v>59</v>
      </c>
      <c r="G85" t="s">
        <v>53</v>
      </c>
      <c r="H85" s="1">
        <v>45412</v>
      </c>
      <c r="J85">
        <v>174000</v>
      </c>
      <c r="K85">
        <v>0</v>
      </c>
      <c r="L85" t="s">
        <v>24</v>
      </c>
      <c r="M85">
        <f ca="1">IF(Table1[[#This Row],[Exit]]="",DATEDIF(Table1[[#This Row],[Hire]],TODAY(),"Y"),DATEDIF(Table1[[#This Row],[Hire]],Table1[[#This Row],[Exit]],"Y"))</f>
        <v>1</v>
      </c>
      <c r="N85">
        <f>FLOOR(Table1[[#This Row],[Age]],10)</f>
        <v>20</v>
      </c>
      <c r="O85" t="str">
        <f>IF(Table1[[#This Row],[Age]]&lt;30,"20-29",IF(Table1[[#This Row],[Age]]&lt;40,"30-39",IF(Table1[[#This Row],[Age]]&lt;50,"40-49",IF(Table1[[#This Row],[Age]]&lt;60,"50-59","60+"))))</f>
        <v>20-29</v>
      </c>
    </row>
    <row r="86" spans="1:15" x14ac:dyDescent="0.25">
      <c r="A86" t="s">
        <v>203</v>
      </c>
      <c r="B86" t="s">
        <v>204</v>
      </c>
      <c r="C86" t="s">
        <v>41</v>
      </c>
      <c r="D86">
        <v>41</v>
      </c>
      <c r="E86" t="s">
        <v>15</v>
      </c>
      <c r="F86" t="s">
        <v>16</v>
      </c>
      <c r="G86" t="s">
        <v>53</v>
      </c>
      <c r="H86" s="1">
        <v>43887</v>
      </c>
      <c r="I86" s="1">
        <v>45332</v>
      </c>
      <c r="J86">
        <v>176000</v>
      </c>
      <c r="K86">
        <v>0.15</v>
      </c>
      <c r="L86" t="s">
        <v>18</v>
      </c>
      <c r="M86">
        <f ca="1">IF(Table1[[#This Row],[Exit]]="",DATEDIF(Table1[[#This Row],[Hire]],TODAY(),"Y"),DATEDIF(Table1[[#This Row],[Hire]],Table1[[#This Row],[Exit]],"Y"))</f>
        <v>3</v>
      </c>
      <c r="N86">
        <f>FLOOR(Table1[[#This Row],[Age]],10)</f>
        <v>40</v>
      </c>
      <c r="O86" t="str">
        <f>IF(Table1[[#This Row],[Age]]&lt;30,"20-29",IF(Table1[[#This Row],[Age]]&lt;40,"30-39",IF(Table1[[#This Row],[Age]]&lt;50,"40-49",IF(Table1[[#This Row],[Age]]&lt;60,"50-59","60+"))))</f>
        <v>40-49</v>
      </c>
    </row>
    <row r="87" spans="1:15" x14ac:dyDescent="0.25">
      <c r="A87" t="s">
        <v>205</v>
      </c>
      <c r="B87" t="s">
        <v>206</v>
      </c>
      <c r="C87" t="s">
        <v>21</v>
      </c>
      <c r="D87">
        <v>47</v>
      </c>
      <c r="E87" t="s">
        <v>22</v>
      </c>
      <c r="F87" t="s">
        <v>16</v>
      </c>
      <c r="G87" t="s">
        <v>53</v>
      </c>
      <c r="H87" s="1">
        <v>44815</v>
      </c>
      <c r="J87">
        <v>178000</v>
      </c>
      <c r="K87">
        <v>0</v>
      </c>
      <c r="L87" t="s">
        <v>24</v>
      </c>
      <c r="M87">
        <f ca="1">IF(Table1[[#This Row],[Exit]]="",DATEDIF(Table1[[#This Row],[Hire]],TODAY(),"Y"),DATEDIF(Table1[[#This Row],[Hire]],Table1[[#This Row],[Exit]],"Y"))</f>
        <v>3</v>
      </c>
      <c r="N87">
        <f>FLOOR(Table1[[#This Row],[Age]],10)</f>
        <v>40</v>
      </c>
      <c r="O87" t="str">
        <f>IF(Table1[[#This Row],[Age]]&lt;30,"20-29",IF(Table1[[#This Row],[Age]]&lt;40,"30-39",IF(Table1[[#This Row],[Age]]&lt;50,"40-49",IF(Table1[[#This Row],[Age]]&lt;60,"50-59","60+"))))</f>
        <v>40-49</v>
      </c>
    </row>
    <row r="88" spans="1:15" x14ac:dyDescent="0.25">
      <c r="A88" t="s">
        <v>207</v>
      </c>
      <c r="B88" t="s">
        <v>208</v>
      </c>
      <c r="C88" t="s">
        <v>14</v>
      </c>
      <c r="D88">
        <v>38</v>
      </c>
      <c r="E88" t="s">
        <v>81</v>
      </c>
      <c r="F88" t="s">
        <v>43</v>
      </c>
      <c r="G88" t="s">
        <v>53</v>
      </c>
      <c r="H88" s="1">
        <v>45430</v>
      </c>
      <c r="J88">
        <v>180000</v>
      </c>
      <c r="K88">
        <v>0.21</v>
      </c>
      <c r="L88" t="s">
        <v>24</v>
      </c>
      <c r="M88">
        <f ca="1">IF(Table1[[#This Row],[Exit]]="",DATEDIF(Table1[[#This Row],[Hire]],TODAY(),"Y"),DATEDIF(Table1[[#This Row],[Hire]],Table1[[#This Row],[Exit]],"Y"))</f>
        <v>1</v>
      </c>
      <c r="N88">
        <f>FLOOR(Table1[[#This Row],[Age]],10)</f>
        <v>30</v>
      </c>
      <c r="O88" t="str">
        <f>IF(Table1[[#This Row],[Age]]&lt;30,"20-29",IF(Table1[[#This Row],[Age]]&lt;40,"30-39",IF(Table1[[#This Row],[Age]]&lt;50,"40-49",IF(Table1[[#This Row],[Age]]&lt;60,"50-59","60+"))))</f>
        <v>30-39</v>
      </c>
    </row>
    <row r="89" spans="1:15" x14ac:dyDescent="0.25">
      <c r="A89" t="s">
        <v>209</v>
      </c>
      <c r="B89" t="s">
        <v>210</v>
      </c>
      <c r="C89" t="s">
        <v>14</v>
      </c>
      <c r="D89">
        <v>40</v>
      </c>
      <c r="E89" t="s">
        <v>52</v>
      </c>
      <c r="F89" t="s">
        <v>16</v>
      </c>
      <c r="G89" t="s">
        <v>17</v>
      </c>
      <c r="H89" s="1">
        <v>44509</v>
      </c>
      <c r="J89">
        <v>182000</v>
      </c>
      <c r="K89">
        <v>0.37</v>
      </c>
      <c r="L89" t="s">
        <v>24</v>
      </c>
      <c r="M89">
        <f ca="1">IF(Table1[[#This Row],[Exit]]="",DATEDIF(Table1[[#This Row],[Hire]],TODAY(),"Y"),DATEDIF(Table1[[#This Row],[Hire]],Table1[[#This Row],[Exit]],"Y"))</f>
        <v>4</v>
      </c>
      <c r="N89">
        <f>FLOOR(Table1[[#This Row],[Age]],10)</f>
        <v>40</v>
      </c>
      <c r="O89" t="str">
        <f>IF(Table1[[#This Row],[Age]]&lt;30,"20-29",IF(Table1[[#This Row],[Age]]&lt;40,"30-39",IF(Table1[[#This Row],[Age]]&lt;50,"40-49",IF(Table1[[#This Row],[Age]]&lt;60,"50-59","60+"))))</f>
        <v>40-49</v>
      </c>
    </row>
    <row r="90" spans="1:15" x14ac:dyDescent="0.25">
      <c r="A90" t="s">
        <v>211</v>
      </c>
      <c r="B90" t="s">
        <v>212</v>
      </c>
      <c r="C90" t="s">
        <v>21</v>
      </c>
      <c r="D90">
        <v>45</v>
      </c>
      <c r="E90" t="s">
        <v>66</v>
      </c>
      <c r="F90" t="s">
        <v>16</v>
      </c>
      <c r="G90" t="s">
        <v>23</v>
      </c>
      <c r="H90" s="1">
        <v>43963</v>
      </c>
      <c r="I90" s="1">
        <v>45332</v>
      </c>
      <c r="J90">
        <v>184000</v>
      </c>
      <c r="K90">
        <v>0.15</v>
      </c>
      <c r="L90" t="s">
        <v>18</v>
      </c>
      <c r="M90">
        <f ca="1">IF(Table1[[#This Row],[Exit]]="",DATEDIF(Table1[[#This Row],[Hire]],TODAY(),"Y"),DATEDIF(Table1[[#This Row],[Hire]],Table1[[#This Row],[Exit]],"Y"))</f>
        <v>3</v>
      </c>
      <c r="N90">
        <f>FLOOR(Table1[[#This Row],[Age]],10)</f>
        <v>40</v>
      </c>
      <c r="O90" t="str">
        <f>IF(Table1[[#This Row],[Age]]&lt;30,"20-29",IF(Table1[[#This Row],[Age]]&lt;40,"30-39",IF(Table1[[#This Row],[Age]]&lt;50,"40-49",IF(Table1[[#This Row],[Age]]&lt;60,"50-59","60+"))))</f>
        <v>40-49</v>
      </c>
    </row>
    <row r="91" spans="1:15" x14ac:dyDescent="0.25">
      <c r="A91" t="s">
        <v>213</v>
      </c>
      <c r="B91" t="s">
        <v>214</v>
      </c>
      <c r="C91" t="s">
        <v>21</v>
      </c>
      <c r="D91">
        <v>26</v>
      </c>
      <c r="E91" t="s">
        <v>31</v>
      </c>
      <c r="F91" t="s">
        <v>16</v>
      </c>
      <c r="G91" t="s">
        <v>53</v>
      </c>
      <c r="H91" s="1">
        <v>44815</v>
      </c>
      <c r="J91">
        <v>186000</v>
      </c>
      <c r="K91">
        <v>0.14000000000000001</v>
      </c>
      <c r="L91" t="s">
        <v>24</v>
      </c>
      <c r="M91">
        <f ca="1">IF(Table1[[#This Row],[Exit]]="",DATEDIF(Table1[[#This Row],[Hire]],TODAY(),"Y"),DATEDIF(Table1[[#This Row],[Hire]],Table1[[#This Row],[Exit]],"Y"))</f>
        <v>3</v>
      </c>
      <c r="N91">
        <f>FLOOR(Table1[[#This Row],[Age]],10)</f>
        <v>20</v>
      </c>
      <c r="O91" t="str">
        <f>IF(Table1[[#This Row],[Age]]&lt;30,"20-29",IF(Table1[[#This Row],[Age]]&lt;40,"30-39",IF(Table1[[#This Row],[Age]]&lt;50,"40-49",IF(Table1[[#This Row],[Age]]&lt;60,"50-59","60+"))))</f>
        <v>20-29</v>
      </c>
    </row>
    <row r="92" spans="1:15" x14ac:dyDescent="0.25">
      <c r="A92" t="s">
        <v>215</v>
      </c>
      <c r="B92" t="s">
        <v>216</v>
      </c>
      <c r="C92" t="s">
        <v>21</v>
      </c>
      <c r="D92">
        <v>35</v>
      </c>
      <c r="E92" t="s">
        <v>81</v>
      </c>
      <c r="F92" t="s">
        <v>49</v>
      </c>
      <c r="G92" t="s">
        <v>34</v>
      </c>
      <c r="H92" s="1">
        <v>44857</v>
      </c>
      <c r="J92">
        <v>188000</v>
      </c>
      <c r="K92">
        <v>0</v>
      </c>
      <c r="L92" t="s">
        <v>24</v>
      </c>
      <c r="M92">
        <f ca="1">IF(Table1[[#This Row],[Exit]]="",DATEDIF(Table1[[#This Row],[Hire]],TODAY(),"Y"),DATEDIF(Table1[[#This Row],[Hire]],Table1[[#This Row],[Exit]],"Y"))</f>
        <v>3</v>
      </c>
      <c r="N92">
        <f>FLOOR(Table1[[#This Row],[Age]],10)</f>
        <v>30</v>
      </c>
      <c r="O92" t="str">
        <f>IF(Table1[[#This Row],[Age]]&lt;30,"20-29",IF(Table1[[#This Row],[Age]]&lt;40,"30-39",IF(Table1[[#This Row],[Age]]&lt;50,"40-49",IF(Table1[[#This Row],[Age]]&lt;60,"50-59","60+"))))</f>
        <v>30-39</v>
      </c>
    </row>
    <row r="93" spans="1:15" x14ac:dyDescent="0.25">
      <c r="A93" t="s">
        <v>217</v>
      </c>
      <c r="B93" t="s">
        <v>218</v>
      </c>
      <c r="C93" t="s">
        <v>21</v>
      </c>
      <c r="D93">
        <v>29</v>
      </c>
      <c r="E93" t="s">
        <v>92</v>
      </c>
      <c r="F93" t="s">
        <v>59</v>
      </c>
      <c r="G93" t="s">
        <v>53</v>
      </c>
      <c r="H93" s="1">
        <v>45527</v>
      </c>
      <c r="J93">
        <v>190000</v>
      </c>
      <c r="K93">
        <v>0</v>
      </c>
      <c r="L93" t="s">
        <v>24</v>
      </c>
      <c r="M93">
        <f ca="1">IF(Table1[[#This Row],[Exit]]="",DATEDIF(Table1[[#This Row],[Hire]],TODAY(),"Y"),DATEDIF(Table1[[#This Row],[Hire]],Table1[[#This Row],[Exit]],"Y"))</f>
        <v>1</v>
      </c>
      <c r="N93">
        <f>FLOOR(Table1[[#This Row],[Age]],10)</f>
        <v>20</v>
      </c>
      <c r="O93" t="str">
        <f>IF(Table1[[#This Row],[Age]]&lt;30,"20-29",IF(Table1[[#This Row],[Age]]&lt;40,"30-39",IF(Table1[[#This Row],[Age]]&lt;50,"40-49",IF(Table1[[#This Row],[Age]]&lt;60,"50-59","60+"))))</f>
        <v>20-29</v>
      </c>
    </row>
    <row r="94" spans="1:15" x14ac:dyDescent="0.25">
      <c r="A94" t="s">
        <v>219</v>
      </c>
      <c r="B94" t="s">
        <v>220</v>
      </c>
      <c r="C94" t="s">
        <v>14</v>
      </c>
      <c r="D94">
        <v>35</v>
      </c>
      <c r="E94" t="s">
        <v>81</v>
      </c>
      <c r="F94" t="s">
        <v>46</v>
      </c>
      <c r="G94" t="s">
        <v>23</v>
      </c>
      <c r="H94" s="1">
        <v>45237</v>
      </c>
      <c r="J94">
        <v>192000</v>
      </c>
      <c r="K94">
        <v>7.0000000000000007E-2</v>
      </c>
      <c r="L94" t="s">
        <v>24</v>
      </c>
      <c r="M94">
        <f ca="1">IF(Table1[[#This Row],[Exit]]="",DATEDIF(Table1[[#This Row],[Hire]],TODAY(),"Y"),DATEDIF(Table1[[#This Row],[Hire]],Table1[[#This Row],[Exit]],"Y"))</f>
        <v>2</v>
      </c>
      <c r="N94">
        <f>FLOOR(Table1[[#This Row],[Age]],10)</f>
        <v>30</v>
      </c>
      <c r="O94" t="str">
        <f>IF(Table1[[#This Row],[Age]]&lt;30,"20-29",IF(Table1[[#This Row],[Age]]&lt;40,"30-39",IF(Table1[[#This Row],[Age]]&lt;50,"40-49",IF(Table1[[#This Row],[Age]]&lt;60,"50-59","60+"))))</f>
        <v>30-39</v>
      </c>
    </row>
    <row r="95" spans="1:15" x14ac:dyDescent="0.25">
      <c r="A95" t="s">
        <v>221</v>
      </c>
      <c r="B95" t="s">
        <v>222</v>
      </c>
      <c r="C95" t="s">
        <v>21</v>
      </c>
      <c r="D95">
        <v>27</v>
      </c>
      <c r="E95" t="s">
        <v>22</v>
      </c>
      <c r="F95" t="s">
        <v>16</v>
      </c>
      <c r="G95" t="s">
        <v>34</v>
      </c>
      <c r="H95" s="1">
        <v>45206</v>
      </c>
      <c r="J95">
        <v>194000</v>
      </c>
      <c r="K95">
        <v>0</v>
      </c>
      <c r="L95" t="s">
        <v>24</v>
      </c>
      <c r="M95">
        <f ca="1">IF(Table1[[#This Row],[Exit]]="",DATEDIF(Table1[[#This Row],[Hire]],TODAY(),"Y"),DATEDIF(Table1[[#This Row],[Hire]],Table1[[#This Row],[Exit]],"Y"))</f>
        <v>2</v>
      </c>
      <c r="N95">
        <f>FLOOR(Table1[[#This Row],[Age]],10)</f>
        <v>20</v>
      </c>
      <c r="O95" t="str">
        <f>IF(Table1[[#This Row],[Age]]&lt;30,"20-29",IF(Table1[[#This Row],[Age]]&lt;40,"30-39",IF(Table1[[#This Row],[Age]]&lt;50,"40-49",IF(Table1[[#This Row],[Age]]&lt;60,"50-59","60+"))))</f>
        <v>20-29</v>
      </c>
    </row>
    <row r="96" spans="1:15" x14ac:dyDescent="0.25">
      <c r="A96" t="s">
        <v>223</v>
      </c>
      <c r="B96" t="s">
        <v>224</v>
      </c>
      <c r="C96" t="s">
        <v>14</v>
      </c>
      <c r="D96">
        <v>26</v>
      </c>
      <c r="E96" t="s">
        <v>92</v>
      </c>
      <c r="F96" t="s">
        <v>59</v>
      </c>
      <c r="G96" t="s">
        <v>34</v>
      </c>
      <c r="H96" s="1">
        <v>44677</v>
      </c>
      <c r="J96">
        <v>196000</v>
      </c>
      <c r="K96">
        <v>0</v>
      </c>
      <c r="L96" t="s">
        <v>24</v>
      </c>
      <c r="M96">
        <f ca="1">IF(Table1[[#This Row],[Exit]]="",DATEDIF(Table1[[#This Row],[Hire]],TODAY(),"Y"),DATEDIF(Table1[[#This Row],[Hire]],Table1[[#This Row],[Exit]],"Y"))</f>
        <v>3</v>
      </c>
      <c r="N96">
        <f>FLOOR(Table1[[#This Row],[Age]],10)</f>
        <v>20</v>
      </c>
      <c r="O96" t="str">
        <f>IF(Table1[[#This Row],[Age]]&lt;30,"20-29",IF(Table1[[#This Row],[Age]]&lt;40,"30-39",IF(Table1[[#This Row],[Age]]&lt;50,"40-49",IF(Table1[[#This Row],[Age]]&lt;60,"50-59","60+"))))</f>
        <v>20-29</v>
      </c>
    </row>
    <row r="97" spans="1:15" x14ac:dyDescent="0.25">
      <c r="A97" t="s">
        <v>225</v>
      </c>
      <c r="B97" t="s">
        <v>226</v>
      </c>
      <c r="C97" t="s">
        <v>14</v>
      </c>
      <c r="D97">
        <v>27</v>
      </c>
      <c r="E97" t="s">
        <v>31</v>
      </c>
      <c r="F97" t="s">
        <v>16</v>
      </c>
      <c r="G97" t="s">
        <v>17</v>
      </c>
      <c r="H97" s="1">
        <v>43889</v>
      </c>
      <c r="I97" s="1">
        <v>45332</v>
      </c>
      <c r="J97">
        <v>198000</v>
      </c>
      <c r="K97">
        <v>0</v>
      </c>
      <c r="L97" t="s">
        <v>18</v>
      </c>
      <c r="M97">
        <f ca="1">IF(Table1[[#This Row],[Exit]]="",DATEDIF(Table1[[#This Row],[Hire]],TODAY(),"Y"),DATEDIF(Table1[[#This Row],[Hire]],Table1[[#This Row],[Exit]],"Y"))</f>
        <v>3</v>
      </c>
      <c r="N97">
        <f>FLOOR(Table1[[#This Row],[Age]],10)</f>
        <v>20</v>
      </c>
      <c r="O97" t="str">
        <f>IF(Table1[[#This Row],[Age]]&lt;30,"20-29",IF(Table1[[#This Row],[Age]]&lt;40,"30-39",IF(Table1[[#This Row],[Age]]&lt;50,"40-49",IF(Table1[[#This Row],[Age]]&lt;60,"50-59","60+"))))</f>
        <v>20-29</v>
      </c>
    </row>
    <row r="98" spans="1:15" x14ac:dyDescent="0.25">
      <c r="A98" t="s">
        <v>227</v>
      </c>
      <c r="B98" t="s">
        <v>228</v>
      </c>
      <c r="C98" t="s">
        <v>14</v>
      </c>
      <c r="D98">
        <v>30</v>
      </c>
      <c r="E98" t="s">
        <v>15</v>
      </c>
      <c r="F98" t="s">
        <v>16</v>
      </c>
      <c r="G98" t="s">
        <v>17</v>
      </c>
      <c r="H98" s="1">
        <v>44116</v>
      </c>
      <c r="J98">
        <v>200000</v>
      </c>
      <c r="K98">
        <v>0.1</v>
      </c>
      <c r="L98" t="s">
        <v>24</v>
      </c>
      <c r="M98">
        <f ca="1">IF(Table1[[#This Row],[Exit]]="",DATEDIF(Table1[[#This Row],[Hire]],TODAY(),"Y"),DATEDIF(Table1[[#This Row],[Hire]],Table1[[#This Row],[Exit]],"Y"))</f>
        <v>5</v>
      </c>
      <c r="N98">
        <f>FLOOR(Table1[[#This Row],[Age]],10)</f>
        <v>30</v>
      </c>
      <c r="O98" t="str">
        <f>IF(Table1[[#This Row],[Age]]&lt;30,"20-29",IF(Table1[[#This Row],[Age]]&lt;40,"30-39",IF(Table1[[#This Row],[Age]]&lt;50,"40-49",IF(Table1[[#This Row],[Age]]&lt;60,"50-59","60+"))))</f>
        <v>30-39</v>
      </c>
    </row>
    <row r="99" spans="1:15" x14ac:dyDescent="0.25">
      <c r="A99" t="s">
        <v>229</v>
      </c>
      <c r="B99" t="s">
        <v>230</v>
      </c>
      <c r="C99" t="s">
        <v>14</v>
      </c>
      <c r="D99">
        <v>36</v>
      </c>
      <c r="E99" t="s">
        <v>22</v>
      </c>
      <c r="F99" t="s">
        <v>16</v>
      </c>
      <c r="G99" t="s">
        <v>23</v>
      </c>
      <c r="H99" s="1">
        <v>44588</v>
      </c>
      <c r="J99">
        <v>202000</v>
      </c>
      <c r="K99">
        <v>0</v>
      </c>
      <c r="L99" t="s">
        <v>24</v>
      </c>
      <c r="M99">
        <f ca="1">IF(Table1[[#This Row],[Exit]]="",DATEDIF(Table1[[#This Row],[Hire]],TODAY(),"Y"),DATEDIF(Table1[[#This Row],[Hire]],Table1[[#This Row],[Exit]],"Y"))</f>
        <v>4</v>
      </c>
      <c r="N99">
        <f>FLOOR(Table1[[#This Row],[Age]],10)</f>
        <v>30</v>
      </c>
      <c r="O99" t="str">
        <f>IF(Table1[[#This Row],[Age]]&lt;30,"20-29",IF(Table1[[#This Row],[Age]]&lt;40,"30-39",IF(Table1[[#This Row],[Age]]&lt;50,"40-49",IF(Table1[[#This Row],[Age]]&lt;60,"50-59","60+"))))</f>
        <v>30-39</v>
      </c>
    </row>
    <row r="100" spans="1:15" x14ac:dyDescent="0.25">
      <c r="A100" t="s">
        <v>231</v>
      </c>
      <c r="B100" t="s">
        <v>232</v>
      </c>
      <c r="C100" t="s">
        <v>14</v>
      </c>
      <c r="D100">
        <v>45</v>
      </c>
      <c r="E100" t="s">
        <v>27</v>
      </c>
      <c r="F100" t="s">
        <v>28</v>
      </c>
      <c r="G100" t="s">
        <v>17</v>
      </c>
      <c r="H100" s="1">
        <v>45337</v>
      </c>
      <c r="J100">
        <v>204000</v>
      </c>
      <c r="K100">
        <v>0</v>
      </c>
      <c r="L100" t="s">
        <v>24</v>
      </c>
      <c r="M100">
        <f ca="1">IF(Table1[[#This Row],[Exit]]="",DATEDIF(Table1[[#This Row],[Hire]],TODAY(),"Y"),DATEDIF(Table1[[#This Row],[Hire]],Table1[[#This Row],[Exit]],"Y"))</f>
        <v>1</v>
      </c>
      <c r="N100">
        <f>FLOOR(Table1[[#This Row],[Age]],10)</f>
        <v>40</v>
      </c>
      <c r="O100" t="str">
        <f>IF(Table1[[#This Row],[Age]]&lt;30,"20-29",IF(Table1[[#This Row],[Age]]&lt;40,"30-39",IF(Table1[[#This Row],[Age]]&lt;50,"40-49",IF(Table1[[#This Row],[Age]]&lt;60,"50-59","60+"))))</f>
        <v>40-49</v>
      </c>
    </row>
    <row r="101" spans="1:15" x14ac:dyDescent="0.25">
      <c r="A101" t="s">
        <v>233</v>
      </c>
      <c r="B101" t="s">
        <v>234</v>
      </c>
      <c r="C101" t="s">
        <v>14</v>
      </c>
      <c r="D101">
        <v>37</v>
      </c>
      <c r="E101" t="s">
        <v>31</v>
      </c>
      <c r="F101" t="s">
        <v>16</v>
      </c>
      <c r="G101" t="s">
        <v>23</v>
      </c>
      <c r="H101" s="1">
        <v>45332</v>
      </c>
      <c r="J101">
        <v>206000</v>
      </c>
      <c r="K101">
        <v>0</v>
      </c>
      <c r="L101" t="s">
        <v>24</v>
      </c>
      <c r="M101">
        <f ca="1">IF(Table1[[#This Row],[Exit]]="",DATEDIF(Table1[[#This Row],[Hire]],TODAY(),"Y"),DATEDIF(Table1[[#This Row],[Hire]],Table1[[#This Row],[Exit]],"Y"))</f>
        <v>1</v>
      </c>
      <c r="N101">
        <f>FLOOR(Table1[[#This Row],[Age]],10)</f>
        <v>30</v>
      </c>
      <c r="O101" t="str">
        <f>IF(Table1[[#This Row],[Age]]&lt;30,"20-29",IF(Table1[[#This Row],[Age]]&lt;40,"30-39",IF(Table1[[#This Row],[Age]]&lt;50,"40-49",IF(Table1[[#This Row],[Age]]&lt;60,"50-59","60+"))))</f>
        <v>30-39</v>
      </c>
    </row>
    <row r="102" spans="1:15" x14ac:dyDescent="0.25">
      <c r="A102" t="s">
        <v>235</v>
      </c>
      <c r="B102" t="s">
        <v>236</v>
      </c>
      <c r="C102" t="s">
        <v>14</v>
      </c>
      <c r="D102">
        <v>38</v>
      </c>
      <c r="E102" t="s">
        <v>27</v>
      </c>
      <c r="F102" t="s">
        <v>28</v>
      </c>
      <c r="G102" t="s">
        <v>34</v>
      </c>
      <c r="H102" s="1">
        <v>44183</v>
      </c>
      <c r="J102">
        <v>208000</v>
      </c>
      <c r="K102">
        <v>0</v>
      </c>
      <c r="L102" t="s">
        <v>24</v>
      </c>
      <c r="M102">
        <f ca="1">IF(Table1[[#This Row],[Exit]]="",DATEDIF(Table1[[#This Row],[Hire]],TODAY(),"Y"),DATEDIF(Table1[[#This Row],[Hire]],Table1[[#This Row],[Exit]],"Y"))</f>
        <v>5</v>
      </c>
      <c r="N102">
        <f>FLOOR(Table1[[#This Row],[Age]],10)</f>
        <v>30</v>
      </c>
      <c r="O102" t="str">
        <f>IF(Table1[[#This Row],[Age]]&lt;30,"20-29",IF(Table1[[#This Row],[Age]]&lt;40,"30-39",IF(Table1[[#This Row],[Age]]&lt;50,"40-49",IF(Table1[[#This Row],[Age]]&lt;60,"50-59","60+"))))</f>
        <v>30-39</v>
      </c>
    </row>
    <row r="103" spans="1:15" x14ac:dyDescent="0.25">
      <c r="A103" t="s">
        <v>237</v>
      </c>
      <c r="B103" t="s">
        <v>238</v>
      </c>
      <c r="C103" t="s">
        <v>21</v>
      </c>
      <c r="D103">
        <v>45</v>
      </c>
      <c r="E103" t="s">
        <v>15</v>
      </c>
      <c r="F103" t="s">
        <v>16</v>
      </c>
      <c r="G103" t="s">
        <v>23</v>
      </c>
      <c r="H103" s="1">
        <v>43837</v>
      </c>
      <c r="J103">
        <v>210000</v>
      </c>
      <c r="K103">
        <v>0</v>
      </c>
      <c r="L103" t="s">
        <v>24</v>
      </c>
      <c r="M103">
        <f ca="1">IF(Table1[[#This Row],[Exit]]="",DATEDIF(Table1[[#This Row],[Hire]],TODAY(),"Y"),DATEDIF(Table1[[#This Row],[Hire]],Table1[[#This Row],[Exit]],"Y"))</f>
        <v>6</v>
      </c>
      <c r="N103">
        <f>FLOOR(Table1[[#This Row],[Age]],10)</f>
        <v>40</v>
      </c>
      <c r="O103" t="str">
        <f>IF(Table1[[#This Row],[Age]]&lt;30,"20-29",IF(Table1[[#This Row],[Age]]&lt;40,"30-39",IF(Table1[[#This Row],[Age]]&lt;50,"40-49",IF(Table1[[#This Row],[Age]]&lt;60,"50-59","60+"))))</f>
        <v>40-49</v>
      </c>
    </row>
    <row r="104" spans="1:15" x14ac:dyDescent="0.25">
      <c r="A104" t="s">
        <v>239</v>
      </c>
      <c r="B104" t="s">
        <v>240</v>
      </c>
      <c r="C104" t="s">
        <v>14</v>
      </c>
      <c r="D104">
        <v>51</v>
      </c>
      <c r="E104" t="s">
        <v>15</v>
      </c>
      <c r="F104" t="s">
        <v>16</v>
      </c>
      <c r="G104" t="s">
        <v>34</v>
      </c>
      <c r="H104" s="1">
        <v>45206</v>
      </c>
      <c r="J104">
        <v>212000</v>
      </c>
      <c r="K104">
        <v>0.33</v>
      </c>
      <c r="L104" t="s">
        <v>24</v>
      </c>
      <c r="M104">
        <f ca="1">IF(Table1[[#This Row],[Exit]]="",DATEDIF(Table1[[#This Row],[Hire]],TODAY(),"Y"),DATEDIF(Table1[[#This Row],[Hire]],Table1[[#This Row],[Exit]],"Y"))</f>
        <v>2</v>
      </c>
      <c r="N104">
        <f>FLOOR(Table1[[#This Row],[Age]],10)</f>
        <v>50</v>
      </c>
      <c r="O104" t="str">
        <f>IF(Table1[[#This Row],[Age]]&lt;30,"20-29",IF(Table1[[#This Row],[Age]]&lt;40,"30-39",IF(Table1[[#This Row],[Age]]&lt;50,"40-49",IF(Table1[[#This Row],[Age]]&lt;60,"50-59","60+"))))</f>
        <v>50-59</v>
      </c>
    </row>
    <row r="105" spans="1:15" x14ac:dyDescent="0.25">
      <c r="A105" t="s">
        <v>241</v>
      </c>
      <c r="B105" t="s">
        <v>242</v>
      </c>
      <c r="C105" t="s">
        <v>21</v>
      </c>
      <c r="D105">
        <v>56</v>
      </c>
      <c r="E105" t="s">
        <v>42</v>
      </c>
      <c r="F105" t="s">
        <v>43</v>
      </c>
      <c r="G105" t="s">
        <v>34</v>
      </c>
      <c r="H105" s="1">
        <v>44487</v>
      </c>
      <c r="I105" s="1">
        <v>44931</v>
      </c>
      <c r="J105">
        <v>214000</v>
      </c>
      <c r="K105">
        <v>0.12</v>
      </c>
      <c r="L105" t="s">
        <v>18</v>
      </c>
      <c r="M105">
        <f ca="1">IF(Table1[[#This Row],[Exit]]="",DATEDIF(Table1[[#This Row],[Hire]],TODAY(),"Y"),DATEDIF(Table1[[#This Row],[Hire]],Table1[[#This Row],[Exit]],"Y"))</f>
        <v>1</v>
      </c>
      <c r="N105">
        <f>FLOOR(Table1[[#This Row],[Age]],10)</f>
        <v>50</v>
      </c>
      <c r="O105" t="str">
        <f>IF(Table1[[#This Row],[Age]]&lt;30,"20-29",IF(Table1[[#This Row],[Age]]&lt;40,"30-39",IF(Table1[[#This Row],[Age]]&lt;50,"40-49",IF(Table1[[#This Row],[Age]]&lt;60,"50-59","60+"))))</f>
        <v>50-59</v>
      </c>
    </row>
    <row r="106" spans="1:15" x14ac:dyDescent="0.25">
      <c r="A106" t="s">
        <v>243</v>
      </c>
      <c r="B106" t="s">
        <v>244</v>
      </c>
      <c r="C106" t="s">
        <v>21</v>
      </c>
      <c r="D106">
        <v>53</v>
      </c>
      <c r="E106" t="s">
        <v>42</v>
      </c>
      <c r="F106" t="s">
        <v>46</v>
      </c>
      <c r="G106" t="s">
        <v>23</v>
      </c>
      <c r="H106" s="1">
        <v>44791</v>
      </c>
      <c r="J106">
        <v>216000</v>
      </c>
      <c r="K106">
        <v>0</v>
      </c>
      <c r="L106" t="s">
        <v>24</v>
      </c>
      <c r="M106">
        <f ca="1">IF(Table1[[#This Row],[Exit]]="",DATEDIF(Table1[[#This Row],[Hire]],TODAY(),"Y"),DATEDIF(Table1[[#This Row],[Hire]],Table1[[#This Row],[Exit]],"Y"))</f>
        <v>3</v>
      </c>
      <c r="N106">
        <f>FLOOR(Table1[[#This Row],[Age]],10)</f>
        <v>50</v>
      </c>
      <c r="O106" t="str">
        <f>IF(Table1[[#This Row],[Age]]&lt;30,"20-29",IF(Table1[[#This Row],[Age]]&lt;40,"30-39",IF(Table1[[#This Row],[Age]]&lt;50,"40-49",IF(Table1[[#This Row],[Age]]&lt;60,"50-59","60+"))))</f>
        <v>50-59</v>
      </c>
    </row>
    <row r="107" spans="1:15" x14ac:dyDescent="0.25">
      <c r="A107" t="s">
        <v>245</v>
      </c>
      <c r="B107" t="s">
        <v>246</v>
      </c>
      <c r="C107" t="s">
        <v>41</v>
      </c>
      <c r="D107">
        <v>47</v>
      </c>
      <c r="E107" t="s">
        <v>42</v>
      </c>
      <c r="F107" t="s">
        <v>49</v>
      </c>
      <c r="G107" t="s">
        <v>17</v>
      </c>
      <c r="H107" s="1">
        <v>45440</v>
      </c>
      <c r="J107">
        <v>218000</v>
      </c>
      <c r="K107">
        <v>0.28000000000000003</v>
      </c>
      <c r="L107" t="s">
        <v>24</v>
      </c>
      <c r="M107">
        <f ca="1">IF(Table1[[#This Row],[Exit]]="",DATEDIF(Table1[[#This Row],[Hire]],TODAY(),"Y"),DATEDIF(Table1[[#This Row],[Hire]],Table1[[#This Row],[Exit]],"Y"))</f>
        <v>1</v>
      </c>
      <c r="N107">
        <f>FLOOR(Table1[[#This Row],[Age]],10)</f>
        <v>40</v>
      </c>
      <c r="O107" t="str">
        <f>IF(Table1[[#This Row],[Age]]&lt;30,"20-29",IF(Table1[[#This Row],[Age]]&lt;40,"30-39",IF(Table1[[#This Row],[Age]]&lt;50,"40-49",IF(Table1[[#This Row],[Age]]&lt;60,"50-59","60+"))))</f>
        <v>40-49</v>
      </c>
    </row>
    <row r="108" spans="1:15" x14ac:dyDescent="0.25">
      <c r="A108" t="s">
        <v>50</v>
      </c>
      <c r="B108" t="s">
        <v>247</v>
      </c>
      <c r="C108" t="s">
        <v>14</v>
      </c>
      <c r="D108">
        <v>36</v>
      </c>
      <c r="E108" t="s">
        <v>52</v>
      </c>
      <c r="F108" t="s">
        <v>16</v>
      </c>
      <c r="G108" t="s">
        <v>53</v>
      </c>
      <c r="H108" s="1">
        <v>44811</v>
      </c>
      <c r="J108">
        <v>220000</v>
      </c>
      <c r="K108">
        <v>0</v>
      </c>
      <c r="L108" t="s">
        <v>24</v>
      </c>
      <c r="M108">
        <f ca="1">IF(Table1[[#This Row],[Exit]]="",DATEDIF(Table1[[#This Row],[Hire]],TODAY(),"Y"),DATEDIF(Table1[[#This Row],[Hire]],Table1[[#This Row],[Exit]],"Y"))</f>
        <v>3</v>
      </c>
      <c r="N108">
        <f>FLOOR(Table1[[#This Row],[Age]],10)</f>
        <v>30</v>
      </c>
      <c r="O108" t="str">
        <f>IF(Table1[[#This Row],[Age]]&lt;30,"20-29",IF(Table1[[#This Row],[Age]]&lt;40,"30-39",IF(Table1[[#This Row],[Age]]&lt;50,"40-49",IF(Table1[[#This Row],[Age]]&lt;60,"50-59","60+"))))</f>
        <v>30-39</v>
      </c>
    </row>
    <row r="109" spans="1:15" x14ac:dyDescent="0.25">
      <c r="A109" t="s">
        <v>248</v>
      </c>
      <c r="B109" t="s">
        <v>249</v>
      </c>
      <c r="C109" t="s">
        <v>41</v>
      </c>
      <c r="D109">
        <v>41</v>
      </c>
      <c r="E109" t="s">
        <v>42</v>
      </c>
      <c r="F109" t="s">
        <v>46</v>
      </c>
      <c r="G109" t="s">
        <v>53</v>
      </c>
      <c r="H109" s="1">
        <v>45294</v>
      </c>
      <c r="J109">
        <v>222000</v>
      </c>
      <c r="K109">
        <v>0.4</v>
      </c>
      <c r="L109" t="s">
        <v>24</v>
      </c>
      <c r="M109">
        <f ca="1">IF(Table1[[#This Row],[Exit]]="",DATEDIF(Table1[[#This Row],[Hire]],TODAY(),"Y"),DATEDIF(Table1[[#This Row],[Hire]],Table1[[#This Row],[Exit]],"Y"))</f>
        <v>2</v>
      </c>
      <c r="N109">
        <f>FLOOR(Table1[[#This Row],[Age]],10)</f>
        <v>40</v>
      </c>
      <c r="O109" t="str">
        <f>IF(Table1[[#This Row],[Age]]&lt;30,"20-29",IF(Table1[[#This Row],[Age]]&lt;40,"30-39",IF(Table1[[#This Row],[Age]]&lt;50,"40-49",IF(Table1[[#This Row],[Age]]&lt;60,"50-59","60+"))))</f>
        <v>40-49</v>
      </c>
    </row>
    <row r="110" spans="1:15" x14ac:dyDescent="0.25">
      <c r="A110" t="s">
        <v>250</v>
      </c>
      <c r="B110" t="s">
        <v>251</v>
      </c>
      <c r="C110" t="s">
        <v>14</v>
      </c>
      <c r="D110">
        <v>30</v>
      </c>
      <c r="E110" t="s">
        <v>58</v>
      </c>
      <c r="F110" t="s">
        <v>59</v>
      </c>
      <c r="G110" t="s">
        <v>34</v>
      </c>
      <c r="H110" s="1">
        <v>45074</v>
      </c>
      <c r="J110">
        <v>224000</v>
      </c>
      <c r="K110">
        <v>0</v>
      </c>
      <c r="L110" t="s">
        <v>24</v>
      </c>
      <c r="M110">
        <f ca="1">IF(Table1[[#This Row],[Exit]]="",DATEDIF(Table1[[#This Row],[Hire]],TODAY(),"Y"),DATEDIF(Table1[[#This Row],[Hire]],Table1[[#This Row],[Exit]],"Y"))</f>
        <v>2</v>
      </c>
      <c r="N110">
        <f>FLOOR(Table1[[#This Row],[Age]],10)</f>
        <v>30</v>
      </c>
      <c r="O110" t="str">
        <f>IF(Table1[[#This Row],[Age]]&lt;30,"20-29",IF(Table1[[#This Row],[Age]]&lt;40,"30-39",IF(Table1[[#This Row],[Age]]&lt;50,"40-49",IF(Table1[[#This Row],[Age]]&lt;60,"50-59","60+"))))</f>
        <v>30-39</v>
      </c>
    </row>
    <row r="111" spans="1:15" x14ac:dyDescent="0.25">
      <c r="A111" t="s">
        <v>252</v>
      </c>
      <c r="B111" t="s">
        <v>253</v>
      </c>
      <c r="C111" t="s">
        <v>21</v>
      </c>
      <c r="D111">
        <v>30</v>
      </c>
      <c r="E111" t="s">
        <v>52</v>
      </c>
      <c r="F111" t="s">
        <v>16</v>
      </c>
      <c r="G111" t="s">
        <v>23</v>
      </c>
      <c r="H111" s="1">
        <v>45245</v>
      </c>
      <c r="J111">
        <v>226000</v>
      </c>
      <c r="K111">
        <v>0.37</v>
      </c>
      <c r="L111" t="s">
        <v>24</v>
      </c>
      <c r="M111">
        <f ca="1">IF(Table1[[#This Row],[Exit]]="",DATEDIF(Table1[[#This Row],[Hire]],TODAY(),"Y"),DATEDIF(Table1[[#This Row],[Hire]],Table1[[#This Row],[Exit]],"Y"))</f>
        <v>2</v>
      </c>
      <c r="N111">
        <f>FLOOR(Table1[[#This Row],[Age]],10)</f>
        <v>30</v>
      </c>
      <c r="O111" t="str">
        <f>IF(Table1[[#This Row],[Age]]&lt;30,"20-29",IF(Table1[[#This Row],[Age]]&lt;40,"30-39",IF(Table1[[#This Row],[Age]]&lt;50,"40-49",IF(Table1[[#This Row],[Age]]&lt;60,"50-59","60+"))))</f>
        <v>30-39</v>
      </c>
    </row>
    <row r="112" spans="1:15" x14ac:dyDescent="0.25">
      <c r="A112" t="s">
        <v>254</v>
      </c>
      <c r="B112" t="s">
        <v>255</v>
      </c>
      <c r="C112" t="s">
        <v>14</v>
      </c>
      <c r="D112">
        <v>38</v>
      </c>
      <c r="E112" t="s">
        <v>52</v>
      </c>
      <c r="F112" t="s">
        <v>16</v>
      </c>
      <c r="G112" t="s">
        <v>34</v>
      </c>
      <c r="H112" s="1">
        <v>43851</v>
      </c>
      <c r="J112">
        <v>228000</v>
      </c>
      <c r="K112">
        <v>0.3</v>
      </c>
      <c r="L112" t="s">
        <v>24</v>
      </c>
      <c r="M112">
        <f ca="1">IF(Table1[[#This Row],[Exit]]="",DATEDIF(Table1[[#This Row],[Hire]],TODAY(),"Y"),DATEDIF(Table1[[#This Row],[Hire]],Table1[[#This Row],[Exit]],"Y"))</f>
        <v>6</v>
      </c>
      <c r="N112">
        <f>FLOOR(Table1[[#This Row],[Age]],10)</f>
        <v>30</v>
      </c>
      <c r="O112" t="str">
        <f>IF(Table1[[#This Row],[Age]]&lt;30,"20-29",IF(Table1[[#This Row],[Age]]&lt;40,"30-39",IF(Table1[[#This Row],[Age]]&lt;50,"40-49",IF(Table1[[#This Row],[Age]]&lt;60,"50-59","60+"))))</f>
        <v>30-39</v>
      </c>
    </row>
    <row r="113" spans="1:15" x14ac:dyDescent="0.25">
      <c r="A113" t="s">
        <v>256</v>
      </c>
      <c r="B113" t="s">
        <v>257</v>
      </c>
      <c r="C113" t="s">
        <v>21</v>
      </c>
      <c r="D113">
        <v>28</v>
      </c>
      <c r="E113" t="s">
        <v>66</v>
      </c>
      <c r="F113" t="s">
        <v>16</v>
      </c>
      <c r="G113" t="s">
        <v>17</v>
      </c>
      <c r="H113" s="1">
        <v>45206</v>
      </c>
      <c r="J113">
        <v>230000</v>
      </c>
      <c r="K113">
        <v>0</v>
      </c>
      <c r="L113" t="s">
        <v>24</v>
      </c>
      <c r="M113">
        <f ca="1">IF(Table1[[#This Row],[Exit]]="",DATEDIF(Table1[[#This Row],[Hire]],TODAY(),"Y"),DATEDIF(Table1[[#This Row],[Hire]],Table1[[#This Row],[Exit]],"Y"))</f>
        <v>2</v>
      </c>
      <c r="N113">
        <f>FLOOR(Table1[[#This Row],[Age]],10)</f>
        <v>20</v>
      </c>
      <c r="O113" t="str">
        <f>IF(Table1[[#This Row],[Age]]&lt;30,"20-29",IF(Table1[[#This Row],[Age]]&lt;40,"30-39",IF(Table1[[#This Row],[Age]]&lt;50,"40-49",IF(Table1[[#This Row],[Age]]&lt;60,"50-59","60+"))))</f>
        <v>20-29</v>
      </c>
    </row>
    <row r="114" spans="1:15" x14ac:dyDescent="0.25">
      <c r="A114" t="s">
        <v>258</v>
      </c>
      <c r="B114" t="s">
        <v>259</v>
      </c>
      <c r="C114" t="s">
        <v>14</v>
      </c>
      <c r="D114">
        <v>39</v>
      </c>
      <c r="E114" t="s">
        <v>58</v>
      </c>
      <c r="F114" t="s">
        <v>59</v>
      </c>
      <c r="G114" t="s">
        <v>23</v>
      </c>
      <c r="H114" s="1">
        <v>45401</v>
      </c>
      <c r="J114">
        <v>232000</v>
      </c>
      <c r="K114">
        <v>0</v>
      </c>
      <c r="L114" t="s">
        <v>24</v>
      </c>
      <c r="M114">
        <f ca="1">IF(Table1[[#This Row],[Exit]]="",DATEDIF(Table1[[#This Row],[Hire]],TODAY(),"Y"),DATEDIF(Table1[[#This Row],[Hire]],Table1[[#This Row],[Exit]],"Y"))</f>
        <v>1</v>
      </c>
      <c r="N114">
        <f>FLOOR(Table1[[#This Row],[Age]],10)</f>
        <v>30</v>
      </c>
      <c r="O114" t="str">
        <f>IF(Table1[[#This Row],[Age]]&lt;30,"20-29",IF(Table1[[#This Row],[Age]]&lt;40,"30-39",IF(Table1[[#This Row],[Age]]&lt;50,"40-49",IF(Table1[[#This Row],[Age]]&lt;60,"50-59","60+"))))</f>
        <v>30-39</v>
      </c>
    </row>
    <row r="115" spans="1:15" x14ac:dyDescent="0.25">
      <c r="A115" t="s">
        <v>260</v>
      </c>
      <c r="B115" t="s">
        <v>261</v>
      </c>
      <c r="C115" t="s">
        <v>21</v>
      </c>
      <c r="D115">
        <v>31</v>
      </c>
      <c r="E115" t="s">
        <v>66</v>
      </c>
      <c r="F115" t="s">
        <v>16</v>
      </c>
      <c r="G115" t="s">
        <v>34</v>
      </c>
      <c r="H115" s="1">
        <v>44083</v>
      </c>
      <c r="J115">
        <v>234000</v>
      </c>
      <c r="K115">
        <v>0</v>
      </c>
      <c r="L115" t="s">
        <v>24</v>
      </c>
      <c r="M115">
        <f ca="1">IF(Table1[[#This Row],[Exit]]="",DATEDIF(Table1[[#This Row],[Hire]],TODAY(),"Y"),DATEDIF(Table1[[#This Row],[Hire]],Table1[[#This Row],[Exit]],"Y"))</f>
        <v>5</v>
      </c>
      <c r="N115">
        <f>FLOOR(Table1[[#This Row],[Age]],10)</f>
        <v>30</v>
      </c>
      <c r="O115" t="str">
        <f>IF(Table1[[#This Row],[Age]]&lt;30,"20-29",IF(Table1[[#This Row],[Age]]&lt;40,"30-39",IF(Table1[[#This Row],[Age]]&lt;50,"40-49",IF(Table1[[#This Row],[Age]]&lt;60,"50-59","60+"))))</f>
        <v>30-39</v>
      </c>
    </row>
    <row r="116" spans="1:15" x14ac:dyDescent="0.25">
      <c r="A116" t="s">
        <v>262</v>
      </c>
      <c r="B116" t="s">
        <v>263</v>
      </c>
      <c r="C116" t="s">
        <v>21</v>
      </c>
      <c r="D116">
        <v>45</v>
      </c>
      <c r="E116" t="s">
        <v>66</v>
      </c>
      <c r="F116" t="s">
        <v>16</v>
      </c>
      <c r="G116" t="s">
        <v>53</v>
      </c>
      <c r="H116" s="1">
        <v>45233</v>
      </c>
      <c r="J116">
        <v>236000</v>
      </c>
      <c r="K116">
        <v>0.3</v>
      </c>
      <c r="L116" t="s">
        <v>24</v>
      </c>
      <c r="M116">
        <f ca="1">IF(Table1[[#This Row],[Exit]]="",DATEDIF(Table1[[#This Row],[Hire]],TODAY(),"Y"),DATEDIF(Table1[[#This Row],[Hire]],Table1[[#This Row],[Exit]],"Y"))</f>
        <v>2</v>
      </c>
      <c r="N116">
        <f>FLOOR(Table1[[#This Row],[Age]],10)</f>
        <v>40</v>
      </c>
      <c r="O116" t="str">
        <f>IF(Table1[[#This Row],[Age]]&lt;30,"20-29",IF(Table1[[#This Row],[Age]]&lt;40,"30-39",IF(Table1[[#This Row],[Age]]&lt;50,"40-49",IF(Table1[[#This Row],[Age]]&lt;60,"50-59","60+"))))</f>
        <v>40-49</v>
      </c>
    </row>
    <row r="117" spans="1:15" x14ac:dyDescent="0.25">
      <c r="A117" t="s">
        <v>264</v>
      </c>
      <c r="B117" t="s">
        <v>265</v>
      </c>
      <c r="C117" t="s">
        <v>14</v>
      </c>
      <c r="D117">
        <v>50</v>
      </c>
      <c r="E117" t="s">
        <v>58</v>
      </c>
      <c r="F117" t="s">
        <v>59</v>
      </c>
      <c r="G117" t="s">
        <v>53</v>
      </c>
      <c r="H117" s="1">
        <v>45412</v>
      </c>
      <c r="J117">
        <v>238000</v>
      </c>
      <c r="K117">
        <v>0.33</v>
      </c>
      <c r="L117" t="s">
        <v>24</v>
      </c>
      <c r="M117">
        <f ca="1">IF(Table1[[#This Row],[Exit]]="",DATEDIF(Table1[[#This Row],[Hire]],TODAY(),"Y"),DATEDIF(Table1[[#This Row],[Hire]],Table1[[#This Row],[Exit]],"Y"))</f>
        <v>1</v>
      </c>
      <c r="N117">
        <f>FLOOR(Table1[[#This Row],[Age]],10)</f>
        <v>50</v>
      </c>
      <c r="O117" t="str">
        <f>IF(Table1[[#This Row],[Age]]&lt;30,"20-29",IF(Table1[[#This Row],[Age]]&lt;40,"30-39",IF(Table1[[#This Row],[Age]]&lt;50,"40-49",IF(Table1[[#This Row],[Age]]&lt;60,"50-59","60+"))))</f>
        <v>50-59</v>
      </c>
    </row>
    <row r="118" spans="1:15" x14ac:dyDescent="0.25">
      <c r="A118" t="s">
        <v>266</v>
      </c>
      <c r="B118" t="s">
        <v>267</v>
      </c>
      <c r="C118" t="s">
        <v>14</v>
      </c>
      <c r="D118">
        <v>36</v>
      </c>
      <c r="E118" t="s">
        <v>15</v>
      </c>
      <c r="F118" t="s">
        <v>16</v>
      </c>
      <c r="G118" t="s">
        <v>53</v>
      </c>
      <c r="H118" s="1">
        <v>43887</v>
      </c>
      <c r="J118">
        <v>240000</v>
      </c>
      <c r="K118">
        <v>0</v>
      </c>
      <c r="L118" t="s">
        <v>24</v>
      </c>
      <c r="M118">
        <f ca="1">IF(Table1[[#This Row],[Exit]]="",DATEDIF(Table1[[#This Row],[Hire]],TODAY(),"Y"),DATEDIF(Table1[[#This Row],[Hire]],Table1[[#This Row],[Exit]],"Y"))</f>
        <v>5</v>
      </c>
      <c r="N118">
        <f>FLOOR(Table1[[#This Row],[Age]],10)</f>
        <v>30</v>
      </c>
      <c r="O118" t="str">
        <f>IF(Table1[[#This Row],[Age]]&lt;30,"20-29",IF(Table1[[#This Row],[Age]]&lt;40,"30-39",IF(Table1[[#This Row],[Age]]&lt;50,"40-49",IF(Table1[[#This Row],[Age]]&lt;60,"50-59","60+"))))</f>
        <v>30-39</v>
      </c>
    </row>
    <row r="119" spans="1:15" x14ac:dyDescent="0.25">
      <c r="A119" t="s">
        <v>268</v>
      </c>
      <c r="B119" t="s">
        <v>269</v>
      </c>
      <c r="C119" t="s">
        <v>14</v>
      </c>
      <c r="D119">
        <v>45</v>
      </c>
      <c r="E119" t="s">
        <v>22</v>
      </c>
      <c r="F119" t="s">
        <v>16</v>
      </c>
      <c r="G119" t="s">
        <v>53</v>
      </c>
      <c r="H119" s="1">
        <v>44815</v>
      </c>
      <c r="J119">
        <v>242000</v>
      </c>
      <c r="K119">
        <v>0</v>
      </c>
      <c r="L119" t="s">
        <v>24</v>
      </c>
      <c r="M119">
        <f ca="1">IF(Table1[[#This Row],[Exit]]="",DATEDIF(Table1[[#This Row],[Hire]],TODAY(),"Y"),DATEDIF(Table1[[#This Row],[Hire]],Table1[[#This Row],[Exit]],"Y"))</f>
        <v>3</v>
      </c>
      <c r="N119">
        <f>FLOOR(Table1[[#This Row],[Age]],10)</f>
        <v>40</v>
      </c>
      <c r="O119" t="str">
        <f>IF(Table1[[#This Row],[Age]]&lt;30,"20-29",IF(Table1[[#This Row],[Age]]&lt;40,"30-39",IF(Table1[[#This Row],[Age]]&lt;50,"40-49",IF(Table1[[#This Row],[Age]]&lt;60,"50-59","60+"))))</f>
        <v>40-49</v>
      </c>
    </row>
    <row r="120" spans="1:15" x14ac:dyDescent="0.25">
      <c r="A120" t="s">
        <v>270</v>
      </c>
      <c r="B120" t="s">
        <v>271</v>
      </c>
      <c r="C120" t="s">
        <v>21</v>
      </c>
      <c r="D120">
        <v>29</v>
      </c>
      <c r="E120" t="s">
        <v>81</v>
      </c>
      <c r="F120" t="s">
        <v>43</v>
      </c>
      <c r="G120" t="s">
        <v>53</v>
      </c>
      <c r="H120" s="1">
        <v>45430</v>
      </c>
      <c r="J120">
        <v>244000</v>
      </c>
      <c r="K120">
        <v>0.08</v>
      </c>
      <c r="L120" t="s">
        <v>24</v>
      </c>
      <c r="M120">
        <f ca="1">IF(Table1[[#This Row],[Exit]]="",DATEDIF(Table1[[#This Row],[Hire]],TODAY(),"Y"),DATEDIF(Table1[[#This Row],[Hire]],Table1[[#This Row],[Exit]],"Y"))</f>
        <v>1</v>
      </c>
      <c r="N120">
        <f>FLOOR(Table1[[#This Row],[Age]],10)</f>
        <v>20</v>
      </c>
      <c r="O120" t="str">
        <f>IF(Table1[[#This Row],[Age]]&lt;30,"20-29",IF(Table1[[#This Row],[Age]]&lt;40,"30-39",IF(Table1[[#This Row],[Age]]&lt;50,"40-49",IF(Table1[[#This Row],[Age]]&lt;60,"50-59","60+"))))</f>
        <v>20-29</v>
      </c>
    </row>
    <row r="121" spans="1:15" x14ac:dyDescent="0.25">
      <c r="A121" t="s">
        <v>272</v>
      </c>
      <c r="B121" t="s">
        <v>273</v>
      </c>
      <c r="C121" t="s">
        <v>41</v>
      </c>
      <c r="D121">
        <v>41</v>
      </c>
      <c r="E121" t="s">
        <v>52</v>
      </c>
      <c r="F121" t="s">
        <v>16</v>
      </c>
      <c r="G121" t="s">
        <v>17</v>
      </c>
      <c r="H121" s="1">
        <v>44509</v>
      </c>
      <c r="J121">
        <v>246000</v>
      </c>
      <c r="K121">
        <v>0.14000000000000001</v>
      </c>
      <c r="L121" t="s">
        <v>24</v>
      </c>
      <c r="M121">
        <f ca="1">IF(Table1[[#This Row],[Exit]]="",DATEDIF(Table1[[#This Row],[Hire]],TODAY(),"Y"),DATEDIF(Table1[[#This Row],[Hire]],Table1[[#This Row],[Exit]],"Y"))</f>
        <v>4</v>
      </c>
      <c r="N121">
        <f>FLOOR(Table1[[#This Row],[Age]],10)</f>
        <v>40</v>
      </c>
      <c r="O121" t="str">
        <f>IF(Table1[[#This Row],[Age]]&lt;30,"20-29",IF(Table1[[#This Row],[Age]]&lt;40,"30-39",IF(Table1[[#This Row],[Age]]&lt;50,"40-49",IF(Table1[[#This Row],[Age]]&lt;60,"50-59","60+"))))</f>
        <v>40-49</v>
      </c>
    </row>
    <row r="122" spans="1:15" x14ac:dyDescent="0.25">
      <c r="A122" t="s">
        <v>29</v>
      </c>
      <c r="B122" t="s">
        <v>274</v>
      </c>
      <c r="C122" t="s">
        <v>14</v>
      </c>
      <c r="D122">
        <v>47</v>
      </c>
      <c r="E122" t="s">
        <v>66</v>
      </c>
      <c r="F122" t="s">
        <v>16</v>
      </c>
      <c r="G122" t="s">
        <v>23</v>
      </c>
      <c r="H122" s="1">
        <v>43963</v>
      </c>
      <c r="J122">
        <v>248000</v>
      </c>
      <c r="K122">
        <v>0</v>
      </c>
      <c r="L122" t="s">
        <v>24</v>
      </c>
      <c r="M122">
        <f ca="1">IF(Table1[[#This Row],[Exit]]="",DATEDIF(Table1[[#This Row],[Hire]],TODAY(),"Y"),DATEDIF(Table1[[#This Row],[Hire]],Table1[[#This Row],[Exit]],"Y"))</f>
        <v>5</v>
      </c>
      <c r="N122">
        <f>FLOOR(Table1[[#This Row],[Age]],10)</f>
        <v>40</v>
      </c>
      <c r="O122" t="str">
        <f>IF(Table1[[#This Row],[Age]]&lt;30,"20-29",IF(Table1[[#This Row],[Age]]&lt;40,"30-39",IF(Table1[[#This Row],[Age]]&lt;50,"40-49",IF(Table1[[#This Row],[Age]]&lt;60,"50-59","60+"))))</f>
        <v>40-49</v>
      </c>
    </row>
    <row r="123" spans="1:15" x14ac:dyDescent="0.25">
      <c r="A123" t="s">
        <v>125</v>
      </c>
      <c r="B123" t="s">
        <v>275</v>
      </c>
      <c r="C123" t="s">
        <v>14</v>
      </c>
      <c r="D123">
        <v>38</v>
      </c>
      <c r="E123" t="s">
        <v>31</v>
      </c>
      <c r="F123" t="s">
        <v>16</v>
      </c>
      <c r="G123" t="s">
        <v>53</v>
      </c>
      <c r="H123" s="1">
        <v>44815</v>
      </c>
      <c r="J123">
        <v>250000</v>
      </c>
      <c r="K123">
        <v>0</v>
      </c>
      <c r="L123" t="s">
        <v>24</v>
      </c>
      <c r="M123">
        <f ca="1">IF(Table1[[#This Row],[Exit]]="",DATEDIF(Table1[[#This Row],[Hire]],TODAY(),"Y"),DATEDIF(Table1[[#This Row],[Hire]],Table1[[#This Row],[Exit]],"Y"))</f>
        <v>3</v>
      </c>
      <c r="N123">
        <f>FLOOR(Table1[[#This Row],[Age]],10)</f>
        <v>30</v>
      </c>
      <c r="O123" t="str">
        <f>IF(Table1[[#This Row],[Age]]&lt;30,"20-29",IF(Table1[[#This Row],[Age]]&lt;40,"30-39",IF(Table1[[#This Row],[Age]]&lt;50,"40-49",IF(Table1[[#This Row],[Age]]&lt;60,"50-59","60+"))))</f>
        <v>30-39</v>
      </c>
    </row>
    <row r="124" spans="1:15" x14ac:dyDescent="0.25">
      <c r="A124" t="s">
        <v>276</v>
      </c>
      <c r="B124" t="s">
        <v>277</v>
      </c>
      <c r="C124" t="s">
        <v>14</v>
      </c>
      <c r="D124">
        <v>40</v>
      </c>
      <c r="E124" t="s">
        <v>81</v>
      </c>
      <c r="F124" t="s">
        <v>49</v>
      </c>
      <c r="G124" t="s">
        <v>34</v>
      </c>
      <c r="H124" s="1">
        <v>44857</v>
      </c>
      <c r="J124">
        <v>252000</v>
      </c>
      <c r="K124">
        <v>0</v>
      </c>
      <c r="L124" t="s">
        <v>24</v>
      </c>
      <c r="M124">
        <f ca="1">IF(Table1[[#This Row],[Exit]]="",DATEDIF(Table1[[#This Row],[Hire]],TODAY(),"Y"),DATEDIF(Table1[[#This Row],[Hire]],Table1[[#This Row],[Exit]],"Y"))</f>
        <v>3</v>
      </c>
      <c r="N124">
        <f>FLOOR(Table1[[#This Row],[Age]],10)</f>
        <v>40</v>
      </c>
      <c r="O124" t="str">
        <f>IF(Table1[[#This Row],[Age]]&lt;30,"20-29",IF(Table1[[#This Row],[Age]]&lt;40,"30-39",IF(Table1[[#This Row],[Age]]&lt;50,"40-49",IF(Table1[[#This Row],[Age]]&lt;60,"50-59","60+"))))</f>
        <v>40-49</v>
      </c>
    </row>
    <row r="125" spans="1:15" x14ac:dyDescent="0.25">
      <c r="A125" t="s">
        <v>278</v>
      </c>
      <c r="B125" t="s">
        <v>279</v>
      </c>
      <c r="C125" t="s">
        <v>21</v>
      </c>
      <c r="D125">
        <v>45</v>
      </c>
      <c r="E125" t="s">
        <v>92</v>
      </c>
      <c r="F125" t="s">
        <v>59</v>
      </c>
      <c r="G125" t="s">
        <v>53</v>
      </c>
      <c r="H125" s="1">
        <v>45527</v>
      </c>
      <c r="J125">
        <v>254000</v>
      </c>
      <c r="K125">
        <v>0</v>
      </c>
      <c r="L125" t="s">
        <v>24</v>
      </c>
      <c r="M125">
        <f ca="1">IF(Table1[[#This Row],[Exit]]="",DATEDIF(Table1[[#This Row],[Hire]],TODAY(),"Y"),DATEDIF(Table1[[#This Row],[Hire]],Table1[[#This Row],[Exit]],"Y"))</f>
        <v>1</v>
      </c>
      <c r="N125">
        <f>FLOOR(Table1[[#This Row],[Age]],10)</f>
        <v>40</v>
      </c>
      <c r="O125" t="str">
        <f>IF(Table1[[#This Row],[Age]]&lt;30,"20-29",IF(Table1[[#This Row],[Age]]&lt;40,"30-39",IF(Table1[[#This Row],[Age]]&lt;50,"40-49",IF(Table1[[#This Row],[Age]]&lt;60,"50-59","60+"))))</f>
        <v>40-49</v>
      </c>
    </row>
    <row r="126" spans="1:15" x14ac:dyDescent="0.25">
      <c r="A126" t="s">
        <v>280</v>
      </c>
      <c r="B126" t="s">
        <v>281</v>
      </c>
      <c r="C126" t="s">
        <v>21</v>
      </c>
      <c r="D126">
        <v>26</v>
      </c>
      <c r="E126" t="s">
        <v>81</v>
      </c>
      <c r="F126" t="s">
        <v>46</v>
      </c>
      <c r="G126" t="s">
        <v>23</v>
      </c>
      <c r="H126" s="1">
        <v>45237</v>
      </c>
      <c r="J126">
        <v>256000</v>
      </c>
      <c r="K126">
        <v>0</v>
      </c>
      <c r="L126" t="s">
        <v>24</v>
      </c>
      <c r="M126">
        <f ca="1">IF(Table1[[#This Row],[Exit]]="",DATEDIF(Table1[[#This Row],[Hire]],TODAY(),"Y"),DATEDIF(Table1[[#This Row],[Hire]],Table1[[#This Row],[Exit]],"Y"))</f>
        <v>2</v>
      </c>
      <c r="N126">
        <f>FLOOR(Table1[[#This Row],[Age]],10)</f>
        <v>20</v>
      </c>
      <c r="O126" t="str">
        <f>IF(Table1[[#This Row],[Age]]&lt;30,"20-29",IF(Table1[[#This Row],[Age]]&lt;40,"30-39",IF(Table1[[#This Row],[Age]]&lt;50,"40-49",IF(Table1[[#This Row],[Age]]&lt;60,"50-59","60+"))))</f>
        <v>20-29</v>
      </c>
    </row>
    <row r="127" spans="1:15" x14ac:dyDescent="0.25">
      <c r="A127" t="s">
        <v>282</v>
      </c>
      <c r="B127" t="s">
        <v>283</v>
      </c>
      <c r="C127" t="s">
        <v>14</v>
      </c>
      <c r="D127">
        <v>35</v>
      </c>
      <c r="E127" t="s">
        <v>22</v>
      </c>
      <c r="F127" t="s">
        <v>16</v>
      </c>
      <c r="G127" t="s">
        <v>34</v>
      </c>
      <c r="H127" s="1">
        <v>45206</v>
      </c>
      <c r="J127">
        <v>258000</v>
      </c>
      <c r="K127">
        <v>0</v>
      </c>
      <c r="L127" t="s">
        <v>24</v>
      </c>
      <c r="M127">
        <f ca="1">IF(Table1[[#This Row],[Exit]]="",DATEDIF(Table1[[#This Row],[Hire]],TODAY(),"Y"),DATEDIF(Table1[[#This Row],[Hire]],Table1[[#This Row],[Exit]],"Y"))</f>
        <v>2</v>
      </c>
      <c r="N127">
        <f>FLOOR(Table1[[#This Row],[Age]],10)</f>
        <v>30</v>
      </c>
      <c r="O127" t="str">
        <f>IF(Table1[[#This Row],[Age]]&lt;30,"20-29",IF(Table1[[#This Row],[Age]]&lt;40,"30-39",IF(Table1[[#This Row],[Age]]&lt;50,"40-49",IF(Table1[[#This Row],[Age]]&lt;60,"50-59","60+"))))</f>
        <v>30-39</v>
      </c>
    </row>
    <row r="128" spans="1:15" x14ac:dyDescent="0.25">
      <c r="A128" t="s">
        <v>284</v>
      </c>
      <c r="B128" t="s">
        <v>285</v>
      </c>
      <c r="C128" t="s">
        <v>21</v>
      </c>
      <c r="D128">
        <v>29</v>
      </c>
      <c r="E128" t="s">
        <v>92</v>
      </c>
      <c r="F128" t="s">
        <v>59</v>
      </c>
      <c r="G128" t="s">
        <v>34</v>
      </c>
      <c r="H128" s="1">
        <v>44677</v>
      </c>
      <c r="J128">
        <v>260000</v>
      </c>
      <c r="K128">
        <v>0</v>
      </c>
      <c r="L128" t="s">
        <v>24</v>
      </c>
      <c r="M128">
        <f ca="1">IF(Table1[[#This Row],[Exit]]="",DATEDIF(Table1[[#This Row],[Hire]],TODAY(),"Y"),DATEDIF(Table1[[#This Row],[Hire]],Table1[[#This Row],[Exit]],"Y"))</f>
        <v>3</v>
      </c>
      <c r="N128">
        <f>FLOOR(Table1[[#This Row],[Age]],10)</f>
        <v>20</v>
      </c>
      <c r="O128" t="str">
        <f>IF(Table1[[#This Row],[Age]]&lt;30,"20-29",IF(Table1[[#This Row],[Age]]&lt;40,"30-39",IF(Table1[[#This Row],[Age]]&lt;50,"40-49",IF(Table1[[#This Row],[Age]]&lt;60,"50-59","60+"))))</f>
        <v>20-29</v>
      </c>
    </row>
    <row r="129" spans="1:15" x14ac:dyDescent="0.25">
      <c r="A129" t="s">
        <v>286</v>
      </c>
      <c r="B129" t="s">
        <v>287</v>
      </c>
      <c r="C129" t="s">
        <v>14</v>
      </c>
      <c r="D129">
        <v>35</v>
      </c>
      <c r="E129" t="s">
        <v>31</v>
      </c>
      <c r="F129" t="s">
        <v>16</v>
      </c>
      <c r="G129" t="s">
        <v>17</v>
      </c>
      <c r="H129" s="1">
        <v>43889</v>
      </c>
      <c r="J129">
        <v>262000</v>
      </c>
      <c r="K129">
        <v>0</v>
      </c>
      <c r="L129" t="s">
        <v>24</v>
      </c>
      <c r="M129">
        <f ca="1">IF(Table1[[#This Row],[Exit]]="",DATEDIF(Table1[[#This Row],[Hire]],TODAY(),"Y"),DATEDIF(Table1[[#This Row],[Hire]],Table1[[#This Row],[Exit]],"Y"))</f>
        <v>5</v>
      </c>
      <c r="N129">
        <f>FLOOR(Table1[[#This Row],[Age]],10)</f>
        <v>30</v>
      </c>
      <c r="O129" t="str">
        <f>IF(Table1[[#This Row],[Age]]&lt;30,"20-29",IF(Table1[[#This Row],[Age]]&lt;40,"30-39",IF(Table1[[#This Row],[Age]]&lt;50,"40-49",IF(Table1[[#This Row],[Age]]&lt;60,"50-59","60+"))))</f>
        <v>30-39</v>
      </c>
    </row>
    <row r="130" spans="1:15" x14ac:dyDescent="0.25">
      <c r="A130" t="s">
        <v>288</v>
      </c>
      <c r="B130" t="s">
        <v>289</v>
      </c>
      <c r="C130" t="s">
        <v>14</v>
      </c>
      <c r="D130">
        <v>27</v>
      </c>
      <c r="E130" t="s">
        <v>15</v>
      </c>
      <c r="F130" t="s">
        <v>16</v>
      </c>
      <c r="G130" t="s">
        <v>17</v>
      </c>
      <c r="H130" s="1">
        <v>44116</v>
      </c>
      <c r="J130">
        <v>264000</v>
      </c>
      <c r="K130">
        <v>0</v>
      </c>
      <c r="L130" t="s">
        <v>24</v>
      </c>
      <c r="M130">
        <f ca="1">IF(Table1[[#This Row],[Exit]]="",DATEDIF(Table1[[#This Row],[Hire]],TODAY(),"Y"),DATEDIF(Table1[[#This Row],[Hire]],Table1[[#This Row],[Exit]],"Y"))</f>
        <v>5</v>
      </c>
      <c r="N130">
        <f>FLOOR(Table1[[#This Row],[Age]],10)</f>
        <v>20</v>
      </c>
      <c r="O130" t="str">
        <f>IF(Table1[[#This Row],[Age]]&lt;30,"20-29",IF(Table1[[#This Row],[Age]]&lt;40,"30-39",IF(Table1[[#This Row],[Age]]&lt;50,"40-49",IF(Table1[[#This Row],[Age]]&lt;60,"50-59","60+"))))</f>
        <v>20-29</v>
      </c>
    </row>
    <row r="131" spans="1:15" x14ac:dyDescent="0.25">
      <c r="A131" t="s">
        <v>290</v>
      </c>
      <c r="B131" t="s">
        <v>291</v>
      </c>
      <c r="C131" t="s">
        <v>14</v>
      </c>
      <c r="D131">
        <v>26</v>
      </c>
      <c r="E131" t="s">
        <v>22</v>
      </c>
      <c r="F131" t="s">
        <v>16</v>
      </c>
      <c r="G131" t="s">
        <v>23</v>
      </c>
      <c r="H131" s="1">
        <v>44588</v>
      </c>
      <c r="J131">
        <v>266000</v>
      </c>
      <c r="K131">
        <v>0.1</v>
      </c>
      <c r="L131" t="s">
        <v>24</v>
      </c>
      <c r="M131">
        <f ca="1">IF(Table1[[#This Row],[Exit]]="",DATEDIF(Table1[[#This Row],[Hire]],TODAY(),"Y"),DATEDIF(Table1[[#This Row],[Hire]],Table1[[#This Row],[Exit]],"Y"))</f>
        <v>4</v>
      </c>
      <c r="N131">
        <f>FLOOR(Table1[[#This Row],[Age]],10)</f>
        <v>20</v>
      </c>
      <c r="O131" t="str">
        <f>IF(Table1[[#This Row],[Age]]&lt;30,"20-29",IF(Table1[[#This Row],[Age]]&lt;40,"30-39",IF(Table1[[#This Row],[Age]]&lt;50,"40-49",IF(Table1[[#This Row],[Age]]&lt;60,"50-59","60+"))))</f>
        <v>20-29</v>
      </c>
    </row>
    <row r="132" spans="1:15" x14ac:dyDescent="0.25">
      <c r="A132" t="s">
        <v>292</v>
      </c>
      <c r="B132" t="s">
        <v>293</v>
      </c>
      <c r="C132" t="s">
        <v>14</v>
      </c>
      <c r="D132">
        <v>27</v>
      </c>
      <c r="E132" t="s">
        <v>27</v>
      </c>
      <c r="F132" t="s">
        <v>28</v>
      </c>
      <c r="G132" t="s">
        <v>17</v>
      </c>
      <c r="H132" s="1">
        <v>45337</v>
      </c>
      <c r="J132">
        <v>268000</v>
      </c>
      <c r="K132">
        <v>0.33</v>
      </c>
      <c r="L132" t="s">
        <v>24</v>
      </c>
      <c r="M132">
        <f ca="1">IF(Table1[[#This Row],[Exit]]="",DATEDIF(Table1[[#This Row],[Hire]],TODAY(),"Y"),DATEDIF(Table1[[#This Row],[Hire]],Table1[[#This Row],[Exit]],"Y"))</f>
        <v>1</v>
      </c>
      <c r="N132">
        <f>FLOOR(Table1[[#This Row],[Age]],10)</f>
        <v>20</v>
      </c>
      <c r="O132" t="str">
        <f>IF(Table1[[#This Row],[Age]]&lt;30,"20-29",IF(Table1[[#This Row],[Age]]&lt;40,"30-39",IF(Table1[[#This Row],[Age]]&lt;50,"40-49",IF(Table1[[#This Row],[Age]]&lt;60,"50-59","60+"))))</f>
        <v>20-29</v>
      </c>
    </row>
    <row r="133" spans="1:15" x14ac:dyDescent="0.25">
      <c r="A133" t="s">
        <v>141</v>
      </c>
      <c r="B133" t="s">
        <v>294</v>
      </c>
      <c r="C133" t="s">
        <v>21</v>
      </c>
      <c r="D133">
        <v>30</v>
      </c>
      <c r="E133" t="s">
        <v>31</v>
      </c>
      <c r="F133" t="s">
        <v>16</v>
      </c>
      <c r="G133" t="s">
        <v>23</v>
      </c>
      <c r="H133" s="1">
        <v>45332</v>
      </c>
      <c r="J133">
        <v>270000</v>
      </c>
      <c r="K133">
        <v>0.05</v>
      </c>
      <c r="L133" t="s">
        <v>24</v>
      </c>
      <c r="M133">
        <f ca="1">IF(Table1[[#This Row],[Exit]]="",DATEDIF(Table1[[#This Row],[Hire]],TODAY(),"Y"),DATEDIF(Table1[[#This Row],[Hire]],Table1[[#This Row],[Exit]],"Y"))</f>
        <v>1</v>
      </c>
      <c r="N133">
        <f>FLOOR(Table1[[#This Row],[Age]],10)</f>
        <v>30</v>
      </c>
      <c r="O133" t="str">
        <f>IF(Table1[[#This Row],[Age]]&lt;30,"20-29",IF(Table1[[#This Row],[Age]]&lt;40,"30-39",IF(Table1[[#This Row],[Age]]&lt;50,"40-49",IF(Table1[[#This Row],[Age]]&lt;60,"50-59","60+"))))</f>
        <v>30-39</v>
      </c>
    </row>
    <row r="134" spans="1:15" x14ac:dyDescent="0.25">
      <c r="A134" t="s">
        <v>159</v>
      </c>
      <c r="B134" t="s">
        <v>295</v>
      </c>
      <c r="C134" t="s">
        <v>14</v>
      </c>
      <c r="D134">
        <v>36</v>
      </c>
      <c r="E134" t="s">
        <v>27</v>
      </c>
      <c r="F134" t="s">
        <v>28</v>
      </c>
      <c r="G134" t="s">
        <v>34</v>
      </c>
      <c r="H134" s="1">
        <v>44183</v>
      </c>
      <c r="I134" s="1">
        <v>45273</v>
      </c>
      <c r="J134">
        <v>272000</v>
      </c>
      <c r="K134">
        <v>0</v>
      </c>
      <c r="L134" t="s">
        <v>18</v>
      </c>
      <c r="M134">
        <f ca="1">IF(Table1[[#This Row],[Exit]]="",DATEDIF(Table1[[#This Row],[Hire]],TODAY(),"Y"),DATEDIF(Table1[[#This Row],[Hire]],Table1[[#This Row],[Exit]],"Y"))</f>
        <v>2</v>
      </c>
      <c r="N134">
        <f>FLOOR(Table1[[#This Row],[Age]],10)</f>
        <v>30</v>
      </c>
      <c r="O134" t="str">
        <f>IF(Table1[[#This Row],[Age]]&lt;30,"20-29",IF(Table1[[#This Row],[Age]]&lt;40,"30-39",IF(Table1[[#This Row],[Age]]&lt;50,"40-49",IF(Table1[[#This Row],[Age]]&lt;60,"50-59","60+"))))</f>
        <v>30-39</v>
      </c>
    </row>
    <row r="135" spans="1:15" x14ac:dyDescent="0.25">
      <c r="A135" t="s">
        <v>296</v>
      </c>
      <c r="B135" t="s">
        <v>297</v>
      </c>
      <c r="C135" t="s">
        <v>21</v>
      </c>
      <c r="D135">
        <v>45</v>
      </c>
      <c r="E135" t="s">
        <v>15</v>
      </c>
      <c r="F135" t="s">
        <v>16</v>
      </c>
      <c r="G135" t="s">
        <v>23</v>
      </c>
      <c r="H135" s="1">
        <v>43837</v>
      </c>
      <c r="J135">
        <v>274000</v>
      </c>
      <c r="K135">
        <v>0.15</v>
      </c>
      <c r="L135" t="s">
        <v>24</v>
      </c>
      <c r="M135">
        <f ca="1">IF(Table1[[#This Row],[Exit]]="",DATEDIF(Table1[[#This Row],[Hire]],TODAY(),"Y"),DATEDIF(Table1[[#This Row],[Hire]],Table1[[#This Row],[Exit]],"Y"))</f>
        <v>6</v>
      </c>
      <c r="N135">
        <f>FLOOR(Table1[[#This Row],[Age]],10)</f>
        <v>40</v>
      </c>
      <c r="O135" t="str">
        <f>IF(Table1[[#This Row],[Age]]&lt;30,"20-29",IF(Table1[[#This Row],[Age]]&lt;40,"30-39",IF(Table1[[#This Row],[Age]]&lt;50,"40-49",IF(Table1[[#This Row],[Age]]&lt;60,"50-59","60+"))))</f>
        <v>40-49</v>
      </c>
    </row>
    <row r="136" spans="1:15" x14ac:dyDescent="0.25">
      <c r="A136" t="s">
        <v>298</v>
      </c>
      <c r="B136" t="s">
        <v>299</v>
      </c>
      <c r="C136" t="s">
        <v>14</v>
      </c>
      <c r="D136">
        <v>37</v>
      </c>
      <c r="E136" t="s">
        <v>15</v>
      </c>
      <c r="F136" t="s">
        <v>16</v>
      </c>
      <c r="G136" t="s">
        <v>34</v>
      </c>
      <c r="H136" s="1">
        <v>45206</v>
      </c>
      <c r="J136">
        <v>276000</v>
      </c>
      <c r="K136">
        <v>0</v>
      </c>
      <c r="L136" t="s">
        <v>24</v>
      </c>
      <c r="M136">
        <f ca="1">IF(Table1[[#This Row],[Exit]]="",DATEDIF(Table1[[#This Row],[Hire]],TODAY(),"Y"),DATEDIF(Table1[[#This Row],[Hire]],Table1[[#This Row],[Exit]],"Y"))</f>
        <v>2</v>
      </c>
      <c r="N136">
        <f>FLOOR(Table1[[#This Row],[Age]],10)</f>
        <v>30</v>
      </c>
      <c r="O136" t="str">
        <f>IF(Table1[[#This Row],[Age]]&lt;30,"20-29",IF(Table1[[#This Row],[Age]]&lt;40,"30-39",IF(Table1[[#This Row],[Age]]&lt;50,"40-49",IF(Table1[[#This Row],[Age]]&lt;60,"50-59","60+"))))</f>
        <v>30-39</v>
      </c>
    </row>
    <row r="137" spans="1:15" x14ac:dyDescent="0.25">
      <c r="A137" t="s">
        <v>300</v>
      </c>
      <c r="B137" t="s">
        <v>301</v>
      </c>
      <c r="C137" t="s">
        <v>14</v>
      </c>
      <c r="D137">
        <v>38</v>
      </c>
      <c r="E137" t="s">
        <v>42</v>
      </c>
      <c r="F137" t="s">
        <v>43</v>
      </c>
      <c r="G137" t="s">
        <v>34</v>
      </c>
      <c r="H137" s="1">
        <v>44487</v>
      </c>
      <c r="J137">
        <v>278000</v>
      </c>
      <c r="K137">
        <v>0</v>
      </c>
      <c r="L137" t="s">
        <v>24</v>
      </c>
      <c r="M137">
        <f ca="1">IF(Table1[[#This Row],[Exit]]="",DATEDIF(Table1[[#This Row],[Hire]],TODAY(),"Y"),DATEDIF(Table1[[#This Row],[Hire]],Table1[[#This Row],[Exit]],"Y"))</f>
        <v>4</v>
      </c>
      <c r="N137">
        <f>FLOOR(Table1[[#This Row],[Age]],10)</f>
        <v>30</v>
      </c>
      <c r="O137" t="str">
        <f>IF(Table1[[#This Row],[Age]]&lt;30,"20-29",IF(Table1[[#This Row],[Age]]&lt;40,"30-39",IF(Table1[[#This Row],[Age]]&lt;50,"40-49",IF(Table1[[#This Row],[Age]]&lt;60,"50-59","60+"))))</f>
        <v>30-39</v>
      </c>
    </row>
    <row r="138" spans="1:15" x14ac:dyDescent="0.25">
      <c r="A138" t="s">
        <v>302</v>
      </c>
      <c r="B138" t="s">
        <v>303</v>
      </c>
      <c r="C138" t="s">
        <v>21</v>
      </c>
      <c r="D138">
        <v>45</v>
      </c>
      <c r="E138" t="s">
        <v>42</v>
      </c>
      <c r="F138" t="s">
        <v>46</v>
      </c>
      <c r="G138" t="s">
        <v>23</v>
      </c>
      <c r="H138" s="1">
        <v>44791</v>
      </c>
      <c r="J138">
        <v>280000</v>
      </c>
      <c r="K138">
        <v>0</v>
      </c>
      <c r="L138" t="s">
        <v>24</v>
      </c>
      <c r="M138">
        <f ca="1">IF(Table1[[#This Row],[Exit]]="",DATEDIF(Table1[[#This Row],[Hire]],TODAY(),"Y"),DATEDIF(Table1[[#This Row],[Hire]],Table1[[#This Row],[Exit]],"Y"))</f>
        <v>3</v>
      </c>
      <c r="N138">
        <f>FLOOR(Table1[[#This Row],[Age]],10)</f>
        <v>40</v>
      </c>
      <c r="O138" t="str">
        <f>IF(Table1[[#This Row],[Age]]&lt;30,"20-29",IF(Table1[[#This Row],[Age]]&lt;40,"30-39",IF(Table1[[#This Row],[Age]]&lt;50,"40-49",IF(Table1[[#This Row],[Age]]&lt;60,"50-59","60+"))))</f>
        <v>40-49</v>
      </c>
    </row>
    <row r="139" spans="1:15" x14ac:dyDescent="0.25">
      <c r="A139" t="s">
        <v>304</v>
      </c>
      <c r="B139" t="s">
        <v>305</v>
      </c>
      <c r="C139" t="s">
        <v>41</v>
      </c>
      <c r="D139">
        <v>51</v>
      </c>
      <c r="E139" t="s">
        <v>42</v>
      </c>
      <c r="F139" t="s">
        <v>49</v>
      </c>
      <c r="G139" t="s">
        <v>17</v>
      </c>
      <c r="H139" s="1">
        <v>45440</v>
      </c>
      <c r="J139">
        <v>282000</v>
      </c>
      <c r="K139">
        <v>0.31</v>
      </c>
      <c r="L139" t="s">
        <v>24</v>
      </c>
      <c r="M139">
        <f ca="1">IF(Table1[[#This Row],[Exit]]="",DATEDIF(Table1[[#This Row],[Hire]],TODAY(),"Y"),DATEDIF(Table1[[#This Row],[Hire]],Table1[[#This Row],[Exit]],"Y"))</f>
        <v>1</v>
      </c>
      <c r="N139">
        <f>FLOOR(Table1[[#This Row],[Age]],10)</f>
        <v>50</v>
      </c>
      <c r="O139" t="str">
        <f>IF(Table1[[#This Row],[Age]]&lt;30,"20-29",IF(Table1[[#This Row],[Age]]&lt;40,"30-39",IF(Table1[[#This Row],[Age]]&lt;50,"40-49",IF(Table1[[#This Row],[Age]]&lt;60,"50-59","60+"))))</f>
        <v>50-59</v>
      </c>
    </row>
    <row r="140" spans="1:15" x14ac:dyDescent="0.25">
      <c r="A140" t="s">
        <v>306</v>
      </c>
      <c r="B140" t="s">
        <v>307</v>
      </c>
      <c r="C140" t="s">
        <v>14</v>
      </c>
      <c r="D140">
        <v>56</v>
      </c>
      <c r="E140" t="s">
        <v>52</v>
      </c>
      <c r="F140" t="s">
        <v>16</v>
      </c>
      <c r="G140" t="s">
        <v>53</v>
      </c>
      <c r="H140" s="1">
        <v>44811</v>
      </c>
      <c r="J140">
        <v>284000</v>
      </c>
      <c r="K140">
        <v>0.28999999999999998</v>
      </c>
      <c r="L140" t="s">
        <v>24</v>
      </c>
      <c r="M140">
        <f ca="1">IF(Table1[[#This Row],[Exit]]="",DATEDIF(Table1[[#This Row],[Hire]],TODAY(),"Y"),DATEDIF(Table1[[#This Row],[Hire]],Table1[[#This Row],[Exit]],"Y"))</f>
        <v>3</v>
      </c>
      <c r="N140">
        <f>FLOOR(Table1[[#This Row],[Age]],10)</f>
        <v>50</v>
      </c>
      <c r="O140" t="str">
        <f>IF(Table1[[#This Row],[Age]]&lt;30,"20-29",IF(Table1[[#This Row],[Age]]&lt;40,"30-39",IF(Table1[[#This Row],[Age]]&lt;50,"40-49",IF(Table1[[#This Row],[Age]]&lt;60,"50-59","60+"))))</f>
        <v>50-59</v>
      </c>
    </row>
    <row r="141" spans="1:15" x14ac:dyDescent="0.25">
      <c r="A141" t="s">
        <v>308</v>
      </c>
      <c r="B141" t="s">
        <v>309</v>
      </c>
      <c r="C141" t="s">
        <v>41</v>
      </c>
      <c r="D141">
        <v>53</v>
      </c>
      <c r="E141" t="s">
        <v>42</v>
      </c>
      <c r="F141" t="s">
        <v>46</v>
      </c>
      <c r="G141" t="s">
        <v>53</v>
      </c>
      <c r="H141" s="1">
        <v>45294</v>
      </c>
      <c r="J141">
        <v>286000</v>
      </c>
      <c r="K141">
        <v>0.15</v>
      </c>
      <c r="L141" t="s">
        <v>24</v>
      </c>
      <c r="M141">
        <f ca="1">IF(Table1[[#This Row],[Exit]]="",DATEDIF(Table1[[#This Row],[Hire]],TODAY(),"Y"),DATEDIF(Table1[[#This Row],[Hire]],Table1[[#This Row],[Exit]],"Y"))</f>
        <v>2</v>
      </c>
      <c r="N141">
        <f>FLOOR(Table1[[#This Row],[Age]],10)</f>
        <v>50</v>
      </c>
      <c r="O141" t="str">
        <f>IF(Table1[[#This Row],[Age]]&lt;30,"20-29",IF(Table1[[#This Row],[Age]]&lt;40,"30-39",IF(Table1[[#This Row],[Age]]&lt;50,"40-49",IF(Table1[[#This Row],[Age]]&lt;60,"50-59","60+"))))</f>
        <v>50-59</v>
      </c>
    </row>
    <row r="142" spans="1:15" x14ac:dyDescent="0.25">
      <c r="A142" t="s">
        <v>32</v>
      </c>
      <c r="B142" t="s">
        <v>310</v>
      </c>
      <c r="C142" t="s">
        <v>14</v>
      </c>
      <c r="D142">
        <v>47</v>
      </c>
      <c r="E142" t="s">
        <v>58</v>
      </c>
      <c r="F142" t="s">
        <v>59</v>
      </c>
      <c r="G142" t="s">
        <v>34</v>
      </c>
      <c r="H142" s="1">
        <v>45074</v>
      </c>
      <c r="J142">
        <v>288000</v>
      </c>
      <c r="K142">
        <v>0</v>
      </c>
      <c r="L142" t="s">
        <v>24</v>
      </c>
      <c r="M142">
        <f ca="1">IF(Table1[[#This Row],[Exit]]="",DATEDIF(Table1[[#This Row],[Hire]],TODAY(),"Y"),DATEDIF(Table1[[#This Row],[Hire]],Table1[[#This Row],[Exit]],"Y"))</f>
        <v>2</v>
      </c>
      <c r="N142">
        <f>FLOOR(Table1[[#This Row],[Age]],10)</f>
        <v>40</v>
      </c>
      <c r="O142" t="str">
        <f>IF(Table1[[#This Row],[Age]]&lt;30,"20-29",IF(Table1[[#This Row],[Age]]&lt;40,"30-39",IF(Table1[[#This Row],[Age]]&lt;50,"40-49",IF(Table1[[#This Row],[Age]]&lt;60,"50-59","60+"))))</f>
        <v>40-49</v>
      </c>
    </row>
    <row r="143" spans="1:15" x14ac:dyDescent="0.25">
      <c r="A143" t="s">
        <v>311</v>
      </c>
      <c r="B143" t="s">
        <v>312</v>
      </c>
      <c r="C143" t="s">
        <v>14</v>
      </c>
      <c r="D143">
        <v>36</v>
      </c>
      <c r="E143" t="s">
        <v>52</v>
      </c>
      <c r="F143" t="s">
        <v>16</v>
      </c>
      <c r="G143" t="s">
        <v>23</v>
      </c>
      <c r="H143" s="1">
        <v>45245</v>
      </c>
      <c r="J143">
        <v>290000</v>
      </c>
      <c r="K143">
        <v>0.4</v>
      </c>
      <c r="L143" t="s">
        <v>24</v>
      </c>
      <c r="M143">
        <f ca="1">IF(Table1[[#This Row],[Exit]]="",DATEDIF(Table1[[#This Row],[Hire]],TODAY(),"Y"),DATEDIF(Table1[[#This Row],[Hire]],Table1[[#This Row],[Exit]],"Y"))</f>
        <v>2</v>
      </c>
      <c r="N143">
        <f>FLOOR(Table1[[#This Row],[Age]],10)</f>
        <v>30</v>
      </c>
      <c r="O143" t="str">
        <f>IF(Table1[[#This Row],[Age]]&lt;30,"20-29",IF(Table1[[#This Row],[Age]]&lt;40,"30-39",IF(Table1[[#This Row],[Age]]&lt;50,"40-49",IF(Table1[[#This Row],[Age]]&lt;60,"50-59","60+"))))</f>
        <v>30-39</v>
      </c>
    </row>
    <row r="144" spans="1:15" x14ac:dyDescent="0.25">
      <c r="A144" t="s">
        <v>313</v>
      </c>
      <c r="B144" t="s">
        <v>314</v>
      </c>
      <c r="C144" t="s">
        <v>21</v>
      </c>
      <c r="D144">
        <v>41</v>
      </c>
      <c r="E144" t="s">
        <v>52</v>
      </c>
      <c r="F144" t="s">
        <v>16</v>
      </c>
      <c r="G144" t="s">
        <v>34</v>
      </c>
      <c r="H144" s="1">
        <v>43851</v>
      </c>
      <c r="J144">
        <v>292000</v>
      </c>
      <c r="K144">
        <v>0.14000000000000001</v>
      </c>
      <c r="L144" t="s">
        <v>24</v>
      </c>
      <c r="M144">
        <f ca="1">IF(Table1[[#This Row],[Exit]]="",DATEDIF(Table1[[#This Row],[Hire]],TODAY(),"Y"),DATEDIF(Table1[[#This Row],[Hire]],Table1[[#This Row],[Exit]],"Y"))</f>
        <v>6</v>
      </c>
      <c r="N144">
        <f>FLOOR(Table1[[#This Row],[Age]],10)</f>
        <v>40</v>
      </c>
      <c r="O144" t="str">
        <f>IF(Table1[[#This Row],[Age]]&lt;30,"20-29",IF(Table1[[#This Row],[Age]]&lt;40,"30-39",IF(Table1[[#This Row],[Age]]&lt;50,"40-49",IF(Table1[[#This Row],[Age]]&lt;60,"50-59","60+"))))</f>
        <v>40-49</v>
      </c>
    </row>
    <row r="145" spans="1:15" x14ac:dyDescent="0.25">
      <c r="A145" t="s">
        <v>315</v>
      </c>
      <c r="B145" t="s">
        <v>316</v>
      </c>
      <c r="C145" t="s">
        <v>21</v>
      </c>
      <c r="D145">
        <v>30</v>
      </c>
      <c r="E145" t="s">
        <v>66</v>
      </c>
      <c r="F145" t="s">
        <v>16</v>
      </c>
      <c r="G145" t="s">
        <v>17</v>
      </c>
      <c r="H145" s="1">
        <v>45206</v>
      </c>
      <c r="J145">
        <v>294000</v>
      </c>
      <c r="K145">
        <v>0</v>
      </c>
      <c r="L145" t="s">
        <v>24</v>
      </c>
      <c r="M145">
        <f ca="1">IF(Table1[[#This Row],[Exit]]="",DATEDIF(Table1[[#This Row],[Hire]],TODAY(),"Y"),DATEDIF(Table1[[#This Row],[Hire]],Table1[[#This Row],[Exit]],"Y"))</f>
        <v>2</v>
      </c>
      <c r="N145">
        <f>FLOOR(Table1[[#This Row],[Age]],10)</f>
        <v>30</v>
      </c>
      <c r="O145" t="str">
        <f>IF(Table1[[#This Row],[Age]]&lt;30,"20-29",IF(Table1[[#This Row],[Age]]&lt;40,"30-39",IF(Table1[[#This Row],[Age]]&lt;50,"40-49",IF(Table1[[#This Row],[Age]]&lt;60,"50-59","60+"))))</f>
        <v>30-39</v>
      </c>
    </row>
    <row r="146" spans="1:15" x14ac:dyDescent="0.25">
      <c r="A146" t="s">
        <v>317</v>
      </c>
      <c r="B146" t="s">
        <v>318</v>
      </c>
      <c r="C146" t="s">
        <v>21</v>
      </c>
      <c r="D146">
        <v>30</v>
      </c>
      <c r="E146" t="s">
        <v>58</v>
      </c>
      <c r="F146" t="s">
        <v>59</v>
      </c>
      <c r="G146" t="s">
        <v>23</v>
      </c>
      <c r="H146" s="1">
        <v>45401</v>
      </c>
      <c r="J146">
        <v>296000</v>
      </c>
      <c r="K146">
        <v>0</v>
      </c>
      <c r="L146" t="s">
        <v>24</v>
      </c>
      <c r="M146">
        <f ca="1">IF(Table1[[#This Row],[Exit]]="",DATEDIF(Table1[[#This Row],[Hire]],TODAY(),"Y"),DATEDIF(Table1[[#This Row],[Hire]],Table1[[#This Row],[Exit]],"Y"))</f>
        <v>1</v>
      </c>
      <c r="N146">
        <f>FLOOR(Table1[[#This Row],[Age]],10)</f>
        <v>30</v>
      </c>
      <c r="O146" t="str">
        <f>IF(Table1[[#This Row],[Age]]&lt;30,"20-29",IF(Table1[[#This Row],[Age]]&lt;40,"30-39",IF(Table1[[#This Row],[Age]]&lt;50,"40-49",IF(Table1[[#This Row],[Age]]&lt;60,"50-59","60+"))))</f>
        <v>30-39</v>
      </c>
    </row>
    <row r="147" spans="1:15" x14ac:dyDescent="0.25">
      <c r="A147" t="s">
        <v>319</v>
      </c>
      <c r="B147" t="s">
        <v>320</v>
      </c>
      <c r="C147" t="s">
        <v>14</v>
      </c>
      <c r="D147">
        <v>38</v>
      </c>
      <c r="E147" t="s">
        <v>66</v>
      </c>
      <c r="F147" t="s">
        <v>16</v>
      </c>
      <c r="G147" t="s">
        <v>34</v>
      </c>
      <c r="H147" s="1">
        <v>44083</v>
      </c>
      <c r="J147">
        <v>298000</v>
      </c>
      <c r="K147">
        <v>0.39</v>
      </c>
      <c r="L147" t="s">
        <v>24</v>
      </c>
      <c r="M147">
        <f ca="1">IF(Table1[[#This Row],[Exit]]="",DATEDIF(Table1[[#This Row],[Hire]],TODAY(),"Y"),DATEDIF(Table1[[#This Row],[Hire]],Table1[[#This Row],[Exit]],"Y"))</f>
        <v>5</v>
      </c>
      <c r="N147">
        <f>FLOOR(Table1[[#This Row],[Age]],10)</f>
        <v>30</v>
      </c>
      <c r="O147" t="str">
        <f>IF(Table1[[#This Row],[Age]]&lt;30,"20-29",IF(Table1[[#This Row],[Age]]&lt;40,"30-39",IF(Table1[[#This Row],[Age]]&lt;50,"40-49",IF(Table1[[#This Row],[Age]]&lt;60,"50-59","60+"))))</f>
        <v>30-39</v>
      </c>
    </row>
    <row r="148" spans="1:15" x14ac:dyDescent="0.25">
      <c r="A148" t="s">
        <v>321</v>
      </c>
      <c r="B148" t="s">
        <v>322</v>
      </c>
      <c r="C148" t="s">
        <v>21</v>
      </c>
      <c r="D148">
        <v>28</v>
      </c>
      <c r="E148" t="s">
        <v>66</v>
      </c>
      <c r="F148" t="s">
        <v>16</v>
      </c>
      <c r="G148" t="s">
        <v>53</v>
      </c>
      <c r="H148" s="1">
        <v>45233</v>
      </c>
      <c r="J148">
        <v>300000</v>
      </c>
      <c r="K148">
        <v>0.21</v>
      </c>
      <c r="L148" t="s">
        <v>24</v>
      </c>
      <c r="M148">
        <f ca="1">IF(Table1[[#This Row],[Exit]]="",DATEDIF(Table1[[#This Row],[Hire]],TODAY(),"Y"),DATEDIF(Table1[[#This Row],[Hire]],Table1[[#This Row],[Exit]],"Y"))</f>
        <v>2</v>
      </c>
      <c r="N148">
        <f>FLOOR(Table1[[#This Row],[Age]],10)</f>
        <v>20</v>
      </c>
      <c r="O148" t="str">
        <f>IF(Table1[[#This Row],[Age]]&lt;30,"20-29",IF(Table1[[#This Row],[Age]]&lt;40,"30-39",IF(Table1[[#This Row],[Age]]&lt;50,"40-49",IF(Table1[[#This Row],[Age]]&lt;60,"50-59","60+"))))</f>
        <v>20-29</v>
      </c>
    </row>
    <row r="149" spans="1:15" x14ac:dyDescent="0.25">
      <c r="A149" t="s">
        <v>323</v>
      </c>
      <c r="B149" t="s">
        <v>324</v>
      </c>
      <c r="C149" t="s">
        <v>14</v>
      </c>
      <c r="D149">
        <v>39</v>
      </c>
      <c r="E149" t="s">
        <v>58</v>
      </c>
      <c r="F149" t="s">
        <v>59</v>
      </c>
      <c r="G149" t="s">
        <v>53</v>
      </c>
      <c r="H149" s="1">
        <v>45412</v>
      </c>
      <c r="J149">
        <v>302000</v>
      </c>
      <c r="K149">
        <v>0.1</v>
      </c>
      <c r="L149" t="s">
        <v>24</v>
      </c>
      <c r="M149">
        <f ca="1">IF(Table1[[#This Row],[Exit]]="",DATEDIF(Table1[[#This Row],[Hire]],TODAY(),"Y"),DATEDIF(Table1[[#This Row],[Hire]],Table1[[#This Row],[Exit]],"Y"))</f>
        <v>1</v>
      </c>
      <c r="N149">
        <f>FLOOR(Table1[[#This Row],[Age]],10)</f>
        <v>30</v>
      </c>
      <c r="O149" t="str">
        <f>IF(Table1[[#This Row],[Age]]&lt;30,"20-29",IF(Table1[[#This Row],[Age]]&lt;40,"30-39",IF(Table1[[#This Row],[Age]]&lt;50,"40-49",IF(Table1[[#This Row],[Age]]&lt;60,"50-59","60+"))))</f>
        <v>30-39</v>
      </c>
    </row>
    <row r="150" spans="1:15" x14ac:dyDescent="0.25">
      <c r="A150" t="s">
        <v>325</v>
      </c>
      <c r="B150" t="s">
        <v>326</v>
      </c>
      <c r="C150" t="s">
        <v>41</v>
      </c>
      <c r="D150">
        <v>31</v>
      </c>
      <c r="E150" t="s">
        <v>15</v>
      </c>
      <c r="F150" t="s">
        <v>16</v>
      </c>
      <c r="G150" t="s">
        <v>53</v>
      </c>
      <c r="H150" s="1">
        <v>43887</v>
      </c>
      <c r="J150">
        <v>304000</v>
      </c>
      <c r="K150">
        <v>0.05</v>
      </c>
      <c r="L150" t="s">
        <v>24</v>
      </c>
      <c r="M150">
        <f ca="1">IF(Table1[[#This Row],[Exit]]="",DATEDIF(Table1[[#This Row],[Hire]],TODAY(),"Y"),DATEDIF(Table1[[#This Row],[Hire]],Table1[[#This Row],[Exit]],"Y"))</f>
        <v>5</v>
      </c>
      <c r="N150">
        <f>FLOOR(Table1[[#This Row],[Age]],10)</f>
        <v>30</v>
      </c>
      <c r="O150" t="str">
        <f>IF(Table1[[#This Row],[Age]]&lt;30,"20-29",IF(Table1[[#This Row],[Age]]&lt;40,"30-39",IF(Table1[[#This Row],[Age]]&lt;50,"40-49",IF(Table1[[#This Row],[Age]]&lt;60,"50-59","60+"))))</f>
        <v>30-39</v>
      </c>
    </row>
    <row r="151" spans="1:15" x14ac:dyDescent="0.25">
      <c r="A151" t="s">
        <v>327</v>
      </c>
      <c r="B151" t="s">
        <v>328</v>
      </c>
      <c r="C151" t="s">
        <v>14</v>
      </c>
      <c r="D151">
        <v>45</v>
      </c>
      <c r="E151" t="s">
        <v>22</v>
      </c>
      <c r="F151" t="s">
        <v>16</v>
      </c>
      <c r="G151" t="s">
        <v>53</v>
      </c>
      <c r="H151" s="1">
        <v>44815</v>
      </c>
      <c r="J151">
        <v>306000</v>
      </c>
      <c r="K151">
        <v>0.1</v>
      </c>
      <c r="L151" t="s">
        <v>24</v>
      </c>
      <c r="M151">
        <f ca="1">IF(Table1[[#This Row],[Exit]]="",DATEDIF(Table1[[#This Row],[Hire]],TODAY(),"Y"),DATEDIF(Table1[[#This Row],[Hire]],Table1[[#This Row],[Exit]],"Y"))</f>
        <v>3</v>
      </c>
      <c r="N151">
        <f>FLOOR(Table1[[#This Row],[Age]],10)</f>
        <v>40</v>
      </c>
      <c r="O151" t="str">
        <f>IF(Table1[[#This Row],[Age]]&lt;30,"20-29",IF(Table1[[#This Row],[Age]]&lt;40,"30-39",IF(Table1[[#This Row],[Age]]&lt;50,"40-49",IF(Table1[[#This Row],[Age]]&lt;60,"50-59","60+"))))</f>
        <v>40-49</v>
      </c>
    </row>
    <row r="152" spans="1:15" x14ac:dyDescent="0.25">
      <c r="A152" t="s">
        <v>329</v>
      </c>
      <c r="B152" t="s">
        <v>330</v>
      </c>
      <c r="C152" t="s">
        <v>21</v>
      </c>
      <c r="D152">
        <v>50</v>
      </c>
      <c r="E152" t="s">
        <v>81</v>
      </c>
      <c r="F152" t="s">
        <v>43</v>
      </c>
      <c r="G152" t="s">
        <v>53</v>
      </c>
      <c r="H152" s="1">
        <v>45430</v>
      </c>
      <c r="J152">
        <v>308000</v>
      </c>
      <c r="K152">
        <v>0.31</v>
      </c>
      <c r="L152" t="s">
        <v>24</v>
      </c>
      <c r="M152">
        <f ca="1">IF(Table1[[#This Row],[Exit]]="",DATEDIF(Table1[[#This Row],[Hire]],TODAY(),"Y"),DATEDIF(Table1[[#This Row],[Hire]],Table1[[#This Row],[Exit]],"Y"))</f>
        <v>1</v>
      </c>
      <c r="N152">
        <f>FLOOR(Table1[[#This Row],[Age]],10)</f>
        <v>50</v>
      </c>
      <c r="O152" t="str">
        <f>IF(Table1[[#This Row],[Age]]&lt;30,"20-29",IF(Table1[[#This Row],[Age]]&lt;40,"30-39",IF(Table1[[#This Row],[Age]]&lt;50,"40-49",IF(Table1[[#This Row],[Age]]&lt;60,"50-59","60+"))))</f>
        <v>50-59</v>
      </c>
    </row>
    <row r="153" spans="1:15" x14ac:dyDescent="0.25">
      <c r="A153" t="s">
        <v>331</v>
      </c>
      <c r="B153" t="s">
        <v>332</v>
      </c>
      <c r="C153" t="s">
        <v>14</v>
      </c>
      <c r="D153">
        <v>36</v>
      </c>
      <c r="E153" t="s">
        <v>52</v>
      </c>
      <c r="F153" t="s">
        <v>16</v>
      </c>
      <c r="G153" t="s">
        <v>17</v>
      </c>
      <c r="H153" s="1">
        <v>44509</v>
      </c>
      <c r="J153">
        <v>310000</v>
      </c>
      <c r="K153">
        <v>0</v>
      </c>
      <c r="L153" t="s">
        <v>24</v>
      </c>
      <c r="M153">
        <f ca="1">IF(Table1[[#This Row],[Exit]]="",DATEDIF(Table1[[#This Row],[Hire]],TODAY(),"Y"),DATEDIF(Table1[[#This Row],[Hire]],Table1[[#This Row],[Exit]],"Y"))</f>
        <v>4</v>
      </c>
      <c r="N153">
        <f>FLOOR(Table1[[#This Row],[Age]],10)</f>
        <v>30</v>
      </c>
      <c r="O153" t="str">
        <f>IF(Table1[[#This Row],[Age]]&lt;30,"20-29",IF(Table1[[#This Row],[Age]]&lt;40,"30-39",IF(Table1[[#This Row],[Age]]&lt;50,"40-49",IF(Table1[[#This Row],[Age]]&lt;60,"50-59","60+"))))</f>
        <v>30-39</v>
      </c>
    </row>
    <row r="154" spans="1:15" x14ac:dyDescent="0.25">
      <c r="A154" t="s">
        <v>333</v>
      </c>
      <c r="B154" t="s">
        <v>334</v>
      </c>
      <c r="C154" t="s">
        <v>14</v>
      </c>
      <c r="D154">
        <v>45</v>
      </c>
      <c r="E154" t="s">
        <v>66</v>
      </c>
      <c r="F154" t="s">
        <v>16</v>
      </c>
      <c r="G154" t="s">
        <v>23</v>
      </c>
      <c r="H154" s="1">
        <v>43963</v>
      </c>
      <c r="J154">
        <v>312000</v>
      </c>
      <c r="K154">
        <v>0.08</v>
      </c>
      <c r="L154" t="s">
        <v>24</v>
      </c>
      <c r="M154">
        <f ca="1">IF(Table1[[#This Row],[Exit]]="",DATEDIF(Table1[[#This Row],[Hire]],TODAY(),"Y"),DATEDIF(Table1[[#This Row],[Hire]],Table1[[#This Row],[Exit]],"Y"))</f>
        <v>5</v>
      </c>
      <c r="N154">
        <f>FLOOR(Table1[[#This Row],[Age]],10)</f>
        <v>40</v>
      </c>
      <c r="O154" t="str">
        <f>IF(Table1[[#This Row],[Age]]&lt;30,"20-29",IF(Table1[[#This Row],[Age]]&lt;40,"30-39",IF(Table1[[#This Row],[Age]]&lt;50,"40-49",IF(Table1[[#This Row],[Age]]&lt;60,"50-59","60+"))))</f>
        <v>40-49</v>
      </c>
    </row>
    <row r="155" spans="1:15" x14ac:dyDescent="0.25">
      <c r="A155" t="s">
        <v>335</v>
      </c>
      <c r="B155" t="s">
        <v>336</v>
      </c>
      <c r="C155" t="s">
        <v>21</v>
      </c>
      <c r="D155">
        <v>29</v>
      </c>
      <c r="E155" t="s">
        <v>31</v>
      </c>
      <c r="F155" t="s">
        <v>16</v>
      </c>
      <c r="G155" t="s">
        <v>53</v>
      </c>
      <c r="H155" s="1">
        <v>44815</v>
      </c>
      <c r="J155">
        <v>314000</v>
      </c>
      <c r="K155">
        <v>0</v>
      </c>
      <c r="L155" t="s">
        <v>24</v>
      </c>
      <c r="M155">
        <f ca="1">IF(Table1[[#This Row],[Exit]]="",DATEDIF(Table1[[#This Row],[Hire]],TODAY(),"Y"),DATEDIF(Table1[[#This Row],[Hire]],Table1[[#This Row],[Exit]],"Y"))</f>
        <v>3</v>
      </c>
      <c r="N155">
        <f>FLOOR(Table1[[#This Row],[Age]],10)</f>
        <v>20</v>
      </c>
      <c r="O155" t="str">
        <f>IF(Table1[[#This Row],[Age]]&lt;30,"20-29",IF(Table1[[#This Row],[Age]]&lt;40,"30-39",IF(Table1[[#This Row],[Age]]&lt;50,"40-49",IF(Table1[[#This Row],[Age]]&lt;60,"50-59","60+"))))</f>
        <v>20-29</v>
      </c>
    </row>
    <row r="156" spans="1:15" x14ac:dyDescent="0.25">
      <c r="A156" t="s">
        <v>337</v>
      </c>
      <c r="B156" t="s">
        <v>338</v>
      </c>
      <c r="C156" t="s">
        <v>21</v>
      </c>
      <c r="D156">
        <v>41</v>
      </c>
      <c r="E156" t="s">
        <v>81</v>
      </c>
      <c r="F156" t="s">
        <v>49</v>
      </c>
      <c r="G156" t="s">
        <v>34</v>
      </c>
      <c r="H156" s="1">
        <v>44857</v>
      </c>
      <c r="J156">
        <v>316000</v>
      </c>
      <c r="K156">
        <v>0</v>
      </c>
      <c r="L156" t="s">
        <v>24</v>
      </c>
      <c r="M156">
        <f ca="1">IF(Table1[[#This Row],[Exit]]="",DATEDIF(Table1[[#This Row],[Hire]],TODAY(),"Y"),DATEDIF(Table1[[#This Row],[Hire]],Table1[[#This Row],[Exit]],"Y"))</f>
        <v>3</v>
      </c>
      <c r="N156">
        <f>FLOOR(Table1[[#This Row],[Age]],10)</f>
        <v>40</v>
      </c>
      <c r="O156" t="str">
        <f>IF(Table1[[#This Row],[Age]]&lt;30,"20-29",IF(Table1[[#This Row],[Age]]&lt;40,"30-39",IF(Table1[[#This Row],[Age]]&lt;50,"40-49",IF(Table1[[#This Row],[Age]]&lt;60,"50-59","60+"))))</f>
        <v>40-49</v>
      </c>
    </row>
    <row r="157" spans="1:15" x14ac:dyDescent="0.25">
      <c r="A157" t="s">
        <v>339</v>
      </c>
      <c r="B157" t="s">
        <v>340</v>
      </c>
      <c r="C157" t="s">
        <v>21</v>
      </c>
      <c r="D157">
        <v>47</v>
      </c>
      <c r="E157" t="s">
        <v>92</v>
      </c>
      <c r="F157" t="s">
        <v>59</v>
      </c>
      <c r="G157" t="s">
        <v>53</v>
      </c>
      <c r="H157" s="1">
        <v>45527</v>
      </c>
      <c r="J157">
        <v>318000</v>
      </c>
      <c r="K157">
        <v>0</v>
      </c>
      <c r="L157" t="s">
        <v>24</v>
      </c>
      <c r="M157">
        <f ca="1">IF(Table1[[#This Row],[Exit]]="",DATEDIF(Table1[[#This Row],[Hire]],TODAY(),"Y"),DATEDIF(Table1[[#This Row],[Hire]],Table1[[#This Row],[Exit]],"Y"))</f>
        <v>1</v>
      </c>
      <c r="N157">
        <f>FLOOR(Table1[[#This Row],[Age]],10)</f>
        <v>40</v>
      </c>
      <c r="O157" t="str">
        <f>IF(Table1[[#This Row],[Age]]&lt;30,"20-29",IF(Table1[[#This Row],[Age]]&lt;40,"30-39",IF(Table1[[#This Row],[Age]]&lt;50,"40-49",IF(Table1[[#This Row],[Age]]&lt;60,"50-59","60+"))))</f>
        <v>40-49</v>
      </c>
    </row>
    <row r="158" spans="1:15" x14ac:dyDescent="0.25">
      <c r="A158" t="s">
        <v>341</v>
      </c>
      <c r="B158" t="s">
        <v>342</v>
      </c>
      <c r="C158" t="s">
        <v>14</v>
      </c>
      <c r="D158">
        <v>38</v>
      </c>
      <c r="E158" t="s">
        <v>81</v>
      </c>
      <c r="F158" t="s">
        <v>46</v>
      </c>
      <c r="G158" t="s">
        <v>23</v>
      </c>
      <c r="H158" s="1">
        <v>45237</v>
      </c>
      <c r="J158">
        <v>320000</v>
      </c>
      <c r="K158">
        <v>0</v>
      </c>
      <c r="L158" t="s">
        <v>24</v>
      </c>
      <c r="M158">
        <f ca="1">IF(Table1[[#This Row],[Exit]]="",DATEDIF(Table1[[#This Row],[Hire]],TODAY(),"Y"),DATEDIF(Table1[[#This Row],[Hire]],Table1[[#This Row],[Exit]],"Y"))</f>
        <v>2</v>
      </c>
      <c r="N158">
        <f>FLOOR(Table1[[#This Row],[Age]],10)</f>
        <v>30</v>
      </c>
      <c r="O158" t="str">
        <f>IF(Table1[[#This Row],[Age]]&lt;30,"20-29",IF(Table1[[#This Row],[Age]]&lt;40,"30-39",IF(Table1[[#This Row],[Age]]&lt;50,"40-49",IF(Table1[[#This Row],[Age]]&lt;60,"50-59","60+"))))</f>
        <v>30-39</v>
      </c>
    </row>
    <row r="159" spans="1:15" x14ac:dyDescent="0.25">
      <c r="A159" t="s">
        <v>343</v>
      </c>
      <c r="B159" t="s">
        <v>344</v>
      </c>
      <c r="C159" t="s">
        <v>14</v>
      </c>
      <c r="D159">
        <v>40</v>
      </c>
      <c r="E159" t="s">
        <v>22</v>
      </c>
      <c r="F159" t="s">
        <v>16</v>
      </c>
      <c r="G159" t="s">
        <v>34</v>
      </c>
      <c r="H159" s="1">
        <v>45206</v>
      </c>
      <c r="J159">
        <v>322000</v>
      </c>
      <c r="K159">
        <v>0</v>
      </c>
      <c r="L159" t="s">
        <v>24</v>
      </c>
      <c r="M159">
        <f ca="1">IF(Table1[[#This Row],[Exit]]="",DATEDIF(Table1[[#This Row],[Hire]],TODAY(),"Y"),DATEDIF(Table1[[#This Row],[Hire]],Table1[[#This Row],[Exit]],"Y"))</f>
        <v>2</v>
      </c>
      <c r="N159">
        <f>FLOOR(Table1[[#This Row],[Age]],10)</f>
        <v>40</v>
      </c>
      <c r="O159" t="str">
        <f>IF(Table1[[#This Row],[Age]]&lt;30,"20-29",IF(Table1[[#This Row],[Age]]&lt;40,"30-39",IF(Table1[[#This Row],[Age]]&lt;50,"40-49",IF(Table1[[#This Row],[Age]]&lt;60,"50-59","60+"))))</f>
        <v>40-49</v>
      </c>
    </row>
    <row r="160" spans="1:15" x14ac:dyDescent="0.25">
      <c r="A160" t="s">
        <v>345</v>
      </c>
      <c r="B160" t="s">
        <v>346</v>
      </c>
      <c r="C160" t="s">
        <v>21</v>
      </c>
      <c r="D160">
        <v>45</v>
      </c>
      <c r="E160" t="s">
        <v>92</v>
      </c>
      <c r="F160" t="s">
        <v>59</v>
      </c>
      <c r="G160" t="s">
        <v>34</v>
      </c>
      <c r="H160" s="1">
        <v>44677</v>
      </c>
      <c r="J160">
        <v>324000</v>
      </c>
      <c r="K160">
        <v>0</v>
      </c>
      <c r="L160" t="s">
        <v>24</v>
      </c>
      <c r="M160">
        <f ca="1">IF(Table1[[#This Row],[Exit]]="",DATEDIF(Table1[[#This Row],[Hire]],TODAY(),"Y"),DATEDIF(Table1[[#This Row],[Hire]],Table1[[#This Row],[Exit]],"Y"))</f>
        <v>3</v>
      </c>
      <c r="N160">
        <f>FLOOR(Table1[[#This Row],[Age]],10)</f>
        <v>40</v>
      </c>
      <c r="O160" t="str">
        <f>IF(Table1[[#This Row],[Age]]&lt;30,"20-29",IF(Table1[[#This Row],[Age]]&lt;40,"30-39",IF(Table1[[#This Row],[Age]]&lt;50,"40-49",IF(Table1[[#This Row],[Age]]&lt;60,"50-59","60+"))))</f>
        <v>40-49</v>
      </c>
    </row>
    <row r="161" spans="1:15" x14ac:dyDescent="0.25">
      <c r="A161" t="s">
        <v>347</v>
      </c>
      <c r="B161" t="s">
        <v>348</v>
      </c>
      <c r="C161" t="s">
        <v>14</v>
      </c>
      <c r="D161">
        <v>26</v>
      </c>
      <c r="E161" t="s">
        <v>31</v>
      </c>
      <c r="F161" t="s">
        <v>16</v>
      </c>
      <c r="G161" t="s">
        <v>17</v>
      </c>
      <c r="H161" s="1">
        <v>43889</v>
      </c>
      <c r="J161">
        <v>326000</v>
      </c>
      <c r="K161">
        <v>0</v>
      </c>
      <c r="L161" t="s">
        <v>24</v>
      </c>
      <c r="M161">
        <f ca="1">IF(Table1[[#This Row],[Exit]]="",DATEDIF(Table1[[#This Row],[Hire]],TODAY(),"Y"),DATEDIF(Table1[[#This Row],[Hire]],Table1[[#This Row],[Exit]],"Y"))</f>
        <v>5</v>
      </c>
      <c r="N161">
        <f>FLOOR(Table1[[#This Row],[Age]],10)</f>
        <v>20</v>
      </c>
      <c r="O161" t="str">
        <f>IF(Table1[[#This Row],[Age]]&lt;30,"20-29",IF(Table1[[#This Row],[Age]]&lt;40,"30-39",IF(Table1[[#This Row],[Age]]&lt;50,"40-49",IF(Table1[[#This Row],[Age]]&lt;60,"50-59","60+"))))</f>
        <v>20-29</v>
      </c>
    </row>
    <row r="162" spans="1:15" x14ac:dyDescent="0.25">
      <c r="A162" t="s">
        <v>349</v>
      </c>
      <c r="B162" t="s">
        <v>350</v>
      </c>
      <c r="C162" t="s">
        <v>14</v>
      </c>
      <c r="D162">
        <v>35</v>
      </c>
      <c r="E162" t="s">
        <v>15</v>
      </c>
      <c r="F162" t="s">
        <v>16</v>
      </c>
      <c r="G162" t="s">
        <v>17</v>
      </c>
      <c r="H162" s="1">
        <v>44116</v>
      </c>
      <c r="J162">
        <v>328000</v>
      </c>
      <c r="K162">
        <v>0</v>
      </c>
      <c r="L162" t="s">
        <v>24</v>
      </c>
      <c r="M162">
        <f ca="1">IF(Table1[[#This Row],[Exit]]="",DATEDIF(Table1[[#This Row],[Hire]],TODAY(),"Y"),DATEDIF(Table1[[#This Row],[Hire]],Table1[[#This Row],[Exit]],"Y"))</f>
        <v>5</v>
      </c>
      <c r="N162">
        <f>FLOOR(Table1[[#This Row],[Age]],10)</f>
        <v>30</v>
      </c>
      <c r="O162" t="str">
        <f>IF(Table1[[#This Row],[Age]]&lt;30,"20-29",IF(Table1[[#This Row],[Age]]&lt;40,"30-39",IF(Table1[[#This Row],[Age]]&lt;50,"40-49",IF(Table1[[#This Row],[Age]]&lt;60,"50-59","60+"))))</f>
        <v>30-39</v>
      </c>
    </row>
    <row r="163" spans="1:15" x14ac:dyDescent="0.25">
      <c r="A163" t="s">
        <v>351</v>
      </c>
      <c r="B163" t="s">
        <v>352</v>
      </c>
      <c r="C163" t="s">
        <v>14</v>
      </c>
      <c r="D163">
        <v>29</v>
      </c>
      <c r="E163" t="s">
        <v>22</v>
      </c>
      <c r="F163" t="s">
        <v>16</v>
      </c>
      <c r="G163" t="s">
        <v>23</v>
      </c>
      <c r="H163" s="1">
        <v>44588</v>
      </c>
      <c r="J163">
        <v>330000</v>
      </c>
      <c r="K163">
        <v>0.15</v>
      </c>
      <c r="L163" t="s">
        <v>24</v>
      </c>
      <c r="M163">
        <f ca="1">IF(Table1[[#This Row],[Exit]]="",DATEDIF(Table1[[#This Row],[Hire]],TODAY(),"Y"),DATEDIF(Table1[[#This Row],[Hire]],Table1[[#This Row],[Exit]],"Y"))</f>
        <v>4</v>
      </c>
      <c r="N163">
        <f>FLOOR(Table1[[#This Row],[Age]],10)</f>
        <v>20</v>
      </c>
      <c r="O163" t="str">
        <f>IF(Table1[[#This Row],[Age]]&lt;30,"20-29",IF(Table1[[#This Row],[Age]]&lt;40,"30-39",IF(Table1[[#This Row],[Age]]&lt;50,"40-49",IF(Table1[[#This Row],[Age]]&lt;60,"50-59","60+"))))</f>
        <v>20-29</v>
      </c>
    </row>
    <row r="164" spans="1:15" x14ac:dyDescent="0.25">
      <c r="A164" t="s">
        <v>353</v>
      </c>
      <c r="B164" t="s">
        <v>354</v>
      </c>
      <c r="C164" t="s">
        <v>355</v>
      </c>
      <c r="D164">
        <v>35</v>
      </c>
      <c r="E164" t="s">
        <v>27</v>
      </c>
      <c r="F164" t="s">
        <v>28</v>
      </c>
      <c r="G164" t="s">
        <v>17</v>
      </c>
      <c r="H164" s="1">
        <v>45337</v>
      </c>
      <c r="J164">
        <v>332000</v>
      </c>
      <c r="K164">
        <v>0</v>
      </c>
      <c r="L164" t="s">
        <v>24</v>
      </c>
      <c r="M164">
        <f ca="1">IF(Table1[[#This Row],[Exit]]="",DATEDIF(Table1[[#This Row],[Hire]],TODAY(),"Y"),DATEDIF(Table1[[#This Row],[Hire]],Table1[[#This Row],[Exit]],"Y"))</f>
        <v>1</v>
      </c>
      <c r="N164">
        <f>FLOOR(Table1[[#This Row],[Age]],10)</f>
        <v>30</v>
      </c>
      <c r="O164" t="str">
        <f>IF(Table1[[#This Row],[Age]]&lt;30,"20-29",IF(Table1[[#This Row],[Age]]&lt;40,"30-39",IF(Table1[[#This Row],[Age]]&lt;50,"40-49",IF(Table1[[#This Row],[Age]]&lt;60,"50-59","60+"))))</f>
        <v>30-39</v>
      </c>
    </row>
    <row r="165" spans="1:15" x14ac:dyDescent="0.25">
      <c r="A165" t="s">
        <v>356</v>
      </c>
      <c r="B165" t="s">
        <v>357</v>
      </c>
      <c r="C165" t="s">
        <v>14</v>
      </c>
      <c r="D165">
        <v>27</v>
      </c>
      <c r="E165" t="s">
        <v>31</v>
      </c>
      <c r="F165" t="s">
        <v>16</v>
      </c>
      <c r="G165" t="s">
        <v>23</v>
      </c>
      <c r="H165" s="1">
        <v>45332</v>
      </c>
      <c r="J165">
        <v>334000</v>
      </c>
      <c r="K165">
        <v>0.13</v>
      </c>
      <c r="L165" t="s">
        <v>24</v>
      </c>
      <c r="M165">
        <f ca="1">IF(Table1[[#This Row],[Exit]]="",DATEDIF(Table1[[#This Row],[Hire]],TODAY(),"Y"),DATEDIF(Table1[[#This Row],[Hire]],Table1[[#This Row],[Exit]],"Y"))</f>
        <v>1</v>
      </c>
      <c r="N165">
        <f>FLOOR(Table1[[#This Row],[Age]],10)</f>
        <v>20</v>
      </c>
      <c r="O165" t="str">
        <f>IF(Table1[[#This Row],[Age]]&lt;30,"20-29",IF(Table1[[#This Row],[Age]]&lt;40,"30-39",IF(Table1[[#This Row],[Age]]&lt;50,"40-49",IF(Table1[[#This Row],[Age]]&lt;60,"50-59","60+"))))</f>
        <v>20-29</v>
      </c>
    </row>
    <row r="166" spans="1:15" x14ac:dyDescent="0.25">
      <c r="A166" t="s">
        <v>358</v>
      </c>
      <c r="B166" t="s">
        <v>359</v>
      </c>
      <c r="C166" t="s">
        <v>21</v>
      </c>
      <c r="D166">
        <v>26</v>
      </c>
      <c r="E166" t="s">
        <v>27</v>
      </c>
      <c r="F166" t="s">
        <v>28</v>
      </c>
      <c r="G166" t="s">
        <v>34</v>
      </c>
      <c r="H166" s="1">
        <v>44183</v>
      </c>
      <c r="J166">
        <v>336000</v>
      </c>
      <c r="K166">
        <v>0</v>
      </c>
      <c r="L166" t="s">
        <v>24</v>
      </c>
      <c r="M166">
        <f ca="1">IF(Table1[[#This Row],[Exit]]="",DATEDIF(Table1[[#This Row],[Hire]],TODAY(),"Y"),DATEDIF(Table1[[#This Row],[Hire]],Table1[[#This Row],[Exit]],"Y"))</f>
        <v>5</v>
      </c>
      <c r="N166">
        <f>FLOOR(Table1[[#This Row],[Age]],10)</f>
        <v>20</v>
      </c>
      <c r="O166" t="str">
        <f>IF(Table1[[#This Row],[Age]]&lt;30,"20-29",IF(Table1[[#This Row],[Age]]&lt;40,"30-39",IF(Table1[[#This Row],[Age]]&lt;50,"40-49",IF(Table1[[#This Row],[Age]]&lt;60,"50-59","60+"))))</f>
        <v>20-29</v>
      </c>
    </row>
    <row r="167" spans="1:15" x14ac:dyDescent="0.25">
      <c r="A167" t="s">
        <v>360</v>
      </c>
      <c r="B167" t="s">
        <v>361</v>
      </c>
      <c r="C167" t="s">
        <v>14</v>
      </c>
      <c r="D167">
        <v>27</v>
      </c>
      <c r="E167" t="s">
        <v>15</v>
      </c>
      <c r="F167" t="s">
        <v>16</v>
      </c>
      <c r="G167" t="s">
        <v>23</v>
      </c>
      <c r="H167" s="1">
        <v>43837</v>
      </c>
      <c r="J167">
        <v>338000</v>
      </c>
      <c r="K167">
        <v>0.1</v>
      </c>
      <c r="L167" t="s">
        <v>24</v>
      </c>
      <c r="M167">
        <f ca="1">IF(Table1[[#This Row],[Exit]]="",DATEDIF(Table1[[#This Row],[Hire]],TODAY(),"Y"),DATEDIF(Table1[[#This Row],[Hire]],Table1[[#This Row],[Exit]],"Y"))</f>
        <v>6</v>
      </c>
      <c r="N167">
        <f>FLOOR(Table1[[#This Row],[Age]],10)</f>
        <v>20</v>
      </c>
      <c r="O167" t="str">
        <f>IF(Table1[[#This Row],[Age]]&lt;30,"20-29",IF(Table1[[#This Row],[Age]]&lt;40,"30-39",IF(Table1[[#This Row],[Age]]&lt;50,"40-49",IF(Table1[[#This Row],[Age]]&lt;60,"50-59","60+"))))</f>
        <v>20-29</v>
      </c>
    </row>
    <row r="168" spans="1:15" x14ac:dyDescent="0.25">
      <c r="A168" t="s">
        <v>362</v>
      </c>
      <c r="B168" t="s">
        <v>363</v>
      </c>
      <c r="C168" t="s">
        <v>21</v>
      </c>
      <c r="D168">
        <v>30</v>
      </c>
      <c r="E168" t="s">
        <v>15</v>
      </c>
      <c r="F168" t="s">
        <v>16</v>
      </c>
      <c r="G168" t="s">
        <v>34</v>
      </c>
      <c r="H168" s="1">
        <v>45206</v>
      </c>
      <c r="J168">
        <v>340000</v>
      </c>
      <c r="K168">
        <v>0.3</v>
      </c>
      <c r="L168" t="s">
        <v>24</v>
      </c>
      <c r="M168">
        <f ca="1">IF(Table1[[#This Row],[Exit]]="",DATEDIF(Table1[[#This Row],[Hire]],TODAY(),"Y"),DATEDIF(Table1[[#This Row],[Hire]],Table1[[#This Row],[Exit]],"Y"))</f>
        <v>2</v>
      </c>
      <c r="N168">
        <f>FLOOR(Table1[[#This Row],[Age]],10)</f>
        <v>30</v>
      </c>
      <c r="O168" t="str">
        <f>IF(Table1[[#This Row],[Age]]&lt;30,"20-29",IF(Table1[[#This Row],[Age]]&lt;40,"30-39",IF(Table1[[#This Row],[Age]]&lt;50,"40-49",IF(Table1[[#This Row],[Age]]&lt;60,"50-59","60+"))))</f>
        <v>30-39</v>
      </c>
    </row>
    <row r="169" spans="1:15" x14ac:dyDescent="0.25">
      <c r="A169" t="s">
        <v>364</v>
      </c>
      <c r="B169" t="s">
        <v>365</v>
      </c>
      <c r="C169" t="s">
        <v>14</v>
      </c>
      <c r="D169">
        <v>36</v>
      </c>
      <c r="E169" t="s">
        <v>42</v>
      </c>
      <c r="F169" t="s">
        <v>43</v>
      </c>
      <c r="G169" t="s">
        <v>34</v>
      </c>
      <c r="H169" s="1">
        <v>44487</v>
      </c>
      <c r="J169">
        <v>342000</v>
      </c>
      <c r="K169">
        <v>0</v>
      </c>
      <c r="L169" t="s">
        <v>24</v>
      </c>
      <c r="M169">
        <f ca="1">IF(Table1[[#This Row],[Exit]]="",DATEDIF(Table1[[#This Row],[Hire]],TODAY(),"Y"),DATEDIF(Table1[[#This Row],[Hire]],Table1[[#This Row],[Exit]],"Y"))</f>
        <v>4</v>
      </c>
      <c r="N169">
        <f>FLOOR(Table1[[#This Row],[Age]],10)</f>
        <v>30</v>
      </c>
      <c r="O169" t="str">
        <f>IF(Table1[[#This Row],[Age]]&lt;30,"20-29",IF(Table1[[#This Row],[Age]]&lt;40,"30-39",IF(Table1[[#This Row],[Age]]&lt;50,"40-49",IF(Table1[[#This Row],[Age]]&lt;60,"50-59","60+"))))</f>
        <v>30-39</v>
      </c>
    </row>
    <row r="170" spans="1:15" x14ac:dyDescent="0.25">
      <c r="A170" t="s">
        <v>366</v>
      </c>
      <c r="B170" t="s">
        <v>367</v>
      </c>
      <c r="C170" t="s">
        <v>21</v>
      </c>
      <c r="D170">
        <v>45</v>
      </c>
      <c r="E170" t="s">
        <v>42</v>
      </c>
      <c r="F170" t="s">
        <v>46</v>
      </c>
      <c r="G170" t="s">
        <v>23</v>
      </c>
      <c r="H170" s="1">
        <v>44791</v>
      </c>
      <c r="J170">
        <v>344000</v>
      </c>
      <c r="K170">
        <v>0.06</v>
      </c>
      <c r="L170" t="s">
        <v>24</v>
      </c>
      <c r="M170">
        <f ca="1">IF(Table1[[#This Row],[Exit]]="",DATEDIF(Table1[[#This Row],[Hire]],TODAY(),"Y"),DATEDIF(Table1[[#This Row],[Hire]],Table1[[#This Row],[Exit]],"Y"))</f>
        <v>3</v>
      </c>
      <c r="N170">
        <f>FLOOR(Table1[[#This Row],[Age]],10)</f>
        <v>40</v>
      </c>
      <c r="O170" t="str">
        <f>IF(Table1[[#This Row],[Age]]&lt;30,"20-29",IF(Table1[[#This Row],[Age]]&lt;40,"30-39",IF(Table1[[#This Row],[Age]]&lt;50,"40-49",IF(Table1[[#This Row],[Age]]&lt;60,"50-59","60+"))))</f>
        <v>40-49</v>
      </c>
    </row>
    <row r="171" spans="1:15" x14ac:dyDescent="0.25">
      <c r="A171" t="s">
        <v>368</v>
      </c>
      <c r="B171" t="s">
        <v>369</v>
      </c>
      <c r="C171" t="s">
        <v>14</v>
      </c>
      <c r="D171">
        <v>37</v>
      </c>
      <c r="E171" t="s">
        <v>42</v>
      </c>
      <c r="F171" t="s">
        <v>49</v>
      </c>
      <c r="G171" t="s">
        <v>17</v>
      </c>
      <c r="H171" s="1">
        <v>45440</v>
      </c>
      <c r="J171">
        <v>346000</v>
      </c>
      <c r="K171">
        <v>0</v>
      </c>
      <c r="L171" t="s">
        <v>24</v>
      </c>
      <c r="M171">
        <f ca="1">IF(Table1[[#This Row],[Exit]]="",DATEDIF(Table1[[#This Row],[Hire]],TODAY(),"Y"),DATEDIF(Table1[[#This Row],[Hire]],Table1[[#This Row],[Exit]],"Y"))</f>
        <v>1</v>
      </c>
      <c r="N171">
        <f>FLOOR(Table1[[#This Row],[Age]],10)</f>
        <v>30</v>
      </c>
      <c r="O171" t="str">
        <f>IF(Table1[[#This Row],[Age]]&lt;30,"20-29",IF(Table1[[#This Row],[Age]]&lt;40,"30-39",IF(Table1[[#This Row],[Age]]&lt;50,"40-49",IF(Table1[[#This Row],[Age]]&lt;60,"50-59","60+"))))</f>
        <v>30-39</v>
      </c>
    </row>
    <row r="172" spans="1:15" x14ac:dyDescent="0.25">
      <c r="A172" t="s">
        <v>370</v>
      </c>
      <c r="B172" t="s">
        <v>371</v>
      </c>
      <c r="C172" t="s">
        <v>14</v>
      </c>
      <c r="D172">
        <v>38</v>
      </c>
      <c r="E172" t="s">
        <v>52</v>
      </c>
      <c r="F172" t="s">
        <v>16</v>
      </c>
      <c r="G172" t="s">
        <v>53</v>
      </c>
      <c r="H172" s="1">
        <v>44811</v>
      </c>
      <c r="J172">
        <v>348000</v>
      </c>
      <c r="K172">
        <v>0.3</v>
      </c>
      <c r="L172" t="s">
        <v>24</v>
      </c>
      <c r="M172">
        <f ca="1">IF(Table1[[#This Row],[Exit]]="",DATEDIF(Table1[[#This Row],[Hire]],TODAY(),"Y"),DATEDIF(Table1[[#This Row],[Hire]],Table1[[#This Row],[Exit]],"Y"))</f>
        <v>3</v>
      </c>
      <c r="N172">
        <f>FLOOR(Table1[[#This Row],[Age]],10)</f>
        <v>30</v>
      </c>
      <c r="O172" t="str">
        <f>IF(Table1[[#This Row],[Age]]&lt;30,"20-29",IF(Table1[[#This Row],[Age]]&lt;40,"30-39",IF(Table1[[#This Row],[Age]]&lt;50,"40-49",IF(Table1[[#This Row],[Age]]&lt;60,"50-59","60+"))))</f>
        <v>30-39</v>
      </c>
    </row>
    <row r="173" spans="1:15" x14ac:dyDescent="0.25">
      <c r="A173" t="s">
        <v>372</v>
      </c>
      <c r="B173" t="s">
        <v>373</v>
      </c>
      <c r="C173" t="s">
        <v>14</v>
      </c>
      <c r="D173">
        <v>45</v>
      </c>
      <c r="E173" t="s">
        <v>42</v>
      </c>
      <c r="F173" t="s">
        <v>46</v>
      </c>
      <c r="G173" t="s">
        <v>53</v>
      </c>
      <c r="H173" s="1">
        <v>45294</v>
      </c>
      <c r="J173">
        <v>350000</v>
      </c>
      <c r="K173">
        <v>0</v>
      </c>
      <c r="L173" t="s">
        <v>24</v>
      </c>
      <c r="M173">
        <f ca="1">IF(Table1[[#This Row],[Exit]]="",DATEDIF(Table1[[#This Row],[Hire]],TODAY(),"Y"),DATEDIF(Table1[[#This Row],[Hire]],Table1[[#This Row],[Exit]],"Y"))</f>
        <v>2</v>
      </c>
      <c r="N173">
        <f>FLOOR(Table1[[#This Row],[Age]],10)</f>
        <v>40</v>
      </c>
      <c r="O173" t="str">
        <f>IF(Table1[[#This Row],[Age]]&lt;30,"20-29",IF(Table1[[#This Row],[Age]]&lt;40,"30-39",IF(Table1[[#This Row],[Age]]&lt;50,"40-49",IF(Table1[[#This Row],[Age]]&lt;60,"50-59","60+"))))</f>
        <v>40-49</v>
      </c>
    </row>
    <row r="174" spans="1:15" x14ac:dyDescent="0.25">
      <c r="A174" t="s">
        <v>374</v>
      </c>
      <c r="B174" t="s">
        <v>375</v>
      </c>
      <c r="C174" t="s">
        <v>41</v>
      </c>
      <c r="D174">
        <v>51</v>
      </c>
      <c r="E174" t="s">
        <v>58</v>
      </c>
      <c r="F174" t="s">
        <v>59</v>
      </c>
      <c r="G174" t="s">
        <v>34</v>
      </c>
      <c r="H174" s="1">
        <v>45074</v>
      </c>
      <c r="I174" s="1">
        <v>45536</v>
      </c>
      <c r="J174">
        <v>352000</v>
      </c>
      <c r="K174">
        <v>0.32</v>
      </c>
      <c r="L174" t="s">
        <v>18</v>
      </c>
      <c r="M174">
        <f ca="1">IF(Table1[[#This Row],[Exit]]="",DATEDIF(Table1[[#This Row],[Hire]],TODAY(),"Y"),DATEDIF(Table1[[#This Row],[Hire]],Table1[[#This Row],[Exit]],"Y"))</f>
        <v>1</v>
      </c>
      <c r="N174">
        <f>FLOOR(Table1[[#This Row],[Age]],10)</f>
        <v>50</v>
      </c>
      <c r="O174" t="str">
        <f>IF(Table1[[#This Row],[Age]]&lt;30,"20-29",IF(Table1[[#This Row],[Age]]&lt;40,"30-39",IF(Table1[[#This Row],[Age]]&lt;50,"40-49",IF(Table1[[#This Row],[Age]]&lt;60,"50-59","60+"))))</f>
        <v>50-59</v>
      </c>
    </row>
    <row r="175" spans="1:15" x14ac:dyDescent="0.25">
      <c r="A175" t="s">
        <v>376</v>
      </c>
      <c r="B175" t="s">
        <v>377</v>
      </c>
      <c r="C175" t="s">
        <v>14</v>
      </c>
      <c r="D175">
        <v>56</v>
      </c>
      <c r="E175" t="s">
        <v>52</v>
      </c>
      <c r="F175" t="s">
        <v>16</v>
      </c>
      <c r="G175" t="s">
        <v>23</v>
      </c>
      <c r="H175" s="1">
        <v>45245</v>
      </c>
      <c r="J175">
        <v>354000</v>
      </c>
      <c r="K175">
        <v>0</v>
      </c>
      <c r="L175" t="s">
        <v>24</v>
      </c>
      <c r="M175">
        <f ca="1">IF(Table1[[#This Row],[Exit]]="",DATEDIF(Table1[[#This Row],[Hire]],TODAY(),"Y"),DATEDIF(Table1[[#This Row],[Hire]],Table1[[#This Row],[Exit]],"Y"))</f>
        <v>2</v>
      </c>
      <c r="N175">
        <f>FLOOR(Table1[[#This Row],[Age]],10)</f>
        <v>50</v>
      </c>
      <c r="O175" t="str">
        <f>IF(Table1[[#This Row],[Age]]&lt;30,"20-29",IF(Table1[[#This Row],[Age]]&lt;40,"30-39",IF(Table1[[#This Row],[Age]]&lt;50,"40-49",IF(Table1[[#This Row],[Age]]&lt;60,"50-59","60+"))))</f>
        <v>50-59</v>
      </c>
    </row>
    <row r="176" spans="1:15" x14ac:dyDescent="0.25">
      <c r="A176" t="s">
        <v>378</v>
      </c>
      <c r="B176" t="s">
        <v>379</v>
      </c>
      <c r="C176" t="s">
        <v>14</v>
      </c>
      <c r="D176">
        <v>53</v>
      </c>
      <c r="E176" t="s">
        <v>52</v>
      </c>
      <c r="F176" t="s">
        <v>16</v>
      </c>
      <c r="G176" t="s">
        <v>34</v>
      </c>
      <c r="H176" s="1">
        <v>43851</v>
      </c>
      <c r="J176">
        <v>356000</v>
      </c>
      <c r="K176">
        <v>0</v>
      </c>
      <c r="L176" t="s">
        <v>24</v>
      </c>
      <c r="M176">
        <f ca="1">IF(Table1[[#This Row],[Exit]]="",DATEDIF(Table1[[#This Row],[Hire]],TODAY(),"Y"),DATEDIF(Table1[[#This Row],[Hire]],Table1[[#This Row],[Exit]],"Y"))</f>
        <v>6</v>
      </c>
      <c r="N176">
        <f>FLOOR(Table1[[#This Row],[Age]],10)</f>
        <v>50</v>
      </c>
      <c r="O176" t="str">
        <f>IF(Table1[[#This Row],[Age]]&lt;30,"20-29",IF(Table1[[#This Row],[Age]]&lt;40,"30-39",IF(Table1[[#This Row],[Age]]&lt;50,"40-49",IF(Table1[[#This Row],[Age]]&lt;60,"50-59","60+"))))</f>
        <v>50-59</v>
      </c>
    </row>
    <row r="177" spans="1:15" x14ac:dyDescent="0.25">
      <c r="A177" t="s">
        <v>380</v>
      </c>
      <c r="B177" t="s">
        <v>381</v>
      </c>
      <c r="C177" t="s">
        <v>21</v>
      </c>
      <c r="D177">
        <v>47</v>
      </c>
      <c r="E177" t="s">
        <v>66</v>
      </c>
      <c r="F177" t="s">
        <v>16</v>
      </c>
      <c r="G177" t="s">
        <v>17</v>
      </c>
      <c r="H177" s="1">
        <v>45206</v>
      </c>
      <c r="J177">
        <v>358000</v>
      </c>
      <c r="K177">
        <v>0.39</v>
      </c>
      <c r="L177" t="s">
        <v>24</v>
      </c>
      <c r="M177">
        <f ca="1">IF(Table1[[#This Row],[Exit]]="",DATEDIF(Table1[[#This Row],[Hire]],TODAY(),"Y"),DATEDIF(Table1[[#This Row],[Hire]],Table1[[#This Row],[Exit]],"Y"))</f>
        <v>2</v>
      </c>
      <c r="N177">
        <f>FLOOR(Table1[[#This Row],[Age]],10)</f>
        <v>40</v>
      </c>
      <c r="O177" t="str">
        <f>IF(Table1[[#This Row],[Age]]&lt;30,"20-29",IF(Table1[[#This Row],[Age]]&lt;40,"30-39",IF(Table1[[#This Row],[Age]]&lt;50,"40-49",IF(Table1[[#This Row],[Age]]&lt;60,"50-59","60+"))))</f>
        <v>40-49</v>
      </c>
    </row>
    <row r="178" spans="1:15" x14ac:dyDescent="0.25">
      <c r="A178" t="s">
        <v>382</v>
      </c>
      <c r="B178" t="s">
        <v>383</v>
      </c>
      <c r="C178" t="s">
        <v>14</v>
      </c>
      <c r="D178">
        <v>36</v>
      </c>
      <c r="E178" t="s">
        <v>58</v>
      </c>
      <c r="F178" t="s">
        <v>59</v>
      </c>
      <c r="G178" t="s">
        <v>23</v>
      </c>
      <c r="H178" s="1">
        <v>45401</v>
      </c>
      <c r="J178">
        <v>360000</v>
      </c>
      <c r="K178">
        <v>0</v>
      </c>
      <c r="L178" t="s">
        <v>24</v>
      </c>
      <c r="M178">
        <f ca="1">IF(Table1[[#This Row],[Exit]]="",DATEDIF(Table1[[#This Row],[Hire]],TODAY(),"Y"),DATEDIF(Table1[[#This Row],[Hire]],Table1[[#This Row],[Exit]],"Y"))</f>
        <v>1</v>
      </c>
      <c r="N178">
        <f>FLOOR(Table1[[#This Row],[Age]],10)</f>
        <v>30</v>
      </c>
      <c r="O178" t="str">
        <f>IF(Table1[[#This Row],[Age]]&lt;30,"20-29",IF(Table1[[#This Row],[Age]]&lt;40,"30-39",IF(Table1[[#This Row],[Age]]&lt;50,"40-49",IF(Table1[[#This Row],[Age]]&lt;60,"50-59","60+"))))</f>
        <v>30-39</v>
      </c>
    </row>
    <row r="179" spans="1:15" x14ac:dyDescent="0.25">
      <c r="A179" t="s">
        <v>384</v>
      </c>
      <c r="B179" t="s">
        <v>385</v>
      </c>
      <c r="C179" t="s">
        <v>21</v>
      </c>
      <c r="D179">
        <v>41</v>
      </c>
      <c r="E179" t="s">
        <v>66</v>
      </c>
      <c r="F179" t="s">
        <v>16</v>
      </c>
      <c r="G179" t="s">
        <v>34</v>
      </c>
      <c r="H179" s="1">
        <v>44083</v>
      </c>
      <c r="J179">
        <v>362000</v>
      </c>
      <c r="K179">
        <v>0.22</v>
      </c>
      <c r="L179" t="s">
        <v>24</v>
      </c>
      <c r="M179">
        <f ca="1">IF(Table1[[#This Row],[Exit]]="",DATEDIF(Table1[[#This Row],[Hire]],TODAY(),"Y"),DATEDIF(Table1[[#This Row],[Hire]],Table1[[#This Row],[Exit]],"Y"))</f>
        <v>5</v>
      </c>
      <c r="N179">
        <f>FLOOR(Table1[[#This Row],[Age]],10)</f>
        <v>40</v>
      </c>
      <c r="O179" t="str">
        <f>IF(Table1[[#This Row],[Age]]&lt;30,"20-29",IF(Table1[[#This Row],[Age]]&lt;40,"30-39",IF(Table1[[#This Row],[Age]]&lt;50,"40-49",IF(Table1[[#This Row],[Age]]&lt;60,"50-59","60+"))))</f>
        <v>40-49</v>
      </c>
    </row>
    <row r="180" spans="1:15" x14ac:dyDescent="0.25">
      <c r="A180" t="s">
        <v>386</v>
      </c>
      <c r="B180" t="s">
        <v>387</v>
      </c>
      <c r="C180" t="s">
        <v>21</v>
      </c>
      <c r="D180">
        <v>30</v>
      </c>
      <c r="E180" t="s">
        <v>66</v>
      </c>
      <c r="F180" t="s">
        <v>16</v>
      </c>
      <c r="G180" t="s">
        <v>53</v>
      </c>
      <c r="H180" s="1">
        <v>45233</v>
      </c>
      <c r="J180">
        <v>364000</v>
      </c>
      <c r="K180">
        <v>0</v>
      </c>
      <c r="L180" t="s">
        <v>24</v>
      </c>
      <c r="M180">
        <f ca="1">IF(Table1[[#This Row],[Exit]]="",DATEDIF(Table1[[#This Row],[Hire]],TODAY(),"Y"),DATEDIF(Table1[[#This Row],[Hire]],Table1[[#This Row],[Exit]],"Y"))</f>
        <v>2</v>
      </c>
      <c r="N180">
        <f>FLOOR(Table1[[#This Row],[Age]],10)</f>
        <v>30</v>
      </c>
      <c r="O180" t="str">
        <f>IF(Table1[[#This Row],[Age]]&lt;30,"20-29",IF(Table1[[#This Row],[Age]]&lt;40,"30-39",IF(Table1[[#This Row],[Age]]&lt;50,"40-49",IF(Table1[[#This Row],[Age]]&lt;60,"50-59","60+"))))</f>
        <v>30-39</v>
      </c>
    </row>
    <row r="181" spans="1:15" x14ac:dyDescent="0.25">
      <c r="A181" t="s">
        <v>388</v>
      </c>
      <c r="B181" t="s">
        <v>389</v>
      </c>
      <c r="C181" t="s">
        <v>21</v>
      </c>
      <c r="D181">
        <v>30</v>
      </c>
      <c r="E181" t="s">
        <v>58</v>
      </c>
      <c r="F181" t="s">
        <v>59</v>
      </c>
      <c r="G181" t="s">
        <v>53</v>
      </c>
      <c r="H181" s="1">
        <v>45412</v>
      </c>
      <c r="J181">
        <v>366000</v>
      </c>
      <c r="K181">
        <v>0</v>
      </c>
      <c r="L181" t="s">
        <v>24</v>
      </c>
      <c r="M181">
        <f ca="1">IF(Table1[[#This Row],[Exit]]="",DATEDIF(Table1[[#This Row],[Hire]],TODAY(),"Y"),DATEDIF(Table1[[#This Row],[Hire]],Table1[[#This Row],[Exit]],"Y"))</f>
        <v>1</v>
      </c>
      <c r="N181">
        <f>FLOOR(Table1[[#This Row],[Age]],10)</f>
        <v>30</v>
      </c>
      <c r="O181" t="str">
        <f>IF(Table1[[#This Row],[Age]]&lt;30,"20-29",IF(Table1[[#This Row],[Age]]&lt;40,"30-39",IF(Table1[[#This Row],[Age]]&lt;50,"40-49",IF(Table1[[#This Row],[Age]]&lt;60,"50-59","60+"))))</f>
        <v>30-39</v>
      </c>
    </row>
    <row r="182" spans="1:15" x14ac:dyDescent="0.25">
      <c r="A182" t="s">
        <v>390</v>
      </c>
      <c r="B182" t="s">
        <v>391</v>
      </c>
      <c r="C182" t="s">
        <v>14</v>
      </c>
      <c r="D182">
        <v>38</v>
      </c>
      <c r="E182" t="s">
        <v>15</v>
      </c>
      <c r="F182" t="s">
        <v>16</v>
      </c>
      <c r="G182" t="s">
        <v>53</v>
      </c>
      <c r="H182" s="1">
        <v>43887</v>
      </c>
      <c r="J182">
        <v>368000</v>
      </c>
      <c r="K182">
        <v>7.0000000000000007E-2</v>
      </c>
      <c r="L182" t="s">
        <v>24</v>
      </c>
      <c r="M182">
        <f ca="1">IF(Table1[[#This Row],[Exit]]="",DATEDIF(Table1[[#This Row],[Hire]],TODAY(),"Y"),DATEDIF(Table1[[#This Row],[Hire]],Table1[[#This Row],[Exit]],"Y"))</f>
        <v>5</v>
      </c>
      <c r="N182">
        <f>FLOOR(Table1[[#This Row],[Age]],10)</f>
        <v>30</v>
      </c>
      <c r="O182" t="str">
        <f>IF(Table1[[#This Row],[Age]]&lt;30,"20-29",IF(Table1[[#This Row],[Age]]&lt;40,"30-39",IF(Table1[[#This Row],[Age]]&lt;50,"40-49",IF(Table1[[#This Row],[Age]]&lt;60,"50-59","60+"))))</f>
        <v>30-39</v>
      </c>
    </row>
    <row r="183" spans="1:15" x14ac:dyDescent="0.25">
      <c r="A183" t="s">
        <v>392</v>
      </c>
      <c r="B183" t="s">
        <v>393</v>
      </c>
      <c r="C183" t="s">
        <v>41</v>
      </c>
      <c r="D183">
        <v>28</v>
      </c>
      <c r="E183" t="s">
        <v>22</v>
      </c>
      <c r="F183" t="s">
        <v>16</v>
      </c>
      <c r="G183" t="s">
        <v>53</v>
      </c>
      <c r="H183" s="1">
        <v>44815</v>
      </c>
      <c r="J183">
        <v>370000</v>
      </c>
      <c r="K183">
        <v>0</v>
      </c>
      <c r="L183" t="s">
        <v>24</v>
      </c>
      <c r="M183">
        <f ca="1">IF(Table1[[#This Row],[Exit]]="",DATEDIF(Table1[[#This Row],[Hire]],TODAY(),"Y"),DATEDIF(Table1[[#This Row],[Hire]],Table1[[#This Row],[Exit]],"Y"))</f>
        <v>3</v>
      </c>
      <c r="N183">
        <f>FLOOR(Table1[[#This Row],[Age]],10)</f>
        <v>20</v>
      </c>
      <c r="O183" t="str">
        <f>IF(Table1[[#This Row],[Age]]&lt;30,"20-29",IF(Table1[[#This Row],[Age]]&lt;40,"30-39",IF(Table1[[#This Row],[Age]]&lt;50,"40-49",IF(Table1[[#This Row],[Age]]&lt;60,"50-59","60+"))))</f>
        <v>20-29</v>
      </c>
    </row>
    <row r="184" spans="1:15" x14ac:dyDescent="0.25">
      <c r="A184" t="s">
        <v>394</v>
      </c>
      <c r="B184" t="s">
        <v>395</v>
      </c>
      <c r="C184" t="s">
        <v>14</v>
      </c>
      <c r="D184">
        <v>39</v>
      </c>
      <c r="E184" t="s">
        <v>81</v>
      </c>
      <c r="F184" t="s">
        <v>43</v>
      </c>
      <c r="G184" t="s">
        <v>53</v>
      </c>
      <c r="H184" s="1">
        <v>45430</v>
      </c>
      <c r="J184">
        <v>372000</v>
      </c>
      <c r="K184">
        <v>0.4</v>
      </c>
      <c r="L184" t="s">
        <v>24</v>
      </c>
      <c r="M184">
        <f ca="1">IF(Table1[[#This Row],[Exit]]="",DATEDIF(Table1[[#This Row],[Hire]],TODAY(),"Y"),DATEDIF(Table1[[#This Row],[Hire]],Table1[[#This Row],[Exit]],"Y"))</f>
        <v>1</v>
      </c>
      <c r="N184">
        <f>FLOOR(Table1[[#This Row],[Age]],10)</f>
        <v>30</v>
      </c>
      <c r="O184" t="str">
        <f>IF(Table1[[#This Row],[Age]]&lt;30,"20-29",IF(Table1[[#This Row],[Age]]&lt;40,"30-39",IF(Table1[[#This Row],[Age]]&lt;50,"40-49",IF(Table1[[#This Row],[Age]]&lt;60,"50-59","60+"))))</f>
        <v>30-39</v>
      </c>
    </row>
    <row r="185" spans="1:15" x14ac:dyDescent="0.25">
      <c r="A185" t="s">
        <v>396</v>
      </c>
      <c r="B185" t="s">
        <v>397</v>
      </c>
      <c r="C185" t="s">
        <v>21</v>
      </c>
      <c r="D185">
        <v>31</v>
      </c>
      <c r="E185" t="s">
        <v>52</v>
      </c>
      <c r="F185" t="s">
        <v>16</v>
      </c>
      <c r="G185" t="s">
        <v>17</v>
      </c>
      <c r="H185" s="1">
        <v>44509</v>
      </c>
      <c r="J185">
        <v>374000</v>
      </c>
      <c r="K185">
        <v>0</v>
      </c>
      <c r="L185" t="s">
        <v>24</v>
      </c>
      <c r="M185">
        <f ca="1">IF(Table1[[#This Row],[Exit]]="",DATEDIF(Table1[[#This Row],[Hire]],TODAY(),"Y"),DATEDIF(Table1[[#This Row],[Hire]],Table1[[#This Row],[Exit]],"Y"))</f>
        <v>4</v>
      </c>
      <c r="N185">
        <f>FLOOR(Table1[[#This Row],[Age]],10)</f>
        <v>30</v>
      </c>
      <c r="O185" t="str">
        <f>IF(Table1[[#This Row],[Age]]&lt;30,"20-29",IF(Table1[[#This Row],[Age]]&lt;40,"30-39",IF(Table1[[#This Row],[Age]]&lt;50,"40-49",IF(Table1[[#This Row],[Age]]&lt;60,"50-59","60+"))))</f>
        <v>30-39</v>
      </c>
    </row>
    <row r="186" spans="1:15" x14ac:dyDescent="0.25">
      <c r="A186" t="s">
        <v>398</v>
      </c>
      <c r="B186" t="s">
        <v>399</v>
      </c>
      <c r="C186" t="s">
        <v>41</v>
      </c>
      <c r="D186">
        <v>45</v>
      </c>
      <c r="E186" t="s">
        <v>66</v>
      </c>
      <c r="F186" t="s">
        <v>16</v>
      </c>
      <c r="G186" t="s">
        <v>23</v>
      </c>
      <c r="H186" s="1">
        <v>43963</v>
      </c>
      <c r="J186">
        <v>376000</v>
      </c>
      <c r="K186">
        <v>0.15</v>
      </c>
      <c r="L186" t="s">
        <v>24</v>
      </c>
      <c r="M186">
        <f ca="1">IF(Table1[[#This Row],[Exit]]="",DATEDIF(Table1[[#This Row],[Hire]],TODAY(),"Y"),DATEDIF(Table1[[#This Row],[Hire]],Table1[[#This Row],[Exit]],"Y"))</f>
        <v>5</v>
      </c>
      <c r="N186">
        <f>FLOOR(Table1[[#This Row],[Age]],10)</f>
        <v>40</v>
      </c>
      <c r="O186" t="str">
        <f>IF(Table1[[#This Row],[Age]]&lt;30,"20-29",IF(Table1[[#This Row],[Age]]&lt;40,"30-39",IF(Table1[[#This Row],[Age]]&lt;50,"40-49",IF(Table1[[#This Row],[Age]]&lt;60,"50-59","60+"))))</f>
        <v>40-49</v>
      </c>
    </row>
    <row r="187" spans="1:15" x14ac:dyDescent="0.25">
      <c r="A187" t="s">
        <v>400</v>
      </c>
      <c r="B187" t="s">
        <v>401</v>
      </c>
      <c r="C187" t="s">
        <v>14</v>
      </c>
      <c r="D187">
        <v>50</v>
      </c>
      <c r="E187" t="s">
        <v>31</v>
      </c>
      <c r="F187" t="s">
        <v>16</v>
      </c>
      <c r="G187" t="s">
        <v>53</v>
      </c>
      <c r="H187" s="1">
        <v>44815</v>
      </c>
      <c r="J187">
        <v>378000</v>
      </c>
      <c r="K187">
        <v>0</v>
      </c>
      <c r="L187" t="s">
        <v>24</v>
      </c>
      <c r="M187">
        <f ca="1">IF(Table1[[#This Row],[Exit]]="",DATEDIF(Table1[[#This Row],[Hire]],TODAY(),"Y"),DATEDIF(Table1[[#This Row],[Hire]],Table1[[#This Row],[Exit]],"Y"))</f>
        <v>3</v>
      </c>
      <c r="N187">
        <f>FLOOR(Table1[[#This Row],[Age]],10)</f>
        <v>50</v>
      </c>
      <c r="O187" t="str">
        <f>IF(Table1[[#This Row],[Age]]&lt;30,"20-29",IF(Table1[[#This Row],[Age]]&lt;40,"30-39",IF(Table1[[#This Row],[Age]]&lt;50,"40-49",IF(Table1[[#This Row],[Age]]&lt;60,"50-59","60+"))))</f>
        <v>50-59</v>
      </c>
    </row>
    <row r="188" spans="1:15" x14ac:dyDescent="0.25">
      <c r="A188" t="s">
        <v>402</v>
      </c>
      <c r="B188" t="s">
        <v>403</v>
      </c>
      <c r="C188" t="s">
        <v>14</v>
      </c>
      <c r="D188">
        <v>36</v>
      </c>
      <c r="E188" t="s">
        <v>81</v>
      </c>
      <c r="F188" t="s">
        <v>49</v>
      </c>
      <c r="G188" t="s">
        <v>34</v>
      </c>
      <c r="H188" s="1">
        <v>44857</v>
      </c>
      <c r="J188">
        <v>380000</v>
      </c>
      <c r="K188">
        <v>0.05</v>
      </c>
      <c r="L188" t="s">
        <v>24</v>
      </c>
      <c r="M188">
        <f ca="1">IF(Table1[[#This Row],[Exit]]="",DATEDIF(Table1[[#This Row],[Hire]],TODAY(),"Y"),DATEDIF(Table1[[#This Row],[Hire]],Table1[[#This Row],[Exit]],"Y"))</f>
        <v>3</v>
      </c>
      <c r="N188">
        <f>FLOOR(Table1[[#This Row],[Age]],10)</f>
        <v>30</v>
      </c>
      <c r="O188" t="str">
        <f>IF(Table1[[#This Row],[Age]]&lt;30,"20-29",IF(Table1[[#This Row],[Age]]&lt;40,"30-39",IF(Table1[[#This Row],[Age]]&lt;50,"40-49",IF(Table1[[#This Row],[Age]]&lt;60,"50-59","60+"))))</f>
        <v>30-39</v>
      </c>
    </row>
    <row r="189" spans="1:15" x14ac:dyDescent="0.25">
      <c r="A189" t="s">
        <v>404</v>
      </c>
      <c r="B189" t="s">
        <v>405</v>
      </c>
      <c r="C189" t="s">
        <v>21</v>
      </c>
      <c r="D189">
        <v>45</v>
      </c>
      <c r="E189" t="s">
        <v>92</v>
      </c>
      <c r="F189" t="s">
        <v>59</v>
      </c>
      <c r="G189" t="s">
        <v>53</v>
      </c>
      <c r="H189" s="1">
        <v>45527</v>
      </c>
      <c r="J189">
        <v>382000</v>
      </c>
      <c r="K189">
        <v>0</v>
      </c>
      <c r="L189" t="s">
        <v>24</v>
      </c>
      <c r="M189">
        <f ca="1">IF(Table1[[#This Row],[Exit]]="",DATEDIF(Table1[[#This Row],[Hire]],TODAY(),"Y"),DATEDIF(Table1[[#This Row],[Hire]],Table1[[#This Row],[Exit]],"Y"))</f>
        <v>1</v>
      </c>
      <c r="N189">
        <f>FLOOR(Table1[[#This Row],[Age]],10)</f>
        <v>40</v>
      </c>
      <c r="O189" t="str">
        <f>IF(Table1[[#This Row],[Age]]&lt;30,"20-29",IF(Table1[[#This Row],[Age]]&lt;40,"30-39",IF(Table1[[#This Row],[Age]]&lt;50,"40-49",IF(Table1[[#This Row],[Age]]&lt;60,"50-59","60+"))))</f>
        <v>40-49</v>
      </c>
    </row>
    <row r="190" spans="1:15" x14ac:dyDescent="0.25">
      <c r="A190" t="s">
        <v>406</v>
      </c>
      <c r="B190" t="s">
        <v>407</v>
      </c>
      <c r="C190" t="s">
        <v>21</v>
      </c>
      <c r="D190">
        <v>29</v>
      </c>
      <c r="E190" t="s">
        <v>81</v>
      </c>
      <c r="F190" t="s">
        <v>46</v>
      </c>
      <c r="G190" t="s">
        <v>23</v>
      </c>
      <c r="H190" s="1">
        <v>45237</v>
      </c>
      <c r="J190">
        <v>384000</v>
      </c>
      <c r="K190">
        <v>0</v>
      </c>
      <c r="L190" t="s">
        <v>24</v>
      </c>
      <c r="M190">
        <f ca="1">IF(Table1[[#This Row],[Exit]]="",DATEDIF(Table1[[#This Row],[Hire]],TODAY(),"Y"),DATEDIF(Table1[[#This Row],[Hire]],Table1[[#This Row],[Exit]],"Y"))</f>
        <v>2</v>
      </c>
      <c r="N190">
        <f>FLOOR(Table1[[#This Row],[Age]],10)</f>
        <v>20</v>
      </c>
      <c r="O190" t="str">
        <f>IF(Table1[[#This Row],[Age]]&lt;30,"20-29",IF(Table1[[#This Row],[Age]]&lt;40,"30-39",IF(Table1[[#This Row],[Age]]&lt;50,"40-49",IF(Table1[[#This Row],[Age]]&lt;60,"50-59","60+"))))</f>
        <v>20-29</v>
      </c>
    </row>
    <row r="191" spans="1:15" x14ac:dyDescent="0.25">
      <c r="A191" t="s">
        <v>408</v>
      </c>
      <c r="B191" t="s">
        <v>409</v>
      </c>
      <c r="C191" t="s">
        <v>21</v>
      </c>
      <c r="D191">
        <v>41</v>
      </c>
      <c r="E191" t="s">
        <v>22</v>
      </c>
      <c r="F191" t="s">
        <v>16</v>
      </c>
      <c r="G191" t="s">
        <v>34</v>
      </c>
      <c r="H191" s="1">
        <v>45206</v>
      </c>
      <c r="J191">
        <v>386000</v>
      </c>
      <c r="K191">
        <v>0</v>
      </c>
      <c r="L191" t="s">
        <v>24</v>
      </c>
      <c r="M191">
        <f ca="1">IF(Table1[[#This Row],[Exit]]="",DATEDIF(Table1[[#This Row],[Hire]],TODAY(),"Y"),DATEDIF(Table1[[#This Row],[Hire]],Table1[[#This Row],[Exit]],"Y"))</f>
        <v>2</v>
      </c>
      <c r="N191">
        <f>FLOOR(Table1[[#This Row],[Age]],10)</f>
        <v>40</v>
      </c>
      <c r="O191" t="str">
        <f>IF(Table1[[#This Row],[Age]]&lt;30,"20-29",IF(Table1[[#This Row],[Age]]&lt;40,"30-39",IF(Table1[[#This Row],[Age]]&lt;50,"40-49",IF(Table1[[#This Row],[Age]]&lt;60,"50-59","60+"))))</f>
        <v>40-49</v>
      </c>
    </row>
    <row r="192" spans="1:15" x14ac:dyDescent="0.25">
      <c r="A192" t="s">
        <v>410</v>
      </c>
      <c r="B192" t="s">
        <v>411</v>
      </c>
      <c r="C192" t="s">
        <v>14</v>
      </c>
      <c r="D192">
        <v>47</v>
      </c>
      <c r="E192" t="s">
        <v>92</v>
      </c>
      <c r="F192" t="s">
        <v>59</v>
      </c>
      <c r="G192" t="s">
        <v>34</v>
      </c>
      <c r="H192" s="1">
        <v>44677</v>
      </c>
      <c r="J192">
        <v>388000</v>
      </c>
      <c r="K192">
        <v>0.37</v>
      </c>
      <c r="L192" t="s">
        <v>24</v>
      </c>
      <c r="M192">
        <f ca="1">IF(Table1[[#This Row],[Exit]]="",DATEDIF(Table1[[#This Row],[Hire]],TODAY(),"Y"),DATEDIF(Table1[[#This Row],[Hire]],Table1[[#This Row],[Exit]],"Y"))</f>
        <v>3</v>
      </c>
      <c r="N192">
        <f>FLOOR(Table1[[#This Row],[Age]],10)</f>
        <v>40</v>
      </c>
      <c r="O192" t="str">
        <f>IF(Table1[[#This Row],[Age]]&lt;30,"20-29",IF(Table1[[#This Row],[Age]]&lt;40,"30-39",IF(Table1[[#This Row],[Age]]&lt;50,"40-49",IF(Table1[[#This Row],[Age]]&lt;60,"50-59","60+"))))</f>
        <v>40-49</v>
      </c>
    </row>
    <row r="193" spans="1:15" x14ac:dyDescent="0.25">
      <c r="A193" t="s">
        <v>412</v>
      </c>
      <c r="B193" t="s">
        <v>413</v>
      </c>
      <c r="C193" t="s">
        <v>41</v>
      </c>
      <c r="D193">
        <v>46</v>
      </c>
      <c r="E193" t="s">
        <v>31</v>
      </c>
      <c r="F193" t="s">
        <v>16</v>
      </c>
      <c r="G193" t="s">
        <v>17</v>
      </c>
      <c r="H193" s="1">
        <v>43889</v>
      </c>
      <c r="J193">
        <v>390000</v>
      </c>
      <c r="K193">
        <v>0</v>
      </c>
      <c r="L193" t="s">
        <v>24</v>
      </c>
      <c r="M193">
        <f ca="1">IF(Table1[[#This Row],[Exit]]="",DATEDIF(Table1[[#This Row],[Hire]],TODAY(),"Y"),DATEDIF(Table1[[#This Row],[Hire]],Table1[[#This Row],[Exit]],"Y"))</f>
        <v>5</v>
      </c>
      <c r="N193">
        <f>FLOOR(Table1[[#This Row],[Age]],10)</f>
        <v>40</v>
      </c>
      <c r="O193" t="str">
        <f>IF(Table1[[#This Row],[Age]]&lt;30,"20-29",IF(Table1[[#This Row],[Age]]&lt;40,"30-39",IF(Table1[[#This Row],[Age]]&lt;50,"40-49",IF(Table1[[#This Row],[Age]]&lt;60,"50-59","60+"))))</f>
        <v>40-49</v>
      </c>
    </row>
    <row r="194" spans="1:15" x14ac:dyDescent="0.25">
      <c r="A194" t="s">
        <v>414</v>
      </c>
      <c r="B194" t="s">
        <v>415</v>
      </c>
      <c r="C194" t="s">
        <v>41</v>
      </c>
      <c r="D194">
        <v>46</v>
      </c>
      <c r="E194" t="s">
        <v>15</v>
      </c>
      <c r="F194" t="s">
        <v>16</v>
      </c>
      <c r="G194" t="s">
        <v>17</v>
      </c>
      <c r="H194" s="1">
        <v>44116</v>
      </c>
      <c r="J194">
        <v>392000</v>
      </c>
      <c r="K194">
        <v>0</v>
      </c>
      <c r="L194" t="s">
        <v>24</v>
      </c>
      <c r="M194">
        <f ca="1">IF(Table1[[#This Row],[Exit]]="",DATEDIF(Table1[[#This Row],[Hire]],TODAY(),"Y"),DATEDIF(Table1[[#This Row],[Hire]],Table1[[#This Row],[Exit]],"Y"))</f>
        <v>5</v>
      </c>
      <c r="N194">
        <f>FLOOR(Table1[[#This Row],[Age]],10)</f>
        <v>40</v>
      </c>
      <c r="O194" t="str">
        <f>IF(Table1[[#This Row],[Age]]&lt;30,"20-29",IF(Table1[[#This Row],[Age]]&lt;40,"30-39",IF(Table1[[#This Row],[Age]]&lt;50,"40-49",IF(Table1[[#This Row],[Age]]&lt;60,"50-59","60+"))))</f>
        <v>40-49</v>
      </c>
    </row>
    <row r="195" spans="1:15" x14ac:dyDescent="0.25">
      <c r="A195" t="s">
        <v>416</v>
      </c>
      <c r="B195" t="s">
        <v>417</v>
      </c>
      <c r="C195" t="s">
        <v>14</v>
      </c>
      <c r="D195">
        <v>45</v>
      </c>
      <c r="E195" t="s">
        <v>22</v>
      </c>
      <c r="F195" t="s">
        <v>16</v>
      </c>
      <c r="G195" t="s">
        <v>23</v>
      </c>
      <c r="H195" s="1">
        <v>44588</v>
      </c>
      <c r="J195">
        <v>394000</v>
      </c>
      <c r="K195">
        <v>0.36</v>
      </c>
      <c r="L195" t="s">
        <v>24</v>
      </c>
      <c r="M195">
        <f ca="1">IF(Table1[[#This Row],[Exit]]="",DATEDIF(Table1[[#This Row],[Hire]],TODAY(),"Y"),DATEDIF(Table1[[#This Row],[Hire]],Table1[[#This Row],[Exit]],"Y"))</f>
        <v>4</v>
      </c>
      <c r="N195">
        <f>FLOOR(Table1[[#This Row],[Age]],10)</f>
        <v>40</v>
      </c>
      <c r="O195" t="str">
        <f>IF(Table1[[#This Row],[Age]]&lt;30,"20-29",IF(Table1[[#This Row],[Age]]&lt;40,"30-39",IF(Table1[[#This Row],[Age]]&lt;50,"40-49",IF(Table1[[#This Row],[Age]]&lt;60,"50-59","60+"))))</f>
        <v>40-49</v>
      </c>
    </row>
    <row r="196" spans="1:15" x14ac:dyDescent="0.25">
      <c r="A196" t="s">
        <v>418</v>
      </c>
      <c r="B196" t="s">
        <v>419</v>
      </c>
      <c r="C196" t="s">
        <v>14</v>
      </c>
      <c r="D196">
        <v>26</v>
      </c>
      <c r="E196" t="s">
        <v>27</v>
      </c>
      <c r="F196" t="s">
        <v>28</v>
      </c>
      <c r="G196" t="s">
        <v>17</v>
      </c>
      <c r="H196" s="1">
        <v>45337</v>
      </c>
      <c r="J196">
        <v>396000</v>
      </c>
      <c r="K196">
        <v>0</v>
      </c>
      <c r="L196" t="s">
        <v>24</v>
      </c>
      <c r="M196">
        <f ca="1">IF(Table1[[#This Row],[Exit]]="",DATEDIF(Table1[[#This Row],[Hire]],TODAY(),"Y"),DATEDIF(Table1[[#This Row],[Hire]],Table1[[#This Row],[Exit]],"Y"))</f>
        <v>1</v>
      </c>
      <c r="N196">
        <f>FLOOR(Table1[[#This Row],[Age]],10)</f>
        <v>20</v>
      </c>
      <c r="O196" t="str">
        <f>IF(Table1[[#This Row],[Age]]&lt;30,"20-29",IF(Table1[[#This Row],[Age]]&lt;40,"30-39",IF(Table1[[#This Row],[Age]]&lt;50,"40-49",IF(Table1[[#This Row],[Age]]&lt;60,"50-59","60+"))))</f>
        <v>20-29</v>
      </c>
    </row>
    <row r="197" spans="1:15" x14ac:dyDescent="0.25">
      <c r="A197" t="s">
        <v>420</v>
      </c>
      <c r="B197" t="s">
        <v>421</v>
      </c>
      <c r="C197" t="s">
        <v>14</v>
      </c>
      <c r="D197">
        <v>35</v>
      </c>
      <c r="E197" t="s">
        <v>31</v>
      </c>
      <c r="F197" t="s">
        <v>16</v>
      </c>
      <c r="G197" t="s">
        <v>23</v>
      </c>
      <c r="H197" s="1">
        <v>45332</v>
      </c>
      <c r="J197">
        <v>398000</v>
      </c>
      <c r="K197">
        <v>0</v>
      </c>
      <c r="L197" t="s">
        <v>24</v>
      </c>
      <c r="M197">
        <f ca="1">IF(Table1[[#This Row],[Exit]]="",DATEDIF(Table1[[#This Row],[Hire]],TODAY(),"Y"),DATEDIF(Table1[[#This Row],[Hire]],Table1[[#This Row],[Exit]],"Y"))</f>
        <v>1</v>
      </c>
      <c r="N197">
        <f>FLOOR(Table1[[#This Row],[Age]],10)</f>
        <v>30</v>
      </c>
      <c r="O197" t="str">
        <f>IF(Table1[[#This Row],[Age]]&lt;30,"20-29",IF(Table1[[#This Row],[Age]]&lt;40,"30-39",IF(Table1[[#This Row],[Age]]&lt;50,"40-49",IF(Table1[[#This Row],[Age]]&lt;60,"50-59","60+"))))</f>
        <v>30-39</v>
      </c>
    </row>
    <row r="198" spans="1:15" x14ac:dyDescent="0.25">
      <c r="A198" t="s">
        <v>422</v>
      </c>
      <c r="B198" t="s">
        <v>423</v>
      </c>
      <c r="C198" t="s">
        <v>21</v>
      </c>
      <c r="D198">
        <v>29</v>
      </c>
      <c r="E198" t="s">
        <v>27</v>
      </c>
      <c r="F198" t="s">
        <v>28</v>
      </c>
      <c r="G198" t="s">
        <v>34</v>
      </c>
      <c r="H198" s="1">
        <v>44183</v>
      </c>
      <c r="J198">
        <v>400000</v>
      </c>
      <c r="K198">
        <v>0</v>
      </c>
      <c r="L198" t="s">
        <v>24</v>
      </c>
      <c r="M198">
        <f ca="1">IF(Table1[[#This Row],[Exit]]="",DATEDIF(Table1[[#This Row],[Hire]],TODAY(),"Y"),DATEDIF(Table1[[#This Row],[Hire]],Table1[[#This Row],[Exit]],"Y"))</f>
        <v>5</v>
      </c>
      <c r="N198">
        <f>FLOOR(Table1[[#This Row],[Age]],10)</f>
        <v>20</v>
      </c>
      <c r="O198" t="str">
        <f>IF(Table1[[#This Row],[Age]]&lt;30,"20-29",IF(Table1[[#This Row],[Age]]&lt;40,"30-39",IF(Table1[[#This Row],[Age]]&lt;50,"40-49",IF(Table1[[#This Row],[Age]]&lt;60,"50-59","60+"))))</f>
        <v>20-29</v>
      </c>
    </row>
    <row r="199" spans="1:15" x14ac:dyDescent="0.25">
      <c r="A199" t="s">
        <v>424</v>
      </c>
      <c r="B199" t="s">
        <v>425</v>
      </c>
      <c r="C199" t="s">
        <v>14</v>
      </c>
      <c r="D199">
        <v>35</v>
      </c>
      <c r="E199" t="s">
        <v>15</v>
      </c>
      <c r="F199" t="s">
        <v>16</v>
      </c>
      <c r="G199" t="s">
        <v>23</v>
      </c>
      <c r="H199" s="1">
        <v>43837</v>
      </c>
      <c r="J199">
        <v>402000</v>
      </c>
      <c r="K199">
        <v>0</v>
      </c>
      <c r="L199" t="s">
        <v>24</v>
      </c>
      <c r="M199">
        <f ca="1">IF(Table1[[#This Row],[Exit]]="",DATEDIF(Table1[[#This Row],[Hire]],TODAY(),"Y"),DATEDIF(Table1[[#This Row],[Hire]],Table1[[#This Row],[Exit]],"Y"))</f>
        <v>6</v>
      </c>
      <c r="N199">
        <f>FLOOR(Table1[[#This Row],[Age]],10)</f>
        <v>30</v>
      </c>
      <c r="O199" t="str">
        <f>IF(Table1[[#This Row],[Age]]&lt;30,"20-29",IF(Table1[[#This Row],[Age]]&lt;40,"30-39",IF(Table1[[#This Row],[Age]]&lt;50,"40-49",IF(Table1[[#This Row],[Age]]&lt;60,"50-59","60+"))))</f>
        <v>30-39</v>
      </c>
    </row>
    <row r="200" spans="1:15" x14ac:dyDescent="0.25">
      <c r="A200" t="s">
        <v>426</v>
      </c>
      <c r="B200" t="s">
        <v>427</v>
      </c>
      <c r="C200" t="s">
        <v>21</v>
      </c>
      <c r="D200">
        <v>27</v>
      </c>
      <c r="E200" t="s">
        <v>15</v>
      </c>
      <c r="F200" t="s">
        <v>16</v>
      </c>
      <c r="G200" t="s">
        <v>34</v>
      </c>
      <c r="H200" s="1">
        <v>45206</v>
      </c>
      <c r="J200">
        <v>404000</v>
      </c>
      <c r="K200">
        <v>0</v>
      </c>
      <c r="L200" t="s">
        <v>24</v>
      </c>
      <c r="M200">
        <f ca="1">IF(Table1[[#This Row],[Exit]]="",DATEDIF(Table1[[#This Row],[Hire]],TODAY(),"Y"),DATEDIF(Table1[[#This Row],[Hire]],Table1[[#This Row],[Exit]],"Y"))</f>
        <v>2</v>
      </c>
      <c r="N200">
        <f>FLOOR(Table1[[#This Row],[Age]],10)</f>
        <v>20</v>
      </c>
      <c r="O200" t="str">
        <f>IF(Table1[[#This Row],[Age]]&lt;30,"20-29",IF(Table1[[#This Row],[Age]]&lt;40,"30-39",IF(Table1[[#This Row],[Age]]&lt;50,"40-49",IF(Table1[[#This Row],[Age]]&lt;60,"50-59","60+"))))</f>
        <v>20-29</v>
      </c>
    </row>
    <row r="201" spans="1:15" x14ac:dyDescent="0.25">
      <c r="A201" t="s">
        <v>428</v>
      </c>
      <c r="B201" t="s">
        <v>429</v>
      </c>
      <c r="C201" t="s">
        <v>14</v>
      </c>
      <c r="D201">
        <v>26</v>
      </c>
      <c r="E201" t="s">
        <v>42</v>
      </c>
      <c r="F201" t="s">
        <v>43</v>
      </c>
      <c r="G201" t="s">
        <v>34</v>
      </c>
      <c r="H201" s="1">
        <v>44487</v>
      </c>
      <c r="J201">
        <v>406000</v>
      </c>
      <c r="K201">
        <v>0.19</v>
      </c>
      <c r="L201" t="s">
        <v>24</v>
      </c>
      <c r="M201">
        <f ca="1">IF(Table1[[#This Row],[Exit]]="",DATEDIF(Table1[[#This Row],[Hire]],TODAY(),"Y"),DATEDIF(Table1[[#This Row],[Hire]],Table1[[#This Row],[Exit]],"Y"))</f>
        <v>4</v>
      </c>
      <c r="N201">
        <f>FLOOR(Table1[[#This Row],[Age]],10)</f>
        <v>20</v>
      </c>
      <c r="O201" t="str">
        <f>IF(Table1[[#This Row],[Age]]&lt;30,"20-29",IF(Table1[[#This Row],[Age]]&lt;40,"30-39",IF(Table1[[#This Row],[Age]]&lt;50,"40-49",IF(Table1[[#This Row],[Age]]&lt;60,"50-59","60+"))))</f>
        <v>20-29</v>
      </c>
    </row>
    <row r="202" spans="1:15" x14ac:dyDescent="0.25">
      <c r="A202" t="s">
        <v>430</v>
      </c>
      <c r="B202" t="s">
        <v>431</v>
      </c>
      <c r="C202" t="s">
        <v>21</v>
      </c>
      <c r="D202">
        <v>27</v>
      </c>
      <c r="E202" t="s">
        <v>42</v>
      </c>
      <c r="F202" t="s">
        <v>46</v>
      </c>
      <c r="G202" t="s">
        <v>23</v>
      </c>
      <c r="H202" s="1">
        <v>44791</v>
      </c>
      <c r="I202" s="1">
        <v>45306</v>
      </c>
      <c r="J202">
        <v>408000</v>
      </c>
      <c r="K202">
        <v>0.15</v>
      </c>
      <c r="L202" t="s">
        <v>18</v>
      </c>
      <c r="M202">
        <f ca="1">IF(Table1[[#This Row],[Exit]]="",DATEDIF(Table1[[#This Row],[Hire]],TODAY(),"Y"),DATEDIF(Table1[[#This Row],[Hire]],Table1[[#This Row],[Exit]],"Y"))</f>
        <v>1</v>
      </c>
      <c r="N202">
        <f>FLOOR(Table1[[#This Row],[Age]],10)</f>
        <v>20</v>
      </c>
      <c r="O202" t="str">
        <f>IF(Table1[[#This Row],[Age]]&lt;30,"20-29",IF(Table1[[#This Row],[Age]]&lt;40,"30-39",IF(Table1[[#This Row],[Age]]&lt;50,"40-49",IF(Table1[[#This Row],[Age]]&lt;60,"50-59","60+"))))</f>
        <v>20-29</v>
      </c>
    </row>
    <row r="203" spans="1:15" x14ac:dyDescent="0.25">
      <c r="A203" t="s">
        <v>432</v>
      </c>
      <c r="B203" t="s">
        <v>433</v>
      </c>
      <c r="C203" t="s">
        <v>21</v>
      </c>
      <c r="D203">
        <v>30</v>
      </c>
      <c r="E203" t="s">
        <v>42</v>
      </c>
      <c r="F203" t="s">
        <v>49</v>
      </c>
      <c r="G203" t="s">
        <v>17</v>
      </c>
      <c r="H203" s="1">
        <v>45440</v>
      </c>
      <c r="J203">
        <v>410000</v>
      </c>
      <c r="K203">
        <v>0</v>
      </c>
      <c r="L203" t="s">
        <v>24</v>
      </c>
      <c r="M203">
        <f ca="1">IF(Table1[[#This Row],[Exit]]="",DATEDIF(Table1[[#This Row],[Hire]],TODAY(),"Y"),DATEDIF(Table1[[#This Row],[Hire]],Table1[[#This Row],[Exit]],"Y"))</f>
        <v>1</v>
      </c>
      <c r="N203">
        <f>FLOOR(Table1[[#This Row],[Age]],10)</f>
        <v>30</v>
      </c>
      <c r="O203" t="str">
        <f>IF(Table1[[#This Row],[Age]]&lt;30,"20-29",IF(Table1[[#This Row],[Age]]&lt;40,"30-39",IF(Table1[[#This Row],[Age]]&lt;50,"40-49",IF(Table1[[#This Row],[Age]]&lt;60,"50-59","60+"))))</f>
        <v>30-39</v>
      </c>
    </row>
    <row r="204" spans="1:15" x14ac:dyDescent="0.25">
      <c r="A204" t="s">
        <v>434</v>
      </c>
      <c r="B204" t="s">
        <v>435</v>
      </c>
      <c r="C204" t="s">
        <v>41</v>
      </c>
      <c r="D204">
        <v>46</v>
      </c>
      <c r="E204" t="s">
        <v>52</v>
      </c>
      <c r="F204" t="s">
        <v>16</v>
      </c>
      <c r="G204" t="s">
        <v>53</v>
      </c>
      <c r="H204" s="1">
        <v>44811</v>
      </c>
      <c r="J204">
        <v>412000</v>
      </c>
      <c r="K204">
        <v>0.09</v>
      </c>
      <c r="L204" t="s">
        <v>24</v>
      </c>
      <c r="M204">
        <f ca="1">IF(Table1[[#This Row],[Exit]]="",DATEDIF(Table1[[#This Row],[Hire]],TODAY(),"Y"),DATEDIF(Table1[[#This Row],[Hire]],Table1[[#This Row],[Exit]],"Y"))</f>
        <v>3</v>
      </c>
      <c r="N204">
        <f>FLOOR(Table1[[#This Row],[Age]],10)</f>
        <v>40</v>
      </c>
      <c r="O204" t="str">
        <f>IF(Table1[[#This Row],[Age]]&lt;30,"20-29",IF(Table1[[#This Row],[Age]]&lt;40,"30-39",IF(Table1[[#This Row],[Age]]&lt;50,"40-49",IF(Table1[[#This Row],[Age]]&lt;60,"50-59","60+"))))</f>
        <v>40-49</v>
      </c>
    </row>
    <row r="205" spans="1:15" x14ac:dyDescent="0.25">
      <c r="A205" t="s">
        <v>436</v>
      </c>
      <c r="B205" t="s">
        <v>437</v>
      </c>
      <c r="C205" t="s">
        <v>14</v>
      </c>
      <c r="D205">
        <v>45</v>
      </c>
      <c r="E205" t="s">
        <v>42</v>
      </c>
      <c r="F205" t="s">
        <v>46</v>
      </c>
      <c r="G205" t="s">
        <v>53</v>
      </c>
      <c r="H205" s="1">
        <v>45294</v>
      </c>
      <c r="J205">
        <v>414000</v>
      </c>
      <c r="K205">
        <v>0</v>
      </c>
      <c r="L205" t="s">
        <v>24</v>
      </c>
      <c r="M205">
        <f ca="1">IF(Table1[[#This Row],[Exit]]="",DATEDIF(Table1[[#This Row],[Hire]],TODAY(),"Y"),DATEDIF(Table1[[#This Row],[Hire]],Table1[[#This Row],[Exit]],"Y"))</f>
        <v>2</v>
      </c>
      <c r="N205">
        <f>FLOOR(Table1[[#This Row],[Age]],10)</f>
        <v>40</v>
      </c>
      <c r="O205" t="str">
        <f>IF(Table1[[#This Row],[Age]]&lt;30,"20-29",IF(Table1[[#This Row],[Age]]&lt;40,"30-39",IF(Table1[[#This Row],[Age]]&lt;50,"40-49",IF(Table1[[#This Row],[Age]]&lt;60,"50-59","60+"))))</f>
        <v>40-49</v>
      </c>
    </row>
    <row r="206" spans="1:15" x14ac:dyDescent="0.25">
      <c r="A206" t="s">
        <v>438</v>
      </c>
      <c r="B206" t="s">
        <v>439</v>
      </c>
      <c r="C206" t="s">
        <v>41</v>
      </c>
      <c r="D206">
        <v>46</v>
      </c>
      <c r="E206" t="s">
        <v>58</v>
      </c>
      <c r="F206" t="s">
        <v>59</v>
      </c>
      <c r="G206" t="s">
        <v>34</v>
      </c>
      <c r="H206" s="1">
        <v>45074</v>
      </c>
      <c r="J206">
        <v>416000</v>
      </c>
      <c r="K206">
        <v>0</v>
      </c>
      <c r="L206" t="s">
        <v>24</v>
      </c>
      <c r="M206">
        <f ca="1">IF(Table1[[#This Row],[Exit]]="",DATEDIF(Table1[[#This Row],[Hire]],TODAY(),"Y"),DATEDIF(Table1[[#This Row],[Hire]],Table1[[#This Row],[Exit]],"Y"))</f>
        <v>2</v>
      </c>
      <c r="N206">
        <f>FLOOR(Table1[[#This Row],[Age]],10)</f>
        <v>40</v>
      </c>
      <c r="O206" t="str">
        <f>IF(Table1[[#This Row],[Age]]&lt;30,"20-29",IF(Table1[[#This Row],[Age]]&lt;40,"30-39",IF(Table1[[#This Row],[Age]]&lt;50,"40-49",IF(Table1[[#This Row],[Age]]&lt;60,"50-59","60+"))))</f>
        <v>40-49</v>
      </c>
    </row>
    <row r="207" spans="1:15" x14ac:dyDescent="0.25">
      <c r="A207" t="s">
        <v>440</v>
      </c>
      <c r="B207" t="s">
        <v>441</v>
      </c>
      <c r="C207" t="s">
        <v>14</v>
      </c>
      <c r="D207">
        <v>38</v>
      </c>
      <c r="E207" t="s">
        <v>52</v>
      </c>
      <c r="F207" t="s">
        <v>16</v>
      </c>
      <c r="G207" t="s">
        <v>23</v>
      </c>
      <c r="H207" s="1">
        <v>45245</v>
      </c>
      <c r="J207">
        <v>418000</v>
      </c>
      <c r="K207">
        <v>0.4</v>
      </c>
      <c r="L207" t="s">
        <v>24</v>
      </c>
      <c r="M207">
        <f ca="1">IF(Table1[[#This Row],[Exit]]="",DATEDIF(Table1[[#This Row],[Hire]],TODAY(),"Y"),DATEDIF(Table1[[#This Row],[Hire]],Table1[[#This Row],[Exit]],"Y"))</f>
        <v>2</v>
      </c>
      <c r="N207">
        <f>FLOOR(Table1[[#This Row],[Age]],10)</f>
        <v>30</v>
      </c>
      <c r="O207" t="str">
        <f>IF(Table1[[#This Row],[Age]]&lt;30,"20-29",IF(Table1[[#This Row],[Age]]&lt;40,"30-39",IF(Table1[[#This Row],[Age]]&lt;50,"40-49",IF(Table1[[#This Row],[Age]]&lt;60,"50-59","60+"))))</f>
        <v>30-39</v>
      </c>
    </row>
    <row r="208" spans="1:15" x14ac:dyDescent="0.25">
      <c r="A208" t="s">
        <v>442</v>
      </c>
      <c r="B208" t="s">
        <v>443</v>
      </c>
      <c r="C208" t="s">
        <v>14</v>
      </c>
      <c r="D208">
        <v>45</v>
      </c>
      <c r="E208" t="s">
        <v>52</v>
      </c>
      <c r="F208" t="s">
        <v>16</v>
      </c>
      <c r="G208" t="s">
        <v>34</v>
      </c>
      <c r="H208" s="1">
        <v>43851</v>
      </c>
      <c r="J208">
        <v>420000</v>
      </c>
      <c r="K208">
        <v>0.09</v>
      </c>
      <c r="L208" t="s">
        <v>24</v>
      </c>
      <c r="M208">
        <f ca="1">IF(Table1[[#This Row],[Exit]]="",DATEDIF(Table1[[#This Row],[Hire]],TODAY(),"Y"),DATEDIF(Table1[[#This Row],[Hire]],Table1[[#This Row],[Exit]],"Y"))</f>
        <v>6</v>
      </c>
      <c r="N208">
        <f>FLOOR(Table1[[#This Row],[Age]],10)</f>
        <v>40</v>
      </c>
      <c r="O208" t="str">
        <f>IF(Table1[[#This Row],[Age]]&lt;30,"20-29",IF(Table1[[#This Row],[Age]]&lt;40,"30-39",IF(Table1[[#This Row],[Age]]&lt;50,"40-49",IF(Table1[[#This Row],[Age]]&lt;60,"50-59","60+"))))</f>
        <v>40-49</v>
      </c>
    </row>
    <row r="209" spans="1:15" x14ac:dyDescent="0.25">
      <c r="A209" t="s">
        <v>444</v>
      </c>
      <c r="B209" t="s">
        <v>445</v>
      </c>
      <c r="C209" t="s">
        <v>14</v>
      </c>
      <c r="D209">
        <v>51</v>
      </c>
      <c r="E209" t="s">
        <v>66</v>
      </c>
      <c r="F209" t="s">
        <v>16</v>
      </c>
      <c r="G209" t="s">
        <v>17</v>
      </c>
      <c r="H209" s="1">
        <v>45206</v>
      </c>
      <c r="J209">
        <v>422000</v>
      </c>
      <c r="K209">
        <v>0.31</v>
      </c>
      <c r="L209" t="s">
        <v>24</v>
      </c>
      <c r="M209">
        <f ca="1">IF(Table1[[#This Row],[Exit]]="",DATEDIF(Table1[[#This Row],[Hire]],TODAY(),"Y"),DATEDIF(Table1[[#This Row],[Hire]],Table1[[#This Row],[Exit]],"Y"))</f>
        <v>2</v>
      </c>
      <c r="N209">
        <f>FLOOR(Table1[[#This Row],[Age]],10)</f>
        <v>50</v>
      </c>
      <c r="O209" t="str">
        <f>IF(Table1[[#This Row],[Age]]&lt;30,"20-29",IF(Table1[[#This Row],[Age]]&lt;40,"30-39",IF(Table1[[#This Row],[Age]]&lt;50,"40-49",IF(Table1[[#This Row],[Age]]&lt;60,"50-59","60+"))))</f>
        <v>50-59</v>
      </c>
    </row>
    <row r="210" spans="1:15" x14ac:dyDescent="0.25">
      <c r="A210" t="s">
        <v>446</v>
      </c>
      <c r="B210" t="s">
        <v>447</v>
      </c>
      <c r="C210" t="s">
        <v>14</v>
      </c>
      <c r="D210">
        <v>56</v>
      </c>
      <c r="E210" t="s">
        <v>58</v>
      </c>
      <c r="F210" t="s">
        <v>59</v>
      </c>
      <c r="G210" t="s">
        <v>23</v>
      </c>
      <c r="H210" s="1">
        <v>45401</v>
      </c>
      <c r="J210">
        <v>424000</v>
      </c>
      <c r="K210">
        <v>0</v>
      </c>
      <c r="L210" t="s">
        <v>24</v>
      </c>
      <c r="M210">
        <f ca="1">IF(Table1[[#This Row],[Exit]]="",DATEDIF(Table1[[#This Row],[Hire]],TODAY(),"Y"),DATEDIF(Table1[[#This Row],[Hire]],Table1[[#This Row],[Exit]],"Y"))</f>
        <v>1</v>
      </c>
      <c r="N210">
        <f>FLOOR(Table1[[#This Row],[Age]],10)</f>
        <v>50</v>
      </c>
      <c r="O210" t="str">
        <f>IF(Table1[[#This Row],[Age]]&lt;30,"20-29",IF(Table1[[#This Row],[Age]]&lt;40,"30-39",IF(Table1[[#This Row],[Age]]&lt;50,"40-49",IF(Table1[[#This Row],[Age]]&lt;60,"50-59","60+"))))</f>
        <v>50-59</v>
      </c>
    </row>
    <row r="211" spans="1:15" x14ac:dyDescent="0.25">
      <c r="A211" t="s">
        <v>448</v>
      </c>
      <c r="B211" t="s">
        <v>449</v>
      </c>
      <c r="C211" t="s">
        <v>14</v>
      </c>
      <c r="D211">
        <v>53</v>
      </c>
      <c r="E211" t="s">
        <v>66</v>
      </c>
      <c r="F211" t="s">
        <v>16</v>
      </c>
      <c r="G211" t="s">
        <v>34</v>
      </c>
      <c r="H211" s="1">
        <v>44083</v>
      </c>
      <c r="I211" s="1">
        <v>45052</v>
      </c>
      <c r="J211">
        <v>426000</v>
      </c>
      <c r="K211">
        <v>0</v>
      </c>
      <c r="L211" t="s">
        <v>18</v>
      </c>
      <c r="M211">
        <f ca="1">IF(Table1[[#This Row],[Exit]]="",DATEDIF(Table1[[#This Row],[Hire]],TODAY(),"Y"),DATEDIF(Table1[[#This Row],[Hire]],Table1[[#This Row],[Exit]],"Y"))</f>
        <v>2</v>
      </c>
      <c r="N211">
        <f>FLOOR(Table1[[#This Row],[Age]],10)</f>
        <v>50</v>
      </c>
      <c r="O211" t="str">
        <f>IF(Table1[[#This Row],[Age]]&lt;30,"20-29",IF(Table1[[#This Row],[Age]]&lt;40,"30-39",IF(Table1[[#This Row],[Age]]&lt;50,"40-49",IF(Table1[[#This Row],[Age]]&lt;60,"50-59","60+"))))</f>
        <v>50-59</v>
      </c>
    </row>
    <row r="212" spans="1:15" x14ac:dyDescent="0.25">
      <c r="A212" t="s">
        <v>450</v>
      </c>
      <c r="B212" t="s">
        <v>451</v>
      </c>
      <c r="C212" t="s">
        <v>21</v>
      </c>
      <c r="D212">
        <v>47</v>
      </c>
      <c r="E212" t="s">
        <v>66</v>
      </c>
      <c r="F212" t="s">
        <v>16</v>
      </c>
      <c r="G212" t="s">
        <v>53</v>
      </c>
      <c r="H212" s="1">
        <v>45233</v>
      </c>
      <c r="J212">
        <v>428000</v>
      </c>
      <c r="K212">
        <v>0</v>
      </c>
      <c r="L212" t="s">
        <v>24</v>
      </c>
      <c r="M212">
        <f ca="1">IF(Table1[[#This Row],[Exit]]="",DATEDIF(Table1[[#This Row],[Hire]],TODAY(),"Y"),DATEDIF(Table1[[#This Row],[Hire]],Table1[[#This Row],[Exit]],"Y"))</f>
        <v>2</v>
      </c>
      <c r="N212">
        <f>FLOOR(Table1[[#This Row],[Age]],10)</f>
        <v>40</v>
      </c>
      <c r="O212" t="str">
        <f>IF(Table1[[#This Row],[Age]]&lt;30,"20-29",IF(Table1[[#This Row],[Age]]&lt;40,"30-39",IF(Table1[[#This Row],[Age]]&lt;50,"40-49",IF(Table1[[#This Row],[Age]]&lt;60,"50-59","60+"))))</f>
        <v>40-49</v>
      </c>
    </row>
    <row r="213" spans="1:15" x14ac:dyDescent="0.25">
      <c r="A213" t="s">
        <v>452</v>
      </c>
      <c r="B213" t="s">
        <v>453</v>
      </c>
      <c r="C213" t="s">
        <v>21</v>
      </c>
      <c r="D213">
        <v>36</v>
      </c>
      <c r="E213" t="s">
        <v>58</v>
      </c>
      <c r="F213" t="s">
        <v>59</v>
      </c>
      <c r="G213" t="s">
        <v>53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18</v>
      </c>
      <c r="M213">
        <f ca="1">IF(Table1[[#This Row],[Exit]]="",DATEDIF(Table1[[#This Row],[Hire]],TODAY(),"Y"),DATEDIF(Table1[[#This Row],[Hire]],Table1[[#This Row],[Exit]],"Y"))</f>
        <v>2</v>
      </c>
      <c r="N213">
        <f>FLOOR(Table1[[#This Row],[Age]],10)</f>
        <v>30</v>
      </c>
      <c r="O213" t="str">
        <f>IF(Table1[[#This Row],[Age]]&lt;30,"20-29",IF(Table1[[#This Row],[Age]]&lt;40,"30-39",IF(Table1[[#This Row],[Age]]&lt;50,"40-49",IF(Table1[[#This Row],[Age]]&lt;60,"50-59","60+"))))</f>
        <v>30-39</v>
      </c>
    </row>
    <row r="214" spans="1:15" x14ac:dyDescent="0.25">
      <c r="A214" t="s">
        <v>454</v>
      </c>
      <c r="B214" t="s">
        <v>455</v>
      </c>
      <c r="C214" t="s">
        <v>14</v>
      </c>
      <c r="D214">
        <v>41</v>
      </c>
      <c r="E214" t="s">
        <v>15</v>
      </c>
      <c r="F214" t="s">
        <v>16</v>
      </c>
      <c r="G214" t="s">
        <v>53</v>
      </c>
      <c r="H214" s="1">
        <v>43887</v>
      </c>
      <c r="J214">
        <v>432000</v>
      </c>
      <c r="K214">
        <v>0</v>
      </c>
      <c r="L214" t="s">
        <v>24</v>
      </c>
      <c r="M214">
        <f ca="1">IF(Table1[[#This Row],[Exit]]="",DATEDIF(Table1[[#This Row],[Hire]],TODAY(),"Y"),DATEDIF(Table1[[#This Row],[Hire]],Table1[[#This Row],[Exit]],"Y"))</f>
        <v>5</v>
      </c>
      <c r="N214">
        <f>FLOOR(Table1[[#This Row],[Age]],10)</f>
        <v>40</v>
      </c>
      <c r="O214" t="str">
        <f>IF(Table1[[#This Row],[Age]]&lt;30,"20-29",IF(Table1[[#This Row],[Age]]&lt;40,"30-39",IF(Table1[[#This Row],[Age]]&lt;50,"40-49",IF(Table1[[#This Row],[Age]]&lt;60,"50-59","60+"))))</f>
        <v>40-49</v>
      </c>
    </row>
    <row r="215" spans="1:15" x14ac:dyDescent="0.25">
      <c r="A215" t="s">
        <v>456</v>
      </c>
      <c r="B215" t="s">
        <v>457</v>
      </c>
      <c r="C215" t="s">
        <v>41</v>
      </c>
      <c r="D215">
        <v>30</v>
      </c>
      <c r="E215" t="s">
        <v>22</v>
      </c>
      <c r="F215" t="s">
        <v>16</v>
      </c>
      <c r="G215" t="s">
        <v>53</v>
      </c>
      <c r="H215" s="1">
        <v>44815</v>
      </c>
      <c r="J215">
        <v>434000</v>
      </c>
      <c r="K215">
        <v>0.15</v>
      </c>
      <c r="L215" t="s">
        <v>24</v>
      </c>
      <c r="M215">
        <f ca="1">IF(Table1[[#This Row],[Exit]]="",DATEDIF(Table1[[#This Row],[Hire]],TODAY(),"Y"),DATEDIF(Table1[[#This Row],[Hire]],Table1[[#This Row],[Exit]],"Y"))</f>
        <v>3</v>
      </c>
      <c r="N215">
        <f>FLOOR(Table1[[#This Row],[Age]],10)</f>
        <v>30</v>
      </c>
      <c r="O215" t="str">
        <f>IF(Table1[[#This Row],[Age]]&lt;30,"20-29",IF(Table1[[#This Row],[Age]]&lt;40,"30-39",IF(Table1[[#This Row],[Age]]&lt;50,"40-49",IF(Table1[[#This Row],[Age]]&lt;60,"50-59","60+"))))</f>
        <v>30-39</v>
      </c>
    </row>
    <row r="216" spans="1:15" x14ac:dyDescent="0.25">
      <c r="A216" t="s">
        <v>458</v>
      </c>
      <c r="B216" t="s">
        <v>459</v>
      </c>
      <c r="C216" t="s">
        <v>14</v>
      </c>
      <c r="D216">
        <v>30</v>
      </c>
      <c r="E216" t="s">
        <v>81</v>
      </c>
      <c r="F216" t="s">
        <v>43</v>
      </c>
      <c r="G216" t="s">
        <v>53</v>
      </c>
      <c r="H216" s="1">
        <v>45430</v>
      </c>
      <c r="J216">
        <v>436000</v>
      </c>
      <c r="K216">
        <v>0</v>
      </c>
      <c r="L216" t="s">
        <v>24</v>
      </c>
      <c r="M216">
        <f ca="1">IF(Table1[[#This Row],[Exit]]="",DATEDIF(Table1[[#This Row],[Hire]],TODAY(),"Y"),DATEDIF(Table1[[#This Row],[Hire]],Table1[[#This Row],[Exit]],"Y"))</f>
        <v>1</v>
      </c>
      <c r="N216">
        <f>FLOOR(Table1[[#This Row],[Age]],10)</f>
        <v>30</v>
      </c>
      <c r="O216" t="str">
        <f>IF(Table1[[#This Row],[Age]]&lt;30,"20-29",IF(Table1[[#This Row],[Age]]&lt;40,"30-39",IF(Table1[[#This Row],[Age]]&lt;50,"40-49",IF(Table1[[#This Row],[Age]]&lt;60,"50-59","60+"))))</f>
        <v>30-39</v>
      </c>
    </row>
    <row r="217" spans="1:15" x14ac:dyDescent="0.25">
      <c r="A217" t="s">
        <v>460</v>
      </c>
      <c r="B217" t="s">
        <v>461</v>
      </c>
      <c r="C217" t="s">
        <v>21</v>
      </c>
      <c r="D217">
        <v>38</v>
      </c>
      <c r="E217" t="s">
        <v>52</v>
      </c>
      <c r="F217" t="s">
        <v>16</v>
      </c>
      <c r="G217" t="s">
        <v>17</v>
      </c>
      <c r="H217" s="1">
        <v>44509</v>
      </c>
      <c r="I217" s="1">
        <v>45102</v>
      </c>
      <c r="J217">
        <v>438000</v>
      </c>
      <c r="K217">
        <v>0.22</v>
      </c>
      <c r="L217" t="s">
        <v>18</v>
      </c>
      <c r="M217">
        <f ca="1">IF(Table1[[#This Row],[Exit]]="",DATEDIF(Table1[[#This Row],[Hire]],TODAY(),"Y"),DATEDIF(Table1[[#This Row],[Hire]],Table1[[#This Row],[Exit]],"Y"))</f>
        <v>1</v>
      </c>
      <c r="N217">
        <f>FLOOR(Table1[[#This Row],[Age]],10)</f>
        <v>30</v>
      </c>
      <c r="O217" t="str">
        <f>IF(Table1[[#This Row],[Age]]&lt;30,"20-29",IF(Table1[[#This Row],[Age]]&lt;40,"30-39",IF(Table1[[#This Row],[Age]]&lt;50,"40-49",IF(Table1[[#This Row],[Age]]&lt;60,"50-59","60+"))))</f>
        <v>30-39</v>
      </c>
    </row>
    <row r="218" spans="1:15" x14ac:dyDescent="0.25">
      <c r="A218" t="s">
        <v>462</v>
      </c>
      <c r="B218" t="s">
        <v>463</v>
      </c>
      <c r="C218" t="s">
        <v>41</v>
      </c>
      <c r="D218">
        <v>31</v>
      </c>
      <c r="E218" t="s">
        <v>66</v>
      </c>
      <c r="F218" t="s">
        <v>16</v>
      </c>
      <c r="G218" t="s">
        <v>23</v>
      </c>
      <c r="H218" s="1">
        <v>43963</v>
      </c>
      <c r="J218">
        <v>440000</v>
      </c>
      <c r="K218">
        <v>0.3</v>
      </c>
      <c r="L218" t="s">
        <v>24</v>
      </c>
      <c r="M218">
        <f ca="1">IF(Table1[[#This Row],[Exit]]="",DATEDIF(Table1[[#This Row],[Hire]],TODAY(),"Y"),DATEDIF(Table1[[#This Row],[Hire]],Table1[[#This Row],[Exit]],"Y"))</f>
        <v>5</v>
      </c>
      <c r="N218">
        <f>FLOOR(Table1[[#This Row],[Age]],10)</f>
        <v>30</v>
      </c>
      <c r="O218" t="str">
        <f>IF(Table1[[#This Row],[Age]]&lt;30,"20-29",IF(Table1[[#This Row],[Age]]&lt;40,"30-39",IF(Table1[[#This Row],[Age]]&lt;50,"40-49",IF(Table1[[#This Row],[Age]]&lt;60,"50-59","60+"))))</f>
        <v>30-39</v>
      </c>
    </row>
    <row r="219" spans="1:15" x14ac:dyDescent="0.25">
      <c r="A219" t="s">
        <v>464</v>
      </c>
      <c r="B219" t="s">
        <v>465</v>
      </c>
      <c r="C219" t="s">
        <v>14</v>
      </c>
      <c r="D219">
        <v>39</v>
      </c>
      <c r="E219" t="s">
        <v>31</v>
      </c>
      <c r="F219" t="s">
        <v>16</v>
      </c>
      <c r="G219" t="s">
        <v>53</v>
      </c>
      <c r="H219" s="1">
        <v>44815</v>
      </c>
      <c r="J219">
        <v>442000</v>
      </c>
      <c r="K219">
        <v>7.0000000000000007E-2</v>
      </c>
      <c r="L219" t="s">
        <v>24</v>
      </c>
      <c r="M219">
        <f ca="1">IF(Table1[[#This Row],[Exit]]="",DATEDIF(Table1[[#This Row],[Hire]],TODAY(),"Y"),DATEDIF(Table1[[#This Row],[Hire]],Table1[[#This Row],[Exit]],"Y"))</f>
        <v>3</v>
      </c>
      <c r="N219">
        <f>FLOOR(Table1[[#This Row],[Age]],10)</f>
        <v>30</v>
      </c>
      <c r="O219" t="str">
        <f>IF(Table1[[#This Row],[Age]]&lt;30,"20-29",IF(Table1[[#This Row],[Age]]&lt;40,"30-39",IF(Table1[[#This Row],[Age]]&lt;50,"40-49",IF(Table1[[#This Row],[Age]]&lt;60,"50-59","60+"))))</f>
        <v>30-39</v>
      </c>
    </row>
    <row r="220" spans="1:15" x14ac:dyDescent="0.25">
      <c r="A220" t="s">
        <v>466</v>
      </c>
      <c r="B220" t="s">
        <v>467</v>
      </c>
      <c r="C220" t="s">
        <v>21</v>
      </c>
      <c r="D220">
        <v>31</v>
      </c>
      <c r="E220" t="s">
        <v>81</v>
      </c>
      <c r="F220" t="s">
        <v>49</v>
      </c>
      <c r="G220" t="s">
        <v>34</v>
      </c>
      <c r="H220" s="1">
        <v>44857</v>
      </c>
      <c r="J220">
        <v>444000</v>
      </c>
      <c r="K220">
        <v>0.11</v>
      </c>
      <c r="L220" t="s">
        <v>24</v>
      </c>
      <c r="M220">
        <f ca="1">IF(Table1[[#This Row],[Exit]]="",DATEDIF(Table1[[#This Row],[Hire]],TODAY(),"Y"),DATEDIF(Table1[[#This Row],[Hire]],Table1[[#This Row],[Exit]],"Y"))</f>
        <v>3</v>
      </c>
      <c r="N220">
        <f>FLOOR(Table1[[#This Row],[Age]],10)</f>
        <v>30</v>
      </c>
      <c r="O220" t="str">
        <f>IF(Table1[[#This Row],[Age]]&lt;30,"20-29",IF(Table1[[#This Row],[Age]]&lt;40,"30-39",IF(Table1[[#This Row],[Age]]&lt;50,"40-49",IF(Table1[[#This Row],[Age]]&lt;60,"50-59","60+"))))</f>
        <v>30-39</v>
      </c>
    </row>
    <row r="221" spans="1:15" x14ac:dyDescent="0.25">
      <c r="A221" t="s">
        <v>468</v>
      </c>
      <c r="B221" t="s">
        <v>469</v>
      </c>
      <c r="C221" t="s">
        <v>14</v>
      </c>
      <c r="D221">
        <v>45</v>
      </c>
      <c r="E221" t="s">
        <v>92</v>
      </c>
      <c r="F221" t="s">
        <v>59</v>
      </c>
      <c r="G221" t="s">
        <v>53</v>
      </c>
      <c r="H221" s="1">
        <v>45527</v>
      </c>
      <c r="J221">
        <v>446000</v>
      </c>
      <c r="K221">
        <v>0.06</v>
      </c>
      <c r="L221" t="s">
        <v>24</v>
      </c>
      <c r="M221">
        <f ca="1">IF(Table1[[#This Row],[Exit]]="",DATEDIF(Table1[[#This Row],[Hire]],TODAY(),"Y"),DATEDIF(Table1[[#This Row],[Hire]],Table1[[#This Row],[Exit]],"Y"))</f>
        <v>1</v>
      </c>
      <c r="N221">
        <f>FLOOR(Table1[[#This Row],[Age]],10)</f>
        <v>40</v>
      </c>
      <c r="O221" t="str">
        <f>IF(Table1[[#This Row],[Age]]&lt;30,"20-29",IF(Table1[[#This Row],[Age]]&lt;40,"30-39",IF(Table1[[#This Row],[Age]]&lt;50,"40-49",IF(Table1[[#This Row],[Age]]&lt;60,"50-59","60+"))))</f>
        <v>40-49</v>
      </c>
    </row>
    <row r="222" spans="1:15" x14ac:dyDescent="0.25">
      <c r="A222" t="s">
        <v>470</v>
      </c>
      <c r="B222" t="s">
        <v>471</v>
      </c>
      <c r="C222" t="s">
        <v>21</v>
      </c>
      <c r="D222">
        <v>50</v>
      </c>
      <c r="E222" t="s">
        <v>81</v>
      </c>
      <c r="F222" t="s">
        <v>46</v>
      </c>
      <c r="G222" t="s">
        <v>23</v>
      </c>
      <c r="H222" s="1">
        <v>45237</v>
      </c>
      <c r="J222">
        <v>448000</v>
      </c>
      <c r="K222">
        <v>0.12</v>
      </c>
      <c r="L222" t="s">
        <v>24</v>
      </c>
      <c r="M222">
        <f ca="1">IF(Table1[[#This Row],[Exit]]="",DATEDIF(Table1[[#This Row],[Hire]],TODAY(),"Y"),DATEDIF(Table1[[#This Row],[Hire]],Table1[[#This Row],[Exit]],"Y"))</f>
        <v>2</v>
      </c>
      <c r="N222">
        <f>FLOOR(Table1[[#This Row],[Age]],10)</f>
        <v>50</v>
      </c>
      <c r="O222" t="str">
        <f>IF(Table1[[#This Row],[Age]]&lt;30,"20-29",IF(Table1[[#This Row],[Age]]&lt;40,"30-39",IF(Table1[[#This Row],[Age]]&lt;50,"40-49",IF(Table1[[#This Row],[Age]]&lt;60,"50-59","60+"))))</f>
        <v>50-59</v>
      </c>
    </row>
    <row r="223" spans="1:15" x14ac:dyDescent="0.25">
      <c r="A223" t="s">
        <v>472</v>
      </c>
      <c r="B223" t="s">
        <v>473</v>
      </c>
      <c r="C223" t="s">
        <v>21</v>
      </c>
      <c r="D223">
        <v>36</v>
      </c>
      <c r="E223" t="s">
        <v>22</v>
      </c>
      <c r="F223" t="s">
        <v>16</v>
      </c>
      <c r="G223" t="s">
        <v>34</v>
      </c>
      <c r="H223" s="1">
        <v>45206</v>
      </c>
      <c r="J223">
        <v>450000</v>
      </c>
      <c r="K223">
        <v>0.16</v>
      </c>
      <c r="L223" t="s">
        <v>24</v>
      </c>
      <c r="M223">
        <f ca="1">IF(Table1[[#This Row],[Exit]]="",DATEDIF(Table1[[#This Row],[Hire]],TODAY(),"Y"),DATEDIF(Table1[[#This Row],[Hire]],Table1[[#This Row],[Exit]],"Y"))</f>
        <v>2</v>
      </c>
      <c r="N223">
        <f>FLOOR(Table1[[#This Row],[Age]],10)</f>
        <v>30</v>
      </c>
      <c r="O223" t="str">
        <f>IF(Table1[[#This Row],[Age]]&lt;30,"20-29",IF(Table1[[#This Row],[Age]]&lt;40,"30-39",IF(Table1[[#This Row],[Age]]&lt;50,"40-49",IF(Table1[[#This Row],[Age]]&lt;60,"50-59","60+"))))</f>
        <v>30-39</v>
      </c>
    </row>
    <row r="224" spans="1:15" x14ac:dyDescent="0.25">
      <c r="A224" t="s">
        <v>474</v>
      </c>
      <c r="B224" t="s">
        <v>475</v>
      </c>
      <c r="C224" t="s">
        <v>14</v>
      </c>
      <c r="D224">
        <v>45</v>
      </c>
      <c r="E224" t="s">
        <v>92</v>
      </c>
      <c r="F224" t="s">
        <v>59</v>
      </c>
      <c r="G224" t="s">
        <v>34</v>
      </c>
      <c r="H224" s="1">
        <v>44677</v>
      </c>
      <c r="J224">
        <v>452000</v>
      </c>
      <c r="K224">
        <v>0.35</v>
      </c>
      <c r="L224" t="s">
        <v>24</v>
      </c>
      <c r="M224">
        <f ca="1">IF(Table1[[#This Row],[Exit]]="",DATEDIF(Table1[[#This Row],[Hire]],TODAY(),"Y"),DATEDIF(Table1[[#This Row],[Hire]],Table1[[#This Row],[Exit]],"Y"))</f>
        <v>3</v>
      </c>
      <c r="N224">
        <f>FLOOR(Table1[[#This Row],[Age]],10)</f>
        <v>40</v>
      </c>
      <c r="O224" t="str">
        <f>IF(Table1[[#This Row],[Age]]&lt;30,"20-29",IF(Table1[[#This Row],[Age]]&lt;40,"30-39",IF(Table1[[#This Row],[Age]]&lt;50,"40-49",IF(Table1[[#This Row],[Age]]&lt;60,"50-59","60+"))))</f>
        <v>40-49</v>
      </c>
    </row>
    <row r="225" spans="1:15" x14ac:dyDescent="0.25">
      <c r="A225" t="s">
        <v>476</v>
      </c>
      <c r="B225" t="s">
        <v>477</v>
      </c>
      <c r="C225" t="s">
        <v>21</v>
      </c>
      <c r="D225">
        <v>31</v>
      </c>
      <c r="E225" t="s">
        <v>31</v>
      </c>
      <c r="F225" t="s">
        <v>16</v>
      </c>
      <c r="G225" t="s">
        <v>17</v>
      </c>
      <c r="H225" s="1">
        <v>43889</v>
      </c>
      <c r="J225">
        <v>454000</v>
      </c>
      <c r="K225">
        <v>0.18</v>
      </c>
      <c r="L225" t="s">
        <v>24</v>
      </c>
      <c r="M225">
        <f ca="1">IF(Table1[[#This Row],[Exit]]="",DATEDIF(Table1[[#This Row],[Hire]],TODAY(),"Y"),DATEDIF(Table1[[#This Row],[Hire]],Table1[[#This Row],[Exit]],"Y"))</f>
        <v>5</v>
      </c>
      <c r="N225">
        <f>FLOOR(Table1[[#This Row],[Age]],10)</f>
        <v>30</v>
      </c>
      <c r="O225" t="str">
        <f>IF(Table1[[#This Row],[Age]]&lt;30,"20-29",IF(Table1[[#This Row],[Age]]&lt;40,"30-39",IF(Table1[[#This Row],[Age]]&lt;50,"40-49",IF(Table1[[#This Row],[Age]]&lt;60,"50-59","60+"))))</f>
        <v>30-39</v>
      </c>
    </row>
    <row r="226" spans="1:15" x14ac:dyDescent="0.25">
      <c r="A226" t="s">
        <v>478</v>
      </c>
      <c r="B226" t="s">
        <v>479</v>
      </c>
      <c r="C226" t="s">
        <v>14</v>
      </c>
      <c r="D226">
        <v>41</v>
      </c>
      <c r="E226" t="s">
        <v>15</v>
      </c>
      <c r="F226" t="s">
        <v>16</v>
      </c>
      <c r="G226" t="s">
        <v>17</v>
      </c>
      <c r="H226" s="1">
        <v>44116</v>
      </c>
      <c r="J226">
        <v>456000</v>
      </c>
      <c r="K226">
        <v>0.1</v>
      </c>
      <c r="L226" t="s">
        <v>24</v>
      </c>
      <c r="M226">
        <f ca="1">IF(Table1[[#This Row],[Exit]]="",DATEDIF(Table1[[#This Row],[Hire]],TODAY(),"Y"),DATEDIF(Table1[[#This Row],[Hire]],Table1[[#This Row],[Exit]],"Y"))</f>
        <v>5</v>
      </c>
      <c r="N226">
        <f>FLOOR(Table1[[#This Row],[Age]],10)</f>
        <v>40</v>
      </c>
      <c r="O226" t="str">
        <f>IF(Table1[[#This Row],[Age]]&lt;30,"20-29",IF(Table1[[#This Row],[Age]]&lt;40,"30-39",IF(Table1[[#This Row],[Age]]&lt;50,"40-49",IF(Table1[[#This Row],[Age]]&lt;60,"50-59","60+"))))</f>
        <v>40-49</v>
      </c>
    </row>
    <row r="227" spans="1:15" x14ac:dyDescent="0.25">
      <c r="A227" t="s">
        <v>480</v>
      </c>
      <c r="B227" t="s">
        <v>481</v>
      </c>
      <c r="C227" t="s">
        <v>14</v>
      </c>
      <c r="D227">
        <v>47</v>
      </c>
      <c r="E227" t="s">
        <v>22</v>
      </c>
      <c r="F227" t="s">
        <v>16</v>
      </c>
      <c r="G227" t="s">
        <v>23</v>
      </c>
      <c r="H227" s="1">
        <v>44588</v>
      </c>
      <c r="J227">
        <v>458000</v>
      </c>
      <c r="K227">
        <v>0.11</v>
      </c>
      <c r="L227" t="s">
        <v>24</v>
      </c>
      <c r="M227">
        <f ca="1">IF(Table1[[#This Row],[Exit]]="",DATEDIF(Table1[[#This Row],[Hire]],TODAY(),"Y"),DATEDIF(Table1[[#This Row],[Hire]],Table1[[#This Row],[Exit]],"Y"))</f>
        <v>4</v>
      </c>
      <c r="N227">
        <f>FLOOR(Table1[[#This Row],[Age]],10)</f>
        <v>40</v>
      </c>
      <c r="O227" t="str">
        <f>IF(Table1[[#This Row],[Age]]&lt;30,"20-29",IF(Table1[[#This Row],[Age]]&lt;40,"30-39",IF(Table1[[#This Row],[Age]]&lt;50,"40-49",IF(Table1[[#This Row],[Age]]&lt;60,"50-59","60+"))))</f>
        <v>40-49</v>
      </c>
    </row>
    <row r="228" spans="1:15" x14ac:dyDescent="0.25">
      <c r="A228" t="s">
        <v>482</v>
      </c>
      <c r="B228" t="s">
        <v>483</v>
      </c>
      <c r="C228" t="s">
        <v>14</v>
      </c>
      <c r="D228">
        <v>38</v>
      </c>
      <c r="E228" t="s">
        <v>27</v>
      </c>
      <c r="F228" t="s">
        <v>28</v>
      </c>
      <c r="G228" t="s">
        <v>17</v>
      </c>
      <c r="H228" s="1">
        <v>45337</v>
      </c>
      <c r="J228">
        <v>460000</v>
      </c>
      <c r="K228">
        <v>0</v>
      </c>
      <c r="L228" t="s">
        <v>24</v>
      </c>
      <c r="M228">
        <f ca="1">IF(Table1[[#This Row],[Exit]]="",DATEDIF(Table1[[#This Row],[Hire]],TODAY(),"Y"),DATEDIF(Table1[[#This Row],[Hire]],Table1[[#This Row],[Exit]],"Y"))</f>
        <v>1</v>
      </c>
      <c r="N228">
        <f>FLOOR(Table1[[#This Row],[Age]],10)</f>
        <v>30</v>
      </c>
      <c r="O228" t="str">
        <f>IF(Table1[[#This Row],[Age]]&lt;30,"20-29",IF(Table1[[#This Row],[Age]]&lt;40,"30-39",IF(Table1[[#This Row],[Age]]&lt;50,"40-49",IF(Table1[[#This Row],[Age]]&lt;60,"50-59","60+"))))</f>
        <v>30-39</v>
      </c>
    </row>
    <row r="229" spans="1:15" x14ac:dyDescent="0.25">
      <c r="A229" t="s">
        <v>484</v>
      </c>
      <c r="B229" t="s">
        <v>485</v>
      </c>
      <c r="C229" t="s">
        <v>355</v>
      </c>
      <c r="D229">
        <v>40</v>
      </c>
      <c r="E229" t="s">
        <v>31</v>
      </c>
      <c r="F229" t="s">
        <v>16</v>
      </c>
      <c r="G229" t="s">
        <v>23</v>
      </c>
      <c r="H229" s="1">
        <v>45332</v>
      </c>
      <c r="J229">
        <v>462000</v>
      </c>
      <c r="K229">
        <v>0</v>
      </c>
      <c r="L229" t="s">
        <v>24</v>
      </c>
      <c r="M229">
        <f ca="1">IF(Table1[[#This Row],[Exit]]="",DATEDIF(Table1[[#This Row],[Hire]],TODAY(),"Y"),DATEDIF(Table1[[#This Row],[Hire]],Table1[[#This Row],[Exit]],"Y"))</f>
        <v>1</v>
      </c>
      <c r="N229">
        <f>FLOOR(Table1[[#This Row],[Age]],10)</f>
        <v>40</v>
      </c>
      <c r="O229" t="str">
        <f>IF(Table1[[#This Row],[Age]]&lt;30,"20-29",IF(Table1[[#This Row],[Age]]&lt;40,"30-39",IF(Table1[[#This Row],[Age]]&lt;50,"40-49",IF(Table1[[#This Row],[Age]]&lt;60,"50-59","60+"))))</f>
        <v>40-49</v>
      </c>
    </row>
    <row r="230" spans="1:15" x14ac:dyDescent="0.25">
      <c r="A230" t="s">
        <v>486</v>
      </c>
      <c r="B230" t="s">
        <v>487</v>
      </c>
      <c r="C230" t="s">
        <v>14</v>
      </c>
      <c r="D230">
        <v>45</v>
      </c>
      <c r="E230" t="s">
        <v>27</v>
      </c>
      <c r="F230" t="s">
        <v>28</v>
      </c>
      <c r="G230" t="s">
        <v>34</v>
      </c>
      <c r="H230" s="1">
        <v>44183</v>
      </c>
      <c r="J230">
        <v>464000</v>
      </c>
      <c r="K230">
        <v>0</v>
      </c>
      <c r="L230" t="s">
        <v>24</v>
      </c>
      <c r="M230">
        <f ca="1">IF(Table1[[#This Row],[Exit]]="",DATEDIF(Table1[[#This Row],[Hire]],TODAY(),"Y"),DATEDIF(Table1[[#This Row],[Hire]],Table1[[#This Row],[Exit]],"Y"))</f>
        <v>5</v>
      </c>
      <c r="N230">
        <f>FLOOR(Table1[[#This Row],[Age]],10)</f>
        <v>40</v>
      </c>
      <c r="O230" t="str">
        <f>IF(Table1[[#This Row],[Age]]&lt;30,"20-29",IF(Table1[[#This Row],[Age]]&lt;40,"30-39",IF(Table1[[#This Row],[Age]]&lt;50,"40-49",IF(Table1[[#This Row],[Age]]&lt;60,"50-59","60+"))))</f>
        <v>40-49</v>
      </c>
    </row>
    <row r="231" spans="1:15" x14ac:dyDescent="0.25">
      <c r="A231" t="s">
        <v>488</v>
      </c>
      <c r="B231" t="s">
        <v>489</v>
      </c>
      <c r="C231" t="s">
        <v>21</v>
      </c>
      <c r="D231">
        <v>31</v>
      </c>
      <c r="E231" t="s">
        <v>15</v>
      </c>
      <c r="F231" t="s">
        <v>16</v>
      </c>
      <c r="G231" t="s">
        <v>23</v>
      </c>
      <c r="H231" s="1">
        <v>43837</v>
      </c>
      <c r="J231">
        <v>466000</v>
      </c>
      <c r="K231">
        <v>0</v>
      </c>
      <c r="L231" t="s">
        <v>24</v>
      </c>
      <c r="M231">
        <f ca="1">IF(Table1[[#This Row],[Exit]]="",DATEDIF(Table1[[#This Row],[Hire]],TODAY(),"Y"),DATEDIF(Table1[[#This Row],[Hire]],Table1[[#This Row],[Exit]],"Y"))</f>
        <v>6</v>
      </c>
      <c r="N231">
        <f>FLOOR(Table1[[#This Row],[Age]],10)</f>
        <v>30</v>
      </c>
      <c r="O231" t="str">
        <f>IF(Table1[[#This Row],[Age]]&lt;30,"20-29",IF(Table1[[#This Row],[Age]]&lt;40,"30-39",IF(Table1[[#This Row],[Age]]&lt;50,"40-49",IF(Table1[[#This Row],[Age]]&lt;60,"50-59","60+"))))</f>
        <v>30-39</v>
      </c>
    </row>
    <row r="232" spans="1:15" x14ac:dyDescent="0.25">
      <c r="A232" t="s">
        <v>490</v>
      </c>
      <c r="B232" t="s">
        <v>491</v>
      </c>
      <c r="C232" t="s">
        <v>14</v>
      </c>
      <c r="D232">
        <v>35</v>
      </c>
      <c r="E232" t="s">
        <v>15</v>
      </c>
      <c r="F232" t="s">
        <v>16</v>
      </c>
      <c r="G232" t="s">
        <v>34</v>
      </c>
      <c r="H232" s="1">
        <v>45206</v>
      </c>
      <c r="J232">
        <v>468000</v>
      </c>
      <c r="K232">
        <v>0.2</v>
      </c>
      <c r="L232" t="s">
        <v>24</v>
      </c>
      <c r="M232">
        <f ca="1">IF(Table1[[#This Row],[Exit]]="",DATEDIF(Table1[[#This Row],[Hire]],TODAY(),"Y"),DATEDIF(Table1[[#This Row],[Hire]],Table1[[#This Row],[Exit]],"Y"))</f>
        <v>2</v>
      </c>
      <c r="N232">
        <f>FLOOR(Table1[[#This Row],[Age]],10)</f>
        <v>30</v>
      </c>
      <c r="O232" t="str">
        <f>IF(Table1[[#This Row],[Age]]&lt;30,"20-29",IF(Table1[[#This Row],[Age]]&lt;40,"30-39",IF(Table1[[#This Row],[Age]]&lt;50,"40-49",IF(Table1[[#This Row],[Age]]&lt;60,"50-59","60+"))))</f>
        <v>30-39</v>
      </c>
    </row>
    <row r="233" spans="1:15" x14ac:dyDescent="0.25">
      <c r="A233" t="s">
        <v>492</v>
      </c>
      <c r="B233" t="s">
        <v>493</v>
      </c>
      <c r="C233" t="s">
        <v>21</v>
      </c>
      <c r="D233">
        <v>31</v>
      </c>
      <c r="E233" t="s">
        <v>42</v>
      </c>
      <c r="F233" t="s">
        <v>43</v>
      </c>
      <c r="G233" t="s">
        <v>34</v>
      </c>
      <c r="H233" s="1">
        <v>44487</v>
      </c>
      <c r="J233">
        <v>470000</v>
      </c>
      <c r="K233">
        <v>0</v>
      </c>
      <c r="L233" t="s">
        <v>24</v>
      </c>
      <c r="M233">
        <f ca="1">IF(Table1[[#This Row],[Exit]]="",DATEDIF(Table1[[#This Row],[Hire]],TODAY(),"Y"),DATEDIF(Table1[[#This Row],[Hire]],Table1[[#This Row],[Exit]],"Y"))</f>
        <v>4</v>
      </c>
      <c r="N233">
        <f>FLOOR(Table1[[#This Row],[Age]],10)</f>
        <v>30</v>
      </c>
      <c r="O233" t="str">
        <f>IF(Table1[[#This Row],[Age]]&lt;30,"20-29",IF(Table1[[#This Row],[Age]]&lt;40,"30-39",IF(Table1[[#This Row],[Age]]&lt;50,"40-49",IF(Table1[[#This Row],[Age]]&lt;60,"50-59","60+"))))</f>
        <v>30-39</v>
      </c>
    </row>
    <row r="234" spans="1:15" x14ac:dyDescent="0.25">
      <c r="A234" t="s">
        <v>494</v>
      </c>
      <c r="B234" t="s">
        <v>495</v>
      </c>
      <c r="C234" t="s">
        <v>14</v>
      </c>
      <c r="D234">
        <v>35</v>
      </c>
      <c r="E234" t="s">
        <v>42</v>
      </c>
      <c r="F234" t="s">
        <v>46</v>
      </c>
      <c r="G234" t="s">
        <v>23</v>
      </c>
      <c r="H234" s="1">
        <v>44791</v>
      </c>
      <c r="J234">
        <v>472000</v>
      </c>
      <c r="K234">
        <v>0</v>
      </c>
      <c r="L234" t="s">
        <v>24</v>
      </c>
      <c r="M234">
        <f ca="1">IF(Table1[[#This Row],[Exit]]="",DATEDIF(Table1[[#This Row],[Hire]],TODAY(),"Y"),DATEDIF(Table1[[#This Row],[Hire]],Table1[[#This Row],[Exit]],"Y"))</f>
        <v>3</v>
      </c>
      <c r="N234">
        <f>FLOOR(Table1[[#This Row],[Age]],10)</f>
        <v>30</v>
      </c>
      <c r="O234" t="str">
        <f>IF(Table1[[#This Row],[Age]]&lt;30,"20-29",IF(Table1[[#This Row],[Age]]&lt;40,"30-39",IF(Table1[[#This Row],[Age]]&lt;50,"40-49",IF(Table1[[#This Row],[Age]]&lt;60,"50-59","60+"))))</f>
        <v>30-39</v>
      </c>
    </row>
    <row r="235" spans="1:15" x14ac:dyDescent="0.25">
      <c r="A235" t="s">
        <v>496</v>
      </c>
      <c r="B235" t="s">
        <v>497</v>
      </c>
      <c r="C235" t="s">
        <v>21</v>
      </c>
      <c r="D235">
        <v>31</v>
      </c>
      <c r="E235" t="s">
        <v>42</v>
      </c>
      <c r="F235" t="s">
        <v>49</v>
      </c>
      <c r="G235" t="s">
        <v>17</v>
      </c>
      <c r="H235" s="1">
        <v>45440</v>
      </c>
      <c r="J235">
        <v>474000</v>
      </c>
      <c r="K235">
        <v>0.33</v>
      </c>
      <c r="L235" t="s">
        <v>24</v>
      </c>
      <c r="M235">
        <f ca="1">IF(Table1[[#This Row],[Exit]]="",DATEDIF(Table1[[#This Row],[Hire]],TODAY(),"Y"),DATEDIF(Table1[[#This Row],[Hire]],Table1[[#This Row],[Exit]],"Y"))</f>
        <v>1</v>
      </c>
      <c r="N235">
        <f>FLOOR(Table1[[#This Row],[Age]],10)</f>
        <v>30</v>
      </c>
      <c r="O235" t="str">
        <f>IF(Table1[[#This Row],[Age]]&lt;30,"20-29",IF(Table1[[#This Row],[Age]]&lt;40,"30-39",IF(Table1[[#This Row],[Age]]&lt;50,"40-49",IF(Table1[[#This Row],[Age]]&lt;60,"50-59","60+"))))</f>
        <v>30-39</v>
      </c>
    </row>
    <row r="236" spans="1:15" x14ac:dyDescent="0.25">
      <c r="A236" t="s">
        <v>498</v>
      </c>
      <c r="B236" t="s">
        <v>499</v>
      </c>
      <c r="C236" t="s">
        <v>21</v>
      </c>
      <c r="D236">
        <v>31</v>
      </c>
      <c r="E236" t="s">
        <v>52</v>
      </c>
      <c r="F236" t="s">
        <v>16</v>
      </c>
      <c r="G236" t="s">
        <v>53</v>
      </c>
      <c r="H236" s="1">
        <v>44811</v>
      </c>
      <c r="J236">
        <v>476000</v>
      </c>
      <c r="K236">
        <v>0.14000000000000001</v>
      </c>
      <c r="L236" t="s">
        <v>24</v>
      </c>
      <c r="M236">
        <f ca="1">IF(Table1[[#This Row],[Exit]]="",DATEDIF(Table1[[#This Row],[Hire]],TODAY(),"Y"),DATEDIF(Table1[[#This Row],[Hire]],Table1[[#This Row],[Exit]],"Y"))</f>
        <v>3</v>
      </c>
      <c r="N236">
        <f>FLOOR(Table1[[#This Row],[Age]],10)</f>
        <v>30</v>
      </c>
      <c r="O236" t="str">
        <f>IF(Table1[[#This Row],[Age]]&lt;30,"20-29",IF(Table1[[#This Row],[Age]]&lt;40,"30-39",IF(Table1[[#This Row],[Age]]&lt;50,"40-49",IF(Table1[[#This Row],[Age]]&lt;60,"50-59","60+"))))</f>
        <v>30-39</v>
      </c>
    </row>
    <row r="237" spans="1:15" x14ac:dyDescent="0.25">
      <c r="A237" t="s">
        <v>500</v>
      </c>
      <c r="B237" t="s">
        <v>501</v>
      </c>
      <c r="C237" t="s">
        <v>41</v>
      </c>
      <c r="D237">
        <v>27</v>
      </c>
      <c r="E237" t="s">
        <v>42</v>
      </c>
      <c r="F237" t="s">
        <v>46</v>
      </c>
      <c r="G237" t="s">
        <v>53</v>
      </c>
      <c r="H237" s="1">
        <v>44564</v>
      </c>
      <c r="I237" s="1">
        <v>45094</v>
      </c>
      <c r="J237">
        <v>478000</v>
      </c>
      <c r="K237">
        <v>0</v>
      </c>
      <c r="L237" t="s">
        <v>18</v>
      </c>
      <c r="M237">
        <f ca="1">IF(Table1[[#This Row],[Exit]]="",DATEDIF(Table1[[#This Row],[Hire]],TODAY(),"Y"),DATEDIF(Table1[[#This Row],[Hire]],Table1[[#This Row],[Exit]],"Y"))</f>
        <v>1</v>
      </c>
      <c r="N237">
        <f>FLOOR(Table1[[#This Row],[Age]],10)</f>
        <v>20</v>
      </c>
      <c r="O237" t="str">
        <f>IF(Table1[[#This Row],[Age]]&lt;30,"20-29",IF(Table1[[#This Row],[Age]]&lt;40,"30-39",IF(Table1[[#This Row],[Age]]&lt;50,"40-49",IF(Table1[[#This Row],[Age]]&lt;60,"50-59","60+"))))</f>
        <v>20-29</v>
      </c>
    </row>
    <row r="238" spans="1:15" x14ac:dyDescent="0.25">
      <c r="A238" t="s">
        <v>502</v>
      </c>
      <c r="B238" t="s">
        <v>503</v>
      </c>
      <c r="C238" t="s">
        <v>14</v>
      </c>
      <c r="D238">
        <v>30</v>
      </c>
      <c r="E238" t="s">
        <v>58</v>
      </c>
      <c r="F238" t="s">
        <v>59</v>
      </c>
      <c r="G238" t="s">
        <v>34</v>
      </c>
      <c r="H238" s="1">
        <v>45074</v>
      </c>
      <c r="J238">
        <v>480000</v>
      </c>
      <c r="K238">
        <v>0.38</v>
      </c>
      <c r="L238" t="s">
        <v>24</v>
      </c>
      <c r="M238">
        <f ca="1">IF(Table1[[#This Row],[Exit]]="",DATEDIF(Table1[[#This Row],[Hire]],TODAY(),"Y"),DATEDIF(Table1[[#This Row],[Hire]],Table1[[#This Row],[Exit]],"Y"))</f>
        <v>2</v>
      </c>
      <c r="N238">
        <f>FLOOR(Table1[[#This Row],[Age]],10)</f>
        <v>30</v>
      </c>
      <c r="O238" t="str">
        <f>IF(Table1[[#This Row],[Age]]&lt;30,"20-29",IF(Table1[[#This Row],[Age]]&lt;40,"30-39",IF(Table1[[#This Row],[Age]]&lt;50,"40-49",IF(Table1[[#This Row],[Age]]&lt;60,"50-59","60+"))))</f>
        <v>30-39</v>
      </c>
    </row>
    <row r="239" spans="1:15" x14ac:dyDescent="0.25">
      <c r="A239" t="s">
        <v>504</v>
      </c>
      <c r="B239" t="s">
        <v>505</v>
      </c>
      <c r="C239" t="s">
        <v>41</v>
      </c>
      <c r="D239">
        <v>36</v>
      </c>
      <c r="E239" t="s">
        <v>52</v>
      </c>
      <c r="F239" t="s">
        <v>16</v>
      </c>
      <c r="G239" t="s">
        <v>23</v>
      </c>
      <c r="H239" s="1">
        <v>45245</v>
      </c>
      <c r="J239">
        <v>482000</v>
      </c>
      <c r="K239">
        <v>0.3</v>
      </c>
      <c r="L239" t="s">
        <v>24</v>
      </c>
      <c r="M239">
        <f ca="1">IF(Table1[[#This Row],[Exit]]="",DATEDIF(Table1[[#This Row],[Hire]],TODAY(),"Y"),DATEDIF(Table1[[#This Row],[Hire]],Table1[[#This Row],[Exit]],"Y"))</f>
        <v>2</v>
      </c>
      <c r="N239">
        <f>FLOOR(Table1[[#This Row],[Age]],10)</f>
        <v>30</v>
      </c>
      <c r="O239" t="str">
        <f>IF(Table1[[#This Row],[Age]]&lt;30,"20-29",IF(Table1[[#This Row],[Age]]&lt;40,"30-39",IF(Table1[[#This Row],[Age]]&lt;50,"40-49",IF(Table1[[#This Row],[Age]]&lt;60,"50-59","60+"))))</f>
        <v>30-39</v>
      </c>
    </row>
    <row r="240" spans="1:15" x14ac:dyDescent="0.25">
      <c r="A240" t="s">
        <v>506</v>
      </c>
      <c r="B240" t="s">
        <v>507</v>
      </c>
      <c r="C240" t="s">
        <v>14</v>
      </c>
      <c r="D240">
        <v>45</v>
      </c>
      <c r="E240" t="s">
        <v>52</v>
      </c>
      <c r="F240" t="s">
        <v>16</v>
      </c>
      <c r="G240" t="s">
        <v>34</v>
      </c>
      <c r="H240" s="1">
        <v>43851</v>
      </c>
      <c r="J240">
        <v>484000</v>
      </c>
      <c r="K240">
        <v>0.31</v>
      </c>
      <c r="L240" t="s">
        <v>24</v>
      </c>
      <c r="M240">
        <f ca="1">IF(Table1[[#This Row],[Exit]]="",DATEDIF(Table1[[#This Row],[Hire]],TODAY(),"Y"),DATEDIF(Table1[[#This Row],[Hire]],Table1[[#This Row],[Exit]],"Y"))</f>
        <v>6</v>
      </c>
      <c r="N240">
        <f>FLOOR(Table1[[#This Row],[Age]],10)</f>
        <v>40</v>
      </c>
      <c r="O240" t="str">
        <f>IF(Table1[[#This Row],[Age]]&lt;30,"20-29",IF(Table1[[#This Row],[Age]]&lt;40,"30-39",IF(Table1[[#This Row],[Age]]&lt;50,"40-49",IF(Table1[[#This Row],[Age]]&lt;60,"50-59","60+"))))</f>
        <v>40-49</v>
      </c>
    </row>
    <row r="241" spans="1:15" x14ac:dyDescent="0.25">
      <c r="A241" t="s">
        <v>508</v>
      </c>
      <c r="B241" t="s">
        <v>509</v>
      </c>
      <c r="C241" t="s">
        <v>21</v>
      </c>
      <c r="D241">
        <v>37</v>
      </c>
      <c r="E241" t="s">
        <v>66</v>
      </c>
      <c r="F241" t="s">
        <v>16</v>
      </c>
      <c r="G241" t="s">
        <v>17</v>
      </c>
      <c r="H241" s="1">
        <v>45206</v>
      </c>
      <c r="J241">
        <v>486000</v>
      </c>
      <c r="K241">
        <v>0.14000000000000001</v>
      </c>
      <c r="L241" t="s">
        <v>24</v>
      </c>
      <c r="M241">
        <f ca="1">IF(Table1[[#This Row],[Exit]]="",DATEDIF(Table1[[#This Row],[Hire]],TODAY(),"Y"),DATEDIF(Table1[[#This Row],[Hire]],Table1[[#This Row],[Exit]],"Y"))</f>
        <v>2</v>
      </c>
      <c r="N241">
        <f>FLOOR(Table1[[#This Row],[Age]],10)</f>
        <v>30</v>
      </c>
      <c r="O241" t="str">
        <f>IF(Table1[[#This Row],[Age]]&lt;30,"20-29",IF(Table1[[#This Row],[Age]]&lt;40,"30-39",IF(Table1[[#This Row],[Age]]&lt;50,"40-49",IF(Table1[[#This Row],[Age]]&lt;60,"50-59","60+"))))</f>
        <v>30-39</v>
      </c>
    </row>
    <row r="242" spans="1:15" x14ac:dyDescent="0.25">
      <c r="A242" t="s">
        <v>510</v>
      </c>
      <c r="B242" t="s">
        <v>511</v>
      </c>
      <c r="C242" t="s">
        <v>21</v>
      </c>
      <c r="D242">
        <v>38</v>
      </c>
      <c r="E242" t="s">
        <v>58</v>
      </c>
      <c r="F242" t="s">
        <v>59</v>
      </c>
      <c r="G242" t="s">
        <v>23</v>
      </c>
      <c r="H242" s="1">
        <v>45401</v>
      </c>
      <c r="J242">
        <v>488000</v>
      </c>
      <c r="K242">
        <v>0</v>
      </c>
      <c r="L242" t="s">
        <v>24</v>
      </c>
      <c r="M242">
        <f ca="1">IF(Table1[[#This Row],[Exit]]="",DATEDIF(Table1[[#This Row],[Hire]],TODAY(),"Y"),DATEDIF(Table1[[#This Row],[Hire]],Table1[[#This Row],[Exit]],"Y"))</f>
        <v>1</v>
      </c>
      <c r="N242">
        <f>FLOOR(Table1[[#This Row],[Age]],10)</f>
        <v>30</v>
      </c>
      <c r="O242" t="str">
        <f>IF(Table1[[#This Row],[Age]]&lt;30,"20-29",IF(Table1[[#This Row],[Age]]&lt;40,"30-39",IF(Table1[[#This Row],[Age]]&lt;50,"40-49",IF(Table1[[#This Row],[Age]]&lt;60,"50-59","60+"))))</f>
        <v>30-39</v>
      </c>
    </row>
    <row r="243" spans="1:15" x14ac:dyDescent="0.25">
      <c r="A243" t="s">
        <v>512</v>
      </c>
      <c r="B243" t="s">
        <v>513</v>
      </c>
      <c r="C243" t="s">
        <v>14</v>
      </c>
      <c r="D243">
        <v>45</v>
      </c>
      <c r="E243" t="s">
        <v>66</v>
      </c>
      <c r="F243" t="s">
        <v>16</v>
      </c>
      <c r="G243" t="s">
        <v>34</v>
      </c>
      <c r="H243" s="1">
        <v>44083</v>
      </c>
      <c r="J243">
        <v>490000</v>
      </c>
      <c r="K243">
        <v>0</v>
      </c>
      <c r="L243" t="s">
        <v>24</v>
      </c>
      <c r="M243">
        <f ca="1">IF(Table1[[#This Row],[Exit]]="",DATEDIF(Table1[[#This Row],[Hire]],TODAY(),"Y"),DATEDIF(Table1[[#This Row],[Hire]],Table1[[#This Row],[Exit]],"Y"))</f>
        <v>5</v>
      </c>
      <c r="N243">
        <f>FLOOR(Table1[[#This Row],[Age]],10)</f>
        <v>40</v>
      </c>
      <c r="O243" t="str">
        <f>IF(Table1[[#This Row],[Age]]&lt;30,"20-29",IF(Table1[[#This Row],[Age]]&lt;40,"30-39",IF(Table1[[#This Row],[Age]]&lt;50,"40-49",IF(Table1[[#This Row],[Age]]&lt;60,"50-59","60+"))))</f>
        <v>40-49</v>
      </c>
    </row>
    <row r="244" spans="1:15" x14ac:dyDescent="0.25">
      <c r="A244" t="s">
        <v>145</v>
      </c>
      <c r="B244" t="s">
        <v>514</v>
      </c>
      <c r="C244" t="s">
        <v>14</v>
      </c>
      <c r="D244">
        <v>51</v>
      </c>
      <c r="E244" t="s">
        <v>66</v>
      </c>
      <c r="F244" t="s">
        <v>16</v>
      </c>
      <c r="G244" t="s">
        <v>53</v>
      </c>
      <c r="H244" s="1">
        <v>45233</v>
      </c>
      <c r="J244">
        <v>492000</v>
      </c>
      <c r="K244">
        <v>0.09</v>
      </c>
      <c r="L244" t="s">
        <v>24</v>
      </c>
      <c r="M244">
        <f ca="1">IF(Table1[[#This Row],[Exit]]="",DATEDIF(Table1[[#This Row],[Hire]],TODAY(),"Y"),DATEDIF(Table1[[#This Row],[Hire]],Table1[[#This Row],[Exit]],"Y"))</f>
        <v>2</v>
      </c>
      <c r="N244">
        <f>FLOOR(Table1[[#This Row],[Age]],10)</f>
        <v>50</v>
      </c>
      <c r="O244" t="str">
        <f>IF(Table1[[#This Row],[Age]]&lt;30,"20-29",IF(Table1[[#This Row],[Age]]&lt;40,"30-39",IF(Table1[[#This Row],[Age]]&lt;50,"40-49",IF(Table1[[#This Row],[Age]]&lt;60,"50-59","60+"))))</f>
        <v>50-59</v>
      </c>
    </row>
    <row r="245" spans="1:15" x14ac:dyDescent="0.25">
      <c r="A245" t="s">
        <v>515</v>
      </c>
      <c r="B245" t="s">
        <v>516</v>
      </c>
      <c r="C245" t="s">
        <v>14</v>
      </c>
      <c r="D245">
        <v>56</v>
      </c>
      <c r="E245" t="s">
        <v>58</v>
      </c>
      <c r="F245" t="s">
        <v>59</v>
      </c>
      <c r="G245" t="s">
        <v>53</v>
      </c>
      <c r="H245" s="1">
        <v>45412</v>
      </c>
      <c r="J245">
        <v>494000</v>
      </c>
      <c r="K245">
        <v>0.28999999999999998</v>
      </c>
      <c r="L245" t="s">
        <v>24</v>
      </c>
      <c r="M245">
        <f ca="1">IF(Table1[[#This Row],[Exit]]="",DATEDIF(Table1[[#This Row],[Hire]],TODAY(),"Y"),DATEDIF(Table1[[#This Row],[Hire]],Table1[[#This Row],[Exit]],"Y"))</f>
        <v>1</v>
      </c>
      <c r="N245">
        <f>FLOOR(Table1[[#This Row],[Age]],10)</f>
        <v>50</v>
      </c>
      <c r="O245" t="str">
        <f>IF(Table1[[#This Row],[Age]]&lt;30,"20-29",IF(Table1[[#This Row],[Age]]&lt;40,"30-39",IF(Table1[[#This Row],[Age]]&lt;50,"40-49",IF(Table1[[#This Row],[Age]]&lt;60,"50-59","60+"))))</f>
        <v>50-59</v>
      </c>
    </row>
    <row r="246" spans="1:15" x14ac:dyDescent="0.25">
      <c r="A246" t="s">
        <v>517</v>
      </c>
      <c r="B246" t="s">
        <v>518</v>
      </c>
      <c r="C246" t="s">
        <v>14</v>
      </c>
      <c r="D246">
        <v>53</v>
      </c>
      <c r="E246" t="s">
        <v>15</v>
      </c>
      <c r="F246" t="s">
        <v>16</v>
      </c>
      <c r="G246" t="s">
        <v>53</v>
      </c>
      <c r="H246" s="1">
        <v>43887</v>
      </c>
      <c r="J246">
        <v>496000</v>
      </c>
      <c r="K246">
        <v>0</v>
      </c>
      <c r="L246" t="s">
        <v>24</v>
      </c>
      <c r="M246">
        <f ca="1">IF(Table1[[#This Row],[Exit]]="",DATEDIF(Table1[[#This Row],[Hire]],TODAY(),"Y"),DATEDIF(Table1[[#This Row],[Hire]],Table1[[#This Row],[Exit]],"Y"))</f>
        <v>5</v>
      </c>
      <c r="N246">
        <f>FLOOR(Table1[[#This Row],[Age]],10)</f>
        <v>50</v>
      </c>
      <c r="O246" t="str">
        <f>IF(Table1[[#This Row],[Age]]&lt;30,"20-29",IF(Table1[[#This Row],[Age]]&lt;40,"30-39",IF(Table1[[#This Row],[Age]]&lt;50,"40-49",IF(Table1[[#This Row],[Age]]&lt;60,"50-59","60+"))))</f>
        <v>50-59</v>
      </c>
    </row>
    <row r="247" spans="1:15" x14ac:dyDescent="0.25">
      <c r="A247" t="s">
        <v>519</v>
      </c>
      <c r="B247" t="s">
        <v>520</v>
      </c>
      <c r="C247" t="s">
        <v>14</v>
      </c>
      <c r="D247">
        <v>47</v>
      </c>
      <c r="E247" t="s">
        <v>22</v>
      </c>
      <c r="F247" t="s">
        <v>16</v>
      </c>
      <c r="G247" t="s">
        <v>53</v>
      </c>
      <c r="H247" s="1">
        <v>44815</v>
      </c>
      <c r="J247">
        <v>498000</v>
      </c>
      <c r="K247">
        <v>0.3</v>
      </c>
      <c r="L247" t="s">
        <v>24</v>
      </c>
      <c r="M247">
        <f ca="1">IF(Table1[[#This Row],[Exit]]="",DATEDIF(Table1[[#This Row],[Hire]],TODAY(),"Y"),DATEDIF(Table1[[#This Row],[Hire]],Table1[[#This Row],[Exit]],"Y"))</f>
        <v>3</v>
      </c>
      <c r="N247">
        <f>FLOOR(Table1[[#This Row],[Age]],10)</f>
        <v>40</v>
      </c>
      <c r="O247" t="str">
        <f>IF(Table1[[#This Row],[Age]]&lt;30,"20-29",IF(Table1[[#This Row],[Age]]&lt;40,"30-39",IF(Table1[[#This Row],[Age]]&lt;50,"40-49",IF(Table1[[#This Row],[Age]]&lt;60,"50-59","60+"))))</f>
        <v>40-49</v>
      </c>
    </row>
    <row r="248" spans="1:15" x14ac:dyDescent="0.25">
      <c r="A248" t="s">
        <v>521</v>
      </c>
      <c r="B248" t="s">
        <v>522</v>
      </c>
      <c r="C248" t="s">
        <v>41</v>
      </c>
      <c r="D248">
        <v>36</v>
      </c>
      <c r="E248" t="s">
        <v>81</v>
      </c>
      <c r="F248" t="s">
        <v>43</v>
      </c>
      <c r="G248" t="s">
        <v>53</v>
      </c>
      <c r="H248" s="1">
        <v>45430</v>
      </c>
      <c r="J248">
        <v>500000</v>
      </c>
      <c r="K248">
        <v>0</v>
      </c>
      <c r="L248" t="s">
        <v>24</v>
      </c>
      <c r="M248">
        <f ca="1">IF(Table1[[#This Row],[Exit]]="",DATEDIF(Table1[[#This Row],[Hire]],TODAY(),"Y"),DATEDIF(Table1[[#This Row],[Hire]],Table1[[#This Row],[Exit]],"Y"))</f>
        <v>1</v>
      </c>
      <c r="N248">
        <f>FLOOR(Table1[[#This Row],[Age]],10)</f>
        <v>30</v>
      </c>
      <c r="O248" t="str">
        <f>IF(Table1[[#This Row],[Age]]&lt;30,"20-29",IF(Table1[[#This Row],[Age]]&lt;40,"30-39",IF(Table1[[#This Row],[Age]]&lt;50,"40-49",IF(Table1[[#This Row],[Age]]&lt;60,"50-59","60+"))))</f>
        <v>30-39</v>
      </c>
    </row>
    <row r="249" spans="1:15" x14ac:dyDescent="0.25">
      <c r="A249" t="s">
        <v>523</v>
      </c>
      <c r="B249" t="s">
        <v>524</v>
      </c>
      <c r="C249" t="s">
        <v>14</v>
      </c>
      <c r="D249">
        <v>41</v>
      </c>
      <c r="E249" t="s">
        <v>52</v>
      </c>
      <c r="F249" t="s">
        <v>16</v>
      </c>
      <c r="G249" t="s">
        <v>17</v>
      </c>
      <c r="H249" s="1">
        <v>44509</v>
      </c>
      <c r="J249">
        <v>502000</v>
      </c>
      <c r="K249">
        <v>0</v>
      </c>
      <c r="L249" t="s">
        <v>24</v>
      </c>
      <c r="M249">
        <f ca="1">IF(Table1[[#This Row],[Exit]]="",DATEDIF(Table1[[#This Row],[Hire]],TODAY(),"Y"),DATEDIF(Table1[[#This Row],[Hire]],Table1[[#This Row],[Exit]],"Y"))</f>
        <v>4</v>
      </c>
      <c r="N249">
        <f>FLOOR(Table1[[#This Row],[Age]],10)</f>
        <v>40</v>
      </c>
      <c r="O249" t="str">
        <f>IF(Table1[[#This Row],[Age]]&lt;30,"20-29",IF(Table1[[#This Row],[Age]]&lt;40,"30-39",IF(Table1[[#This Row],[Age]]&lt;50,"40-49",IF(Table1[[#This Row],[Age]]&lt;60,"50-59","60+"))))</f>
        <v>40-49</v>
      </c>
    </row>
    <row r="250" spans="1:15" x14ac:dyDescent="0.25">
      <c r="A250" t="s">
        <v>525</v>
      </c>
      <c r="B250" t="s">
        <v>526</v>
      </c>
      <c r="C250" t="s">
        <v>21</v>
      </c>
      <c r="D250">
        <v>31</v>
      </c>
      <c r="E250" t="s">
        <v>66</v>
      </c>
      <c r="F250" t="s">
        <v>16</v>
      </c>
      <c r="G250" t="s">
        <v>23</v>
      </c>
      <c r="H250" s="1">
        <v>43963</v>
      </c>
      <c r="J250">
        <v>504000</v>
      </c>
      <c r="K250">
        <v>0.23</v>
      </c>
      <c r="L250" t="s">
        <v>24</v>
      </c>
      <c r="M250">
        <f ca="1">IF(Table1[[#This Row],[Exit]]="",DATEDIF(Table1[[#This Row],[Hire]],TODAY(),"Y"),DATEDIF(Table1[[#This Row],[Hire]],Table1[[#This Row],[Exit]],"Y"))</f>
        <v>5</v>
      </c>
      <c r="N250">
        <f>FLOOR(Table1[[#This Row],[Age]],10)</f>
        <v>30</v>
      </c>
      <c r="O250" t="str">
        <f>IF(Table1[[#This Row],[Age]]&lt;30,"20-29",IF(Table1[[#This Row],[Age]]&lt;40,"30-39",IF(Table1[[#This Row],[Age]]&lt;50,"40-49",IF(Table1[[#This Row],[Age]]&lt;60,"50-59","60+"))))</f>
        <v>30-39</v>
      </c>
    </row>
    <row r="251" spans="1:15" x14ac:dyDescent="0.25">
      <c r="A251" t="s">
        <v>35</v>
      </c>
      <c r="B251" t="s">
        <v>527</v>
      </c>
      <c r="C251" t="s">
        <v>41</v>
      </c>
      <c r="D251">
        <v>31</v>
      </c>
      <c r="E251" t="s">
        <v>31</v>
      </c>
      <c r="F251" t="s">
        <v>16</v>
      </c>
      <c r="G251" t="s">
        <v>53</v>
      </c>
      <c r="H251" s="1">
        <v>44815</v>
      </c>
      <c r="J251">
        <v>506000</v>
      </c>
      <c r="K251">
        <v>0</v>
      </c>
      <c r="L251" t="s">
        <v>24</v>
      </c>
      <c r="M251">
        <f ca="1">IF(Table1[[#This Row],[Exit]]="",DATEDIF(Table1[[#This Row],[Hire]],TODAY(),"Y"),DATEDIF(Table1[[#This Row],[Hire]],Table1[[#This Row],[Exit]],"Y"))</f>
        <v>3</v>
      </c>
      <c r="N251">
        <f>FLOOR(Table1[[#This Row],[Age]],10)</f>
        <v>30</v>
      </c>
      <c r="O251" t="str">
        <f>IF(Table1[[#This Row],[Age]]&lt;30,"20-29",IF(Table1[[#This Row],[Age]]&lt;40,"30-39",IF(Table1[[#This Row],[Age]]&lt;50,"40-49",IF(Table1[[#This Row],[Age]]&lt;60,"50-59","60+"))))</f>
        <v>30-39</v>
      </c>
    </row>
    <row r="252" spans="1:15" x14ac:dyDescent="0.25">
      <c r="A252" t="s">
        <v>528</v>
      </c>
      <c r="B252" t="s">
        <v>529</v>
      </c>
      <c r="C252" t="s">
        <v>14</v>
      </c>
      <c r="D252">
        <v>38</v>
      </c>
      <c r="E252" t="s">
        <v>81</v>
      </c>
      <c r="F252" t="s">
        <v>49</v>
      </c>
      <c r="G252" t="s">
        <v>34</v>
      </c>
      <c r="H252" s="1">
        <v>44857</v>
      </c>
      <c r="J252">
        <v>508000</v>
      </c>
      <c r="K252">
        <v>0</v>
      </c>
      <c r="L252" t="s">
        <v>24</v>
      </c>
      <c r="M252">
        <f ca="1">IF(Table1[[#This Row],[Exit]]="",DATEDIF(Table1[[#This Row],[Hire]],TODAY(),"Y"),DATEDIF(Table1[[#This Row],[Hire]],Table1[[#This Row],[Exit]],"Y"))</f>
        <v>3</v>
      </c>
      <c r="N252">
        <f>FLOOR(Table1[[#This Row],[Age]],10)</f>
        <v>30</v>
      </c>
      <c r="O252" t="str">
        <f>IF(Table1[[#This Row],[Age]]&lt;30,"20-29",IF(Table1[[#This Row],[Age]]&lt;40,"30-39",IF(Table1[[#This Row],[Age]]&lt;50,"40-49",IF(Table1[[#This Row],[Age]]&lt;60,"50-59","60+"))))</f>
        <v>30-39</v>
      </c>
    </row>
    <row r="253" spans="1:15" x14ac:dyDescent="0.25">
      <c r="A253" t="s">
        <v>530</v>
      </c>
      <c r="B253" t="s">
        <v>531</v>
      </c>
      <c r="C253" t="s">
        <v>21</v>
      </c>
      <c r="D253">
        <v>31</v>
      </c>
      <c r="E253" t="s">
        <v>92</v>
      </c>
      <c r="F253" t="s">
        <v>59</v>
      </c>
      <c r="G253" t="s">
        <v>53</v>
      </c>
      <c r="H253" s="1">
        <v>45527</v>
      </c>
      <c r="J253">
        <v>510000</v>
      </c>
      <c r="K253">
        <v>0.15</v>
      </c>
      <c r="L253" t="s">
        <v>24</v>
      </c>
      <c r="M253">
        <f ca="1">IF(Table1[[#This Row],[Exit]]="",DATEDIF(Table1[[#This Row],[Hire]],TODAY(),"Y"),DATEDIF(Table1[[#This Row],[Hire]],Table1[[#This Row],[Exit]],"Y"))</f>
        <v>1</v>
      </c>
      <c r="N253">
        <f>FLOOR(Table1[[#This Row],[Age]],10)</f>
        <v>30</v>
      </c>
      <c r="O253" t="str">
        <f>IF(Table1[[#This Row],[Age]]&lt;30,"20-29",IF(Table1[[#This Row],[Age]]&lt;40,"30-39",IF(Table1[[#This Row],[Age]]&lt;50,"40-49",IF(Table1[[#This Row],[Age]]&lt;60,"50-59","60+"))))</f>
        <v>30-39</v>
      </c>
    </row>
    <row r="254" spans="1:15" x14ac:dyDescent="0.25">
      <c r="A254" t="s">
        <v>532</v>
      </c>
      <c r="B254" t="s">
        <v>533</v>
      </c>
      <c r="C254" t="s">
        <v>21</v>
      </c>
      <c r="D254">
        <v>39</v>
      </c>
      <c r="E254" t="s">
        <v>81</v>
      </c>
      <c r="F254" t="s">
        <v>46</v>
      </c>
      <c r="G254" t="s">
        <v>23</v>
      </c>
      <c r="H254" s="1">
        <v>45237</v>
      </c>
      <c r="J254">
        <v>512000</v>
      </c>
      <c r="K254">
        <v>0</v>
      </c>
      <c r="L254" t="s">
        <v>24</v>
      </c>
      <c r="M254">
        <f ca="1">IF(Table1[[#This Row],[Exit]]="",DATEDIF(Table1[[#This Row],[Hire]],TODAY(),"Y"),DATEDIF(Table1[[#This Row],[Hire]],Table1[[#This Row],[Exit]],"Y"))</f>
        <v>2</v>
      </c>
      <c r="N254">
        <f>FLOOR(Table1[[#This Row],[Age]],10)</f>
        <v>30</v>
      </c>
      <c r="O254" t="str">
        <f>IF(Table1[[#This Row],[Age]]&lt;30,"20-29",IF(Table1[[#This Row],[Age]]&lt;40,"30-39",IF(Table1[[#This Row],[Age]]&lt;50,"40-49",IF(Table1[[#This Row],[Age]]&lt;60,"50-59","60+"))))</f>
        <v>30-39</v>
      </c>
    </row>
    <row r="255" spans="1:15" x14ac:dyDescent="0.25">
      <c r="A255" t="s">
        <v>200</v>
      </c>
      <c r="B255" t="s">
        <v>534</v>
      </c>
      <c r="C255" t="s">
        <v>21</v>
      </c>
      <c r="D255">
        <v>31</v>
      </c>
      <c r="E255" t="s">
        <v>22</v>
      </c>
      <c r="F255" t="s">
        <v>16</v>
      </c>
      <c r="G255" t="s">
        <v>34</v>
      </c>
      <c r="H255" s="1">
        <v>45206</v>
      </c>
      <c r="J255">
        <v>514000</v>
      </c>
      <c r="K255">
        <v>0</v>
      </c>
      <c r="L255" t="s">
        <v>24</v>
      </c>
      <c r="M255">
        <f ca="1">IF(Table1[[#This Row],[Exit]]="",DATEDIF(Table1[[#This Row],[Hire]],TODAY(),"Y"),DATEDIF(Table1[[#This Row],[Hire]],Table1[[#This Row],[Exit]],"Y"))</f>
        <v>2</v>
      </c>
      <c r="N255">
        <f>FLOOR(Table1[[#This Row],[Age]],10)</f>
        <v>30</v>
      </c>
      <c r="O255" t="str">
        <f>IF(Table1[[#This Row],[Age]]&lt;30,"20-29",IF(Table1[[#This Row],[Age]]&lt;40,"30-39",IF(Table1[[#This Row],[Age]]&lt;50,"40-49",IF(Table1[[#This Row],[Age]]&lt;60,"50-59","60+"))))</f>
        <v>30-39</v>
      </c>
    </row>
    <row r="256" spans="1:15" x14ac:dyDescent="0.25">
      <c r="A256" t="s">
        <v>535</v>
      </c>
      <c r="B256" t="s">
        <v>536</v>
      </c>
      <c r="C256" t="s">
        <v>14</v>
      </c>
      <c r="D256">
        <v>45</v>
      </c>
      <c r="E256" t="s">
        <v>92</v>
      </c>
      <c r="F256" t="s">
        <v>59</v>
      </c>
      <c r="G256" t="s">
        <v>34</v>
      </c>
      <c r="H256" s="1">
        <v>44677</v>
      </c>
      <c r="J256">
        <v>516000</v>
      </c>
      <c r="K256">
        <v>0.31</v>
      </c>
      <c r="L256" t="s">
        <v>24</v>
      </c>
      <c r="M256">
        <f ca="1">IF(Table1[[#This Row],[Exit]]="",DATEDIF(Table1[[#This Row],[Hire]],TODAY(),"Y"),DATEDIF(Table1[[#This Row],[Hire]],Table1[[#This Row],[Exit]],"Y"))</f>
        <v>3</v>
      </c>
      <c r="N256">
        <f>FLOOR(Table1[[#This Row],[Age]],10)</f>
        <v>40</v>
      </c>
      <c r="O256" t="str">
        <f>IF(Table1[[#This Row],[Age]]&lt;30,"20-29",IF(Table1[[#This Row],[Age]]&lt;40,"30-39",IF(Table1[[#This Row],[Age]]&lt;50,"40-49",IF(Table1[[#This Row],[Age]]&lt;60,"50-59","60+"))))</f>
        <v>40-49</v>
      </c>
    </row>
    <row r="257" spans="1:15" x14ac:dyDescent="0.25">
      <c r="A257" t="s">
        <v>37</v>
      </c>
      <c r="B257" t="s">
        <v>537</v>
      </c>
      <c r="C257" t="s">
        <v>14</v>
      </c>
      <c r="D257">
        <v>50</v>
      </c>
      <c r="E257" t="s">
        <v>31</v>
      </c>
      <c r="F257" t="s">
        <v>16</v>
      </c>
      <c r="G257" t="s">
        <v>17</v>
      </c>
      <c r="H257" s="1">
        <v>43889</v>
      </c>
      <c r="J257">
        <v>518000</v>
      </c>
      <c r="K257">
        <v>0</v>
      </c>
      <c r="L257" t="s">
        <v>24</v>
      </c>
      <c r="M257">
        <f ca="1">IF(Table1[[#This Row],[Exit]]="",DATEDIF(Table1[[#This Row],[Hire]],TODAY(),"Y"),DATEDIF(Table1[[#This Row],[Hire]],Table1[[#This Row],[Exit]],"Y"))</f>
        <v>5</v>
      </c>
      <c r="N257">
        <f>FLOOR(Table1[[#This Row],[Age]],10)</f>
        <v>50</v>
      </c>
      <c r="O257" t="str">
        <f>IF(Table1[[#This Row],[Age]]&lt;30,"20-29",IF(Table1[[#This Row],[Age]]&lt;40,"30-39",IF(Table1[[#This Row],[Age]]&lt;50,"40-49",IF(Table1[[#This Row],[Age]]&lt;60,"50-59","60+"))))</f>
        <v>50-59</v>
      </c>
    </row>
    <row r="258" spans="1:15" x14ac:dyDescent="0.25">
      <c r="A258" t="s">
        <v>538</v>
      </c>
      <c r="B258" t="s">
        <v>539</v>
      </c>
      <c r="C258" t="s">
        <v>21</v>
      </c>
      <c r="D258">
        <v>36</v>
      </c>
      <c r="E258" t="s">
        <v>15</v>
      </c>
      <c r="F258" t="s">
        <v>16</v>
      </c>
      <c r="G258" t="s">
        <v>17</v>
      </c>
      <c r="H258" s="1">
        <v>44116</v>
      </c>
      <c r="J258">
        <v>520000</v>
      </c>
      <c r="K258">
        <v>0</v>
      </c>
      <c r="L258" t="s">
        <v>24</v>
      </c>
      <c r="M258">
        <f ca="1">IF(Table1[[#This Row],[Exit]]="",DATEDIF(Table1[[#This Row],[Hire]],TODAY(),"Y"),DATEDIF(Table1[[#This Row],[Hire]],Table1[[#This Row],[Exit]],"Y"))</f>
        <v>5</v>
      </c>
      <c r="N258">
        <f>FLOOR(Table1[[#This Row],[Age]],10)</f>
        <v>30</v>
      </c>
      <c r="O258" t="str">
        <f>IF(Table1[[#This Row],[Age]]&lt;30,"20-29",IF(Table1[[#This Row],[Age]]&lt;40,"30-39",IF(Table1[[#This Row],[Age]]&lt;50,"40-49",IF(Table1[[#This Row],[Age]]&lt;60,"50-59","60+"))))</f>
        <v>30-39</v>
      </c>
    </row>
    <row r="259" spans="1:15" x14ac:dyDescent="0.25">
      <c r="A259" t="s">
        <v>540</v>
      </c>
      <c r="B259" t="s">
        <v>541</v>
      </c>
      <c r="C259" t="s">
        <v>14</v>
      </c>
      <c r="D259">
        <v>45</v>
      </c>
      <c r="E259" t="s">
        <v>22</v>
      </c>
      <c r="F259" t="s">
        <v>16</v>
      </c>
      <c r="G259" t="s">
        <v>23</v>
      </c>
      <c r="H259" s="1">
        <v>44588</v>
      </c>
      <c r="J259">
        <v>522000</v>
      </c>
      <c r="K259">
        <v>0.39</v>
      </c>
      <c r="L259" t="s">
        <v>24</v>
      </c>
      <c r="M259">
        <f ca="1">IF(Table1[[#This Row],[Exit]]="",DATEDIF(Table1[[#This Row],[Hire]],TODAY(),"Y"),DATEDIF(Table1[[#This Row],[Hire]],Table1[[#This Row],[Exit]],"Y"))</f>
        <v>4</v>
      </c>
      <c r="N259">
        <f>FLOOR(Table1[[#This Row],[Age]],10)</f>
        <v>40</v>
      </c>
      <c r="O259" t="str">
        <f>IF(Table1[[#This Row],[Age]]&lt;30,"20-29",IF(Table1[[#This Row],[Age]]&lt;40,"30-39",IF(Table1[[#This Row],[Age]]&lt;50,"40-49",IF(Table1[[#This Row],[Age]]&lt;60,"50-59","60+"))))</f>
        <v>40-49</v>
      </c>
    </row>
    <row r="260" spans="1:15" x14ac:dyDescent="0.25">
      <c r="A260" t="s">
        <v>542</v>
      </c>
      <c r="B260" t="s">
        <v>543</v>
      </c>
      <c r="C260" t="s">
        <v>14</v>
      </c>
      <c r="D260">
        <v>29</v>
      </c>
      <c r="E260" t="s">
        <v>27</v>
      </c>
      <c r="F260" t="s">
        <v>28</v>
      </c>
      <c r="G260" t="s">
        <v>17</v>
      </c>
      <c r="H260" s="1">
        <v>45337</v>
      </c>
      <c r="J260">
        <v>524000</v>
      </c>
      <c r="K260">
        <v>0</v>
      </c>
      <c r="L260" t="s">
        <v>24</v>
      </c>
      <c r="M260">
        <f ca="1">IF(Table1[[#This Row],[Exit]]="",DATEDIF(Table1[[#This Row],[Hire]],TODAY(),"Y"),DATEDIF(Table1[[#This Row],[Hire]],Table1[[#This Row],[Exit]],"Y"))</f>
        <v>1</v>
      </c>
      <c r="N260">
        <f>FLOOR(Table1[[#This Row],[Age]],10)</f>
        <v>20</v>
      </c>
      <c r="O260" t="str">
        <f>IF(Table1[[#This Row],[Age]]&lt;30,"20-29",IF(Table1[[#This Row],[Age]]&lt;40,"30-39",IF(Table1[[#This Row],[Age]]&lt;50,"40-49",IF(Table1[[#This Row],[Age]]&lt;60,"50-59","60+"))))</f>
        <v>20-29</v>
      </c>
    </row>
    <row r="261" spans="1:15" x14ac:dyDescent="0.25">
      <c r="A261" t="s">
        <v>544</v>
      </c>
      <c r="B261" t="s">
        <v>545</v>
      </c>
      <c r="C261" t="s">
        <v>14</v>
      </c>
      <c r="D261">
        <v>41</v>
      </c>
      <c r="E261" t="s">
        <v>31</v>
      </c>
      <c r="F261" t="s">
        <v>16</v>
      </c>
      <c r="G261" t="s">
        <v>23</v>
      </c>
      <c r="H261" s="1">
        <v>45332</v>
      </c>
      <c r="J261">
        <v>526000</v>
      </c>
      <c r="K261">
        <v>0</v>
      </c>
      <c r="L261" t="s">
        <v>24</v>
      </c>
      <c r="M261">
        <f ca="1">IF(Table1[[#This Row],[Exit]]="",DATEDIF(Table1[[#This Row],[Hire]],TODAY(),"Y"),DATEDIF(Table1[[#This Row],[Hire]],Table1[[#This Row],[Exit]],"Y"))</f>
        <v>1</v>
      </c>
      <c r="N261">
        <f>FLOOR(Table1[[#This Row],[Age]],10)</f>
        <v>40</v>
      </c>
      <c r="O261" t="str">
        <f>IF(Table1[[#This Row],[Age]]&lt;30,"20-29",IF(Table1[[#This Row],[Age]]&lt;40,"30-39",IF(Table1[[#This Row],[Age]]&lt;50,"40-49",IF(Table1[[#This Row],[Age]]&lt;60,"50-59","60+"))))</f>
        <v>40-49</v>
      </c>
    </row>
    <row r="262" spans="1:15" x14ac:dyDescent="0.25">
      <c r="A262" t="s">
        <v>546</v>
      </c>
      <c r="B262" t="s">
        <v>547</v>
      </c>
      <c r="C262" t="s">
        <v>14</v>
      </c>
      <c r="D262">
        <v>47</v>
      </c>
      <c r="E262" t="s">
        <v>27</v>
      </c>
      <c r="F262" t="s">
        <v>28</v>
      </c>
      <c r="G262" t="s">
        <v>34</v>
      </c>
      <c r="H262" s="1">
        <v>44183</v>
      </c>
      <c r="J262">
        <v>528000</v>
      </c>
      <c r="K262">
        <v>0</v>
      </c>
      <c r="L262" t="s">
        <v>24</v>
      </c>
      <c r="M262">
        <f ca="1">IF(Table1[[#This Row],[Exit]]="",DATEDIF(Table1[[#This Row],[Hire]],TODAY(),"Y"),DATEDIF(Table1[[#This Row],[Hire]],Table1[[#This Row],[Exit]],"Y"))</f>
        <v>5</v>
      </c>
      <c r="N262">
        <f>FLOOR(Table1[[#This Row],[Age]],10)</f>
        <v>40</v>
      </c>
      <c r="O262" t="str">
        <f>IF(Table1[[#This Row],[Age]]&lt;30,"20-29",IF(Table1[[#This Row],[Age]]&lt;40,"30-39",IF(Table1[[#This Row],[Age]]&lt;50,"40-49",IF(Table1[[#This Row],[Age]]&lt;60,"50-59","60+"))))</f>
        <v>40-49</v>
      </c>
    </row>
    <row r="263" spans="1:15" x14ac:dyDescent="0.25">
      <c r="A263" t="s">
        <v>548</v>
      </c>
      <c r="B263" t="s">
        <v>549</v>
      </c>
      <c r="C263" t="s">
        <v>21</v>
      </c>
      <c r="D263">
        <v>38</v>
      </c>
      <c r="E263" t="s">
        <v>15</v>
      </c>
      <c r="F263" t="s">
        <v>16</v>
      </c>
      <c r="G263" t="s">
        <v>23</v>
      </c>
      <c r="H263" s="1">
        <v>43837</v>
      </c>
      <c r="J263">
        <v>530000</v>
      </c>
      <c r="K263">
        <v>0.15</v>
      </c>
      <c r="L263" t="s">
        <v>24</v>
      </c>
      <c r="M263">
        <f ca="1">IF(Table1[[#This Row],[Exit]]="",DATEDIF(Table1[[#This Row],[Hire]],TODAY(),"Y"),DATEDIF(Table1[[#This Row],[Hire]],Table1[[#This Row],[Exit]],"Y"))</f>
        <v>6</v>
      </c>
      <c r="N263">
        <f>FLOOR(Table1[[#This Row],[Age]],10)</f>
        <v>30</v>
      </c>
      <c r="O263" t="str">
        <f>IF(Table1[[#This Row],[Age]]&lt;30,"20-29",IF(Table1[[#This Row],[Age]]&lt;40,"30-39",IF(Table1[[#This Row],[Age]]&lt;50,"40-49",IF(Table1[[#This Row],[Age]]&lt;60,"50-59","60+"))))</f>
        <v>30-39</v>
      </c>
    </row>
    <row r="264" spans="1:15" x14ac:dyDescent="0.25">
      <c r="A264" t="s">
        <v>550</v>
      </c>
      <c r="B264" t="s">
        <v>551</v>
      </c>
      <c r="C264" t="s">
        <v>14</v>
      </c>
      <c r="D264">
        <v>40</v>
      </c>
      <c r="E264" t="s">
        <v>15</v>
      </c>
      <c r="F264" t="s">
        <v>16</v>
      </c>
      <c r="G264" t="s">
        <v>34</v>
      </c>
      <c r="H264" s="1">
        <v>45206</v>
      </c>
      <c r="J264">
        <v>532000</v>
      </c>
      <c r="K264">
        <v>0</v>
      </c>
      <c r="L264" t="s">
        <v>24</v>
      </c>
      <c r="M264">
        <f ca="1">IF(Table1[[#This Row],[Exit]]="",DATEDIF(Table1[[#This Row],[Hire]],TODAY(),"Y"),DATEDIF(Table1[[#This Row],[Hire]],Table1[[#This Row],[Exit]],"Y"))</f>
        <v>2</v>
      </c>
      <c r="N264">
        <f>FLOOR(Table1[[#This Row],[Age]],10)</f>
        <v>40</v>
      </c>
      <c r="O264" t="str">
        <f>IF(Table1[[#This Row],[Age]]&lt;30,"20-29",IF(Table1[[#This Row],[Age]]&lt;40,"30-39",IF(Table1[[#This Row],[Age]]&lt;50,"40-49",IF(Table1[[#This Row],[Age]]&lt;60,"50-59","60+"))))</f>
        <v>40-49</v>
      </c>
    </row>
    <row r="265" spans="1:15" x14ac:dyDescent="0.25">
      <c r="A265" t="s">
        <v>552</v>
      </c>
      <c r="B265" t="s">
        <v>553</v>
      </c>
      <c r="C265" t="s">
        <v>14</v>
      </c>
      <c r="D265">
        <v>45</v>
      </c>
      <c r="E265" t="s">
        <v>42</v>
      </c>
      <c r="F265" t="s">
        <v>43</v>
      </c>
      <c r="G265" t="s">
        <v>34</v>
      </c>
      <c r="H265" s="1">
        <v>44487</v>
      </c>
      <c r="J265">
        <v>534000</v>
      </c>
      <c r="K265">
        <v>0.15</v>
      </c>
      <c r="L265" t="s">
        <v>24</v>
      </c>
      <c r="M265">
        <f ca="1">IF(Table1[[#This Row],[Exit]]="",DATEDIF(Table1[[#This Row],[Hire]],TODAY(),"Y"),DATEDIF(Table1[[#This Row],[Hire]],Table1[[#This Row],[Exit]],"Y"))</f>
        <v>4</v>
      </c>
      <c r="N265">
        <f>FLOOR(Table1[[#This Row],[Age]],10)</f>
        <v>40</v>
      </c>
      <c r="O265" t="str">
        <f>IF(Table1[[#This Row],[Age]]&lt;30,"20-29",IF(Table1[[#This Row],[Age]]&lt;40,"30-39",IF(Table1[[#This Row],[Age]]&lt;50,"40-49",IF(Table1[[#This Row],[Age]]&lt;60,"50-59","60+"))))</f>
        <v>40-49</v>
      </c>
    </row>
    <row r="266" spans="1:15" x14ac:dyDescent="0.25">
      <c r="A266" t="s">
        <v>554</v>
      </c>
      <c r="B266" t="s">
        <v>555</v>
      </c>
      <c r="C266" t="s">
        <v>14</v>
      </c>
      <c r="D266">
        <v>26</v>
      </c>
      <c r="E266" t="s">
        <v>42</v>
      </c>
      <c r="F266" t="s">
        <v>46</v>
      </c>
      <c r="G266" t="s">
        <v>23</v>
      </c>
      <c r="H266" s="1">
        <v>44791</v>
      </c>
      <c r="I266" s="1">
        <v>45576</v>
      </c>
      <c r="J266">
        <v>536000</v>
      </c>
      <c r="K266">
        <v>0</v>
      </c>
      <c r="L266" t="s">
        <v>18</v>
      </c>
      <c r="M266">
        <f ca="1">IF(Table1[[#This Row],[Exit]]="",DATEDIF(Table1[[#This Row],[Hire]],TODAY(),"Y"),DATEDIF(Table1[[#This Row],[Hire]],Table1[[#This Row],[Exit]],"Y"))</f>
        <v>2</v>
      </c>
      <c r="N266">
        <f>FLOOR(Table1[[#This Row],[Age]],10)</f>
        <v>20</v>
      </c>
      <c r="O266" t="str">
        <f>IF(Table1[[#This Row],[Age]]&lt;30,"20-29",IF(Table1[[#This Row],[Age]]&lt;40,"30-39",IF(Table1[[#This Row],[Age]]&lt;50,"40-49",IF(Table1[[#This Row],[Age]]&lt;60,"50-59","60+"))))</f>
        <v>20-29</v>
      </c>
    </row>
    <row r="267" spans="1:15" x14ac:dyDescent="0.25">
      <c r="A267" t="s">
        <v>556</v>
      </c>
      <c r="B267" t="s">
        <v>557</v>
      </c>
      <c r="C267" t="s">
        <v>21</v>
      </c>
      <c r="D267">
        <v>35</v>
      </c>
      <c r="E267" t="s">
        <v>42</v>
      </c>
      <c r="F267" t="s">
        <v>49</v>
      </c>
      <c r="G267" t="s">
        <v>17</v>
      </c>
      <c r="H267" s="1">
        <v>45440</v>
      </c>
      <c r="J267">
        <v>538000</v>
      </c>
      <c r="K267">
        <v>0.17</v>
      </c>
      <c r="L267" t="s">
        <v>24</v>
      </c>
      <c r="M267">
        <f ca="1">IF(Table1[[#This Row],[Exit]]="",DATEDIF(Table1[[#This Row],[Hire]],TODAY(),"Y"),DATEDIF(Table1[[#This Row],[Hire]],Table1[[#This Row],[Exit]],"Y"))</f>
        <v>1</v>
      </c>
      <c r="N267">
        <f>FLOOR(Table1[[#This Row],[Age]],10)</f>
        <v>30</v>
      </c>
      <c r="O267" t="str">
        <f>IF(Table1[[#This Row],[Age]]&lt;30,"20-29",IF(Table1[[#This Row],[Age]]&lt;40,"30-39",IF(Table1[[#This Row],[Age]]&lt;50,"40-49",IF(Table1[[#This Row],[Age]]&lt;60,"50-59","60+"))))</f>
        <v>30-39</v>
      </c>
    </row>
    <row r="268" spans="1:15" x14ac:dyDescent="0.25">
      <c r="A268" t="s">
        <v>558</v>
      </c>
      <c r="B268" t="s">
        <v>559</v>
      </c>
      <c r="C268" t="s">
        <v>21</v>
      </c>
      <c r="D268">
        <v>31</v>
      </c>
      <c r="E268" t="s">
        <v>52</v>
      </c>
      <c r="F268" t="s">
        <v>16</v>
      </c>
      <c r="G268" t="s">
        <v>53</v>
      </c>
      <c r="H268" s="1">
        <v>44811</v>
      </c>
      <c r="J268">
        <v>540000</v>
      </c>
      <c r="K268">
        <v>0</v>
      </c>
      <c r="L268" t="s">
        <v>24</v>
      </c>
      <c r="M268">
        <f ca="1">IF(Table1[[#This Row],[Exit]]="",DATEDIF(Table1[[#This Row],[Hire]],TODAY(),"Y"),DATEDIF(Table1[[#This Row],[Hire]],Table1[[#This Row],[Exit]],"Y"))</f>
        <v>3</v>
      </c>
      <c r="N268">
        <f>FLOOR(Table1[[#This Row],[Age]],10)</f>
        <v>30</v>
      </c>
      <c r="O268" t="str">
        <f>IF(Table1[[#This Row],[Age]]&lt;30,"20-29",IF(Table1[[#This Row],[Age]]&lt;40,"30-39",IF(Table1[[#This Row],[Age]]&lt;50,"40-49",IF(Table1[[#This Row],[Age]]&lt;60,"50-59","60+"))))</f>
        <v>30-39</v>
      </c>
    </row>
    <row r="269" spans="1:15" x14ac:dyDescent="0.25">
      <c r="A269" t="s">
        <v>560</v>
      </c>
      <c r="B269" t="s">
        <v>561</v>
      </c>
      <c r="C269" t="s">
        <v>41</v>
      </c>
      <c r="D269">
        <v>35</v>
      </c>
      <c r="E269" t="s">
        <v>42</v>
      </c>
      <c r="F269" t="s">
        <v>46</v>
      </c>
      <c r="G269" t="s">
        <v>53</v>
      </c>
      <c r="H269" s="1">
        <v>45294</v>
      </c>
      <c r="J269">
        <v>542000</v>
      </c>
      <c r="K269">
        <v>0.14000000000000001</v>
      </c>
      <c r="L269" t="s">
        <v>24</v>
      </c>
      <c r="M269">
        <f ca="1">IF(Table1[[#This Row],[Exit]]="",DATEDIF(Table1[[#This Row],[Hire]],TODAY(),"Y"),DATEDIF(Table1[[#This Row],[Hire]],Table1[[#This Row],[Exit]],"Y"))</f>
        <v>2</v>
      </c>
      <c r="N269">
        <f>FLOOR(Table1[[#This Row],[Age]],10)</f>
        <v>30</v>
      </c>
      <c r="O269" t="str">
        <f>IF(Table1[[#This Row],[Age]]&lt;30,"20-29",IF(Table1[[#This Row],[Age]]&lt;40,"30-39",IF(Table1[[#This Row],[Age]]&lt;50,"40-49",IF(Table1[[#This Row],[Age]]&lt;60,"50-59","60+"))))</f>
        <v>30-39</v>
      </c>
    </row>
    <row r="270" spans="1:15" x14ac:dyDescent="0.25">
      <c r="A270" t="s">
        <v>562</v>
      </c>
      <c r="B270" t="s">
        <v>563</v>
      </c>
      <c r="C270" t="s">
        <v>14</v>
      </c>
      <c r="D270">
        <v>27</v>
      </c>
      <c r="E270" t="s">
        <v>58</v>
      </c>
      <c r="F270" t="s">
        <v>59</v>
      </c>
      <c r="G270" t="s">
        <v>34</v>
      </c>
      <c r="H270" s="1">
        <v>45074</v>
      </c>
      <c r="J270">
        <v>544000</v>
      </c>
      <c r="K270">
        <v>0.23</v>
      </c>
      <c r="L270" t="s">
        <v>24</v>
      </c>
      <c r="M270">
        <f ca="1">IF(Table1[[#This Row],[Exit]]="",DATEDIF(Table1[[#This Row],[Hire]],TODAY(),"Y"),DATEDIF(Table1[[#This Row],[Hire]],Table1[[#This Row],[Exit]],"Y"))</f>
        <v>2</v>
      </c>
      <c r="N270">
        <f>FLOOR(Table1[[#This Row],[Age]],10)</f>
        <v>20</v>
      </c>
      <c r="O270" t="str">
        <f>IF(Table1[[#This Row],[Age]]&lt;30,"20-29",IF(Table1[[#This Row],[Age]]&lt;40,"30-39",IF(Table1[[#This Row],[Age]]&lt;50,"40-49",IF(Table1[[#This Row],[Age]]&lt;60,"50-59","60+"))))</f>
        <v>20-29</v>
      </c>
    </row>
    <row r="271" spans="1:15" x14ac:dyDescent="0.25">
      <c r="A271" t="s">
        <v>564</v>
      </c>
      <c r="B271" t="s">
        <v>565</v>
      </c>
      <c r="C271" t="s">
        <v>41</v>
      </c>
      <c r="D271">
        <v>31</v>
      </c>
      <c r="E271" t="s">
        <v>52</v>
      </c>
      <c r="F271" t="s">
        <v>16</v>
      </c>
      <c r="G271" t="s">
        <v>23</v>
      </c>
      <c r="H271" s="1">
        <v>45245</v>
      </c>
      <c r="J271">
        <v>546000</v>
      </c>
      <c r="K271">
        <v>0</v>
      </c>
      <c r="L271" t="s">
        <v>24</v>
      </c>
      <c r="M271">
        <f ca="1">IF(Table1[[#This Row],[Exit]]="",DATEDIF(Table1[[#This Row],[Hire]],TODAY(),"Y"),DATEDIF(Table1[[#This Row],[Hire]],Table1[[#This Row],[Exit]],"Y"))</f>
        <v>2</v>
      </c>
      <c r="N271">
        <f>FLOOR(Table1[[#This Row],[Age]],10)</f>
        <v>30</v>
      </c>
      <c r="O271" t="str">
        <f>IF(Table1[[#This Row],[Age]]&lt;30,"20-29",IF(Table1[[#This Row],[Age]]&lt;40,"30-39",IF(Table1[[#This Row],[Age]]&lt;50,"40-49",IF(Table1[[#This Row],[Age]]&lt;60,"50-59","60+"))))</f>
        <v>30-39</v>
      </c>
    </row>
    <row r="272" spans="1:15" x14ac:dyDescent="0.25">
      <c r="A272" t="s">
        <v>566</v>
      </c>
      <c r="B272" t="s">
        <v>567</v>
      </c>
      <c r="C272" t="s">
        <v>14</v>
      </c>
      <c r="D272">
        <v>27</v>
      </c>
      <c r="E272" t="s">
        <v>52</v>
      </c>
      <c r="F272" t="s">
        <v>16</v>
      </c>
      <c r="G272" t="s">
        <v>34</v>
      </c>
      <c r="H272" s="1">
        <v>43851</v>
      </c>
      <c r="J272">
        <v>548000</v>
      </c>
      <c r="K272">
        <v>7.0000000000000007E-2</v>
      </c>
      <c r="L272" t="s">
        <v>24</v>
      </c>
      <c r="M272">
        <f ca="1">IF(Table1[[#This Row],[Exit]]="",DATEDIF(Table1[[#This Row],[Hire]],TODAY(),"Y"),DATEDIF(Table1[[#This Row],[Hire]],Table1[[#This Row],[Exit]],"Y"))</f>
        <v>6</v>
      </c>
      <c r="N272">
        <f>FLOOR(Table1[[#This Row],[Age]],10)</f>
        <v>20</v>
      </c>
      <c r="O272" t="str">
        <f>IF(Table1[[#This Row],[Age]]&lt;30,"20-29",IF(Table1[[#This Row],[Age]]&lt;40,"30-39",IF(Table1[[#This Row],[Age]]&lt;50,"40-49",IF(Table1[[#This Row],[Age]]&lt;60,"50-59","60+"))))</f>
        <v>20-29</v>
      </c>
    </row>
    <row r="273" spans="1:15" x14ac:dyDescent="0.25">
      <c r="A273" t="s">
        <v>568</v>
      </c>
      <c r="B273" t="s">
        <v>569</v>
      </c>
      <c r="C273" t="s">
        <v>14</v>
      </c>
      <c r="D273">
        <v>30</v>
      </c>
      <c r="E273" t="s">
        <v>66</v>
      </c>
      <c r="F273" t="s">
        <v>16</v>
      </c>
      <c r="G273" t="s">
        <v>17</v>
      </c>
      <c r="H273" s="1">
        <v>45206</v>
      </c>
      <c r="I273" s="1">
        <v>45514</v>
      </c>
      <c r="J273">
        <v>550000</v>
      </c>
      <c r="K273">
        <v>0</v>
      </c>
      <c r="L273" t="s">
        <v>18</v>
      </c>
      <c r="M273">
        <f ca="1">IF(Table1[[#This Row],[Exit]]="",DATEDIF(Table1[[#This Row],[Hire]],TODAY(),"Y"),DATEDIF(Table1[[#This Row],[Hire]],Table1[[#This Row],[Exit]],"Y"))</f>
        <v>0</v>
      </c>
      <c r="N273">
        <f>FLOOR(Table1[[#This Row],[Age]],10)</f>
        <v>30</v>
      </c>
      <c r="O273" t="str">
        <f>IF(Table1[[#This Row],[Age]]&lt;30,"20-29",IF(Table1[[#This Row],[Age]]&lt;40,"30-39",IF(Table1[[#This Row],[Age]]&lt;50,"40-49",IF(Table1[[#This Row],[Age]]&lt;60,"50-59","60+"))))</f>
        <v>30-39</v>
      </c>
    </row>
    <row r="274" spans="1:15" x14ac:dyDescent="0.25">
      <c r="A274" t="s">
        <v>570</v>
      </c>
      <c r="B274" t="s">
        <v>571</v>
      </c>
      <c r="C274" t="s">
        <v>21</v>
      </c>
      <c r="D274">
        <v>36</v>
      </c>
      <c r="E274" t="s">
        <v>58</v>
      </c>
      <c r="F274" t="s">
        <v>59</v>
      </c>
      <c r="G274" t="s">
        <v>23</v>
      </c>
      <c r="H274" s="1">
        <v>45401</v>
      </c>
      <c r="J274">
        <v>552000</v>
      </c>
      <c r="K274">
        <v>0</v>
      </c>
      <c r="L274" t="s">
        <v>24</v>
      </c>
      <c r="M274">
        <f ca="1">IF(Table1[[#This Row],[Exit]]="",DATEDIF(Table1[[#This Row],[Hire]],TODAY(),"Y"),DATEDIF(Table1[[#This Row],[Hire]],Table1[[#This Row],[Exit]],"Y"))</f>
        <v>1</v>
      </c>
      <c r="N274">
        <f>FLOOR(Table1[[#This Row],[Age]],10)</f>
        <v>30</v>
      </c>
      <c r="O274" t="str">
        <f>IF(Table1[[#This Row],[Age]]&lt;30,"20-29",IF(Table1[[#This Row],[Age]]&lt;40,"30-39",IF(Table1[[#This Row],[Age]]&lt;50,"40-49",IF(Table1[[#This Row],[Age]]&lt;60,"50-59","60+"))))</f>
        <v>30-39</v>
      </c>
    </row>
    <row r="275" spans="1:15" x14ac:dyDescent="0.25">
      <c r="A275" t="s">
        <v>572</v>
      </c>
      <c r="B275" t="s">
        <v>573</v>
      </c>
      <c r="C275" t="s">
        <v>14</v>
      </c>
      <c r="D275">
        <v>45</v>
      </c>
      <c r="E275" t="s">
        <v>66</v>
      </c>
      <c r="F275" t="s">
        <v>16</v>
      </c>
      <c r="G275" t="s">
        <v>34</v>
      </c>
      <c r="H275" s="1">
        <v>44083</v>
      </c>
      <c r="J275">
        <v>554000</v>
      </c>
      <c r="K275">
        <v>0</v>
      </c>
      <c r="L275" t="s">
        <v>24</v>
      </c>
      <c r="M275">
        <f ca="1">IF(Table1[[#This Row],[Exit]]="",DATEDIF(Table1[[#This Row],[Hire]],TODAY(),"Y"),DATEDIF(Table1[[#This Row],[Hire]],Table1[[#This Row],[Exit]],"Y"))</f>
        <v>5</v>
      </c>
      <c r="N275">
        <f>FLOOR(Table1[[#This Row],[Age]],10)</f>
        <v>40</v>
      </c>
      <c r="O275" t="str">
        <f>IF(Table1[[#This Row],[Age]]&lt;30,"20-29",IF(Table1[[#This Row],[Age]]&lt;40,"30-39",IF(Table1[[#This Row],[Age]]&lt;50,"40-49",IF(Table1[[#This Row],[Age]]&lt;60,"50-59","60+"))))</f>
        <v>40-49</v>
      </c>
    </row>
    <row r="276" spans="1:15" x14ac:dyDescent="0.25">
      <c r="A276" t="s">
        <v>574</v>
      </c>
      <c r="B276" t="s">
        <v>575</v>
      </c>
      <c r="C276" t="s">
        <v>21</v>
      </c>
      <c r="D276">
        <v>37</v>
      </c>
      <c r="E276" t="s">
        <v>66</v>
      </c>
      <c r="F276" t="s">
        <v>16</v>
      </c>
      <c r="G276" t="s">
        <v>53</v>
      </c>
      <c r="H276" s="1">
        <v>45233</v>
      </c>
      <c r="J276">
        <v>556000</v>
      </c>
      <c r="K276">
        <v>0</v>
      </c>
      <c r="L276" t="s">
        <v>24</v>
      </c>
      <c r="M276">
        <f ca="1">IF(Table1[[#This Row],[Exit]]="",DATEDIF(Table1[[#This Row],[Hire]],TODAY(),"Y"),DATEDIF(Table1[[#This Row],[Hire]],Table1[[#This Row],[Exit]],"Y"))</f>
        <v>2</v>
      </c>
      <c r="N276">
        <f>FLOOR(Table1[[#This Row],[Age]],10)</f>
        <v>30</v>
      </c>
      <c r="O276" t="str">
        <f>IF(Table1[[#This Row],[Age]]&lt;30,"20-29",IF(Table1[[#This Row],[Age]]&lt;40,"30-39",IF(Table1[[#This Row],[Age]]&lt;50,"40-49",IF(Table1[[#This Row],[Age]]&lt;60,"50-59","60+"))))</f>
        <v>30-39</v>
      </c>
    </row>
    <row r="277" spans="1:15" x14ac:dyDescent="0.25">
      <c r="A277" t="s">
        <v>576</v>
      </c>
      <c r="B277" t="s">
        <v>577</v>
      </c>
      <c r="C277" t="s">
        <v>21</v>
      </c>
      <c r="D277">
        <v>38</v>
      </c>
      <c r="E277" t="s">
        <v>58</v>
      </c>
      <c r="F277" t="s">
        <v>59</v>
      </c>
      <c r="G277" t="s">
        <v>53</v>
      </c>
      <c r="H277" s="1">
        <v>43951</v>
      </c>
      <c r="I277" s="1">
        <v>45134</v>
      </c>
      <c r="J277">
        <v>558000</v>
      </c>
      <c r="K277">
        <v>0.27</v>
      </c>
      <c r="L277" t="s">
        <v>18</v>
      </c>
      <c r="M277">
        <f ca="1">IF(Table1[[#This Row],[Exit]]="",DATEDIF(Table1[[#This Row],[Hire]],TODAY(),"Y"),DATEDIF(Table1[[#This Row],[Hire]],Table1[[#This Row],[Exit]],"Y"))</f>
        <v>3</v>
      </c>
      <c r="N277">
        <f>FLOOR(Table1[[#This Row],[Age]],10)</f>
        <v>30</v>
      </c>
      <c r="O277" t="str">
        <f>IF(Table1[[#This Row],[Age]]&lt;30,"20-29",IF(Table1[[#This Row],[Age]]&lt;40,"30-39",IF(Table1[[#This Row],[Age]]&lt;50,"40-49",IF(Table1[[#This Row],[Age]]&lt;60,"50-59","60+"))))</f>
        <v>30-39</v>
      </c>
    </row>
    <row r="278" spans="1:15" x14ac:dyDescent="0.25">
      <c r="A278" t="s">
        <v>578</v>
      </c>
      <c r="B278" t="s">
        <v>579</v>
      </c>
      <c r="C278" t="s">
        <v>14</v>
      </c>
      <c r="D278">
        <v>45</v>
      </c>
      <c r="E278" t="s">
        <v>15</v>
      </c>
      <c r="F278" t="s">
        <v>16</v>
      </c>
      <c r="G278" t="s">
        <v>53</v>
      </c>
      <c r="H278" s="1">
        <v>43887</v>
      </c>
      <c r="J278">
        <v>560000</v>
      </c>
      <c r="K278">
        <v>0</v>
      </c>
      <c r="L278" t="s">
        <v>24</v>
      </c>
      <c r="M278">
        <f ca="1">IF(Table1[[#This Row],[Exit]]="",DATEDIF(Table1[[#This Row],[Hire]],TODAY(),"Y"),DATEDIF(Table1[[#This Row],[Hire]],Table1[[#This Row],[Exit]],"Y"))</f>
        <v>5</v>
      </c>
      <c r="N278">
        <f>FLOOR(Table1[[#This Row],[Age]],10)</f>
        <v>40</v>
      </c>
      <c r="O278" t="str">
        <f>IF(Table1[[#This Row],[Age]]&lt;30,"20-29",IF(Table1[[#This Row],[Age]]&lt;40,"30-39",IF(Table1[[#This Row],[Age]]&lt;50,"40-49",IF(Table1[[#This Row],[Age]]&lt;60,"50-59","60+"))))</f>
        <v>40-49</v>
      </c>
    </row>
    <row r="279" spans="1:15" x14ac:dyDescent="0.25">
      <c r="A279" t="s">
        <v>580</v>
      </c>
      <c r="B279" t="s">
        <v>581</v>
      </c>
      <c r="C279" t="s">
        <v>14</v>
      </c>
      <c r="D279">
        <v>51</v>
      </c>
      <c r="E279" t="s">
        <v>22</v>
      </c>
      <c r="F279" t="s">
        <v>16</v>
      </c>
      <c r="G279" t="s">
        <v>53</v>
      </c>
      <c r="H279" s="1">
        <v>44815</v>
      </c>
      <c r="J279">
        <v>562000</v>
      </c>
      <c r="K279">
        <v>0</v>
      </c>
      <c r="L279" t="s">
        <v>24</v>
      </c>
      <c r="M279">
        <f ca="1">IF(Table1[[#This Row],[Exit]]="",DATEDIF(Table1[[#This Row],[Hire]],TODAY(),"Y"),DATEDIF(Table1[[#This Row],[Hire]],Table1[[#This Row],[Exit]],"Y"))</f>
        <v>3</v>
      </c>
      <c r="N279">
        <f>FLOOR(Table1[[#This Row],[Age]],10)</f>
        <v>50</v>
      </c>
      <c r="O279" t="str">
        <f>IF(Table1[[#This Row],[Age]]&lt;30,"20-29",IF(Table1[[#This Row],[Age]]&lt;40,"30-39",IF(Table1[[#This Row],[Age]]&lt;50,"40-49",IF(Table1[[#This Row],[Age]]&lt;60,"50-59","60+"))))</f>
        <v>50-59</v>
      </c>
    </row>
    <row r="280" spans="1:15" x14ac:dyDescent="0.25">
      <c r="A280" t="s">
        <v>582</v>
      </c>
      <c r="B280" t="s">
        <v>583</v>
      </c>
      <c r="C280" t="s">
        <v>14</v>
      </c>
      <c r="D280">
        <v>56</v>
      </c>
      <c r="E280" t="s">
        <v>81</v>
      </c>
      <c r="F280" t="s">
        <v>43</v>
      </c>
      <c r="G280" t="s">
        <v>53</v>
      </c>
      <c r="H280" s="1">
        <v>45430</v>
      </c>
      <c r="J280">
        <v>564000</v>
      </c>
      <c r="K280">
        <v>0.15</v>
      </c>
      <c r="L280" t="s">
        <v>24</v>
      </c>
      <c r="M280">
        <f ca="1">IF(Table1[[#This Row],[Exit]]="",DATEDIF(Table1[[#This Row],[Hire]],TODAY(),"Y"),DATEDIF(Table1[[#This Row],[Hire]],Table1[[#This Row],[Exit]],"Y"))</f>
        <v>1</v>
      </c>
      <c r="N280">
        <f>FLOOR(Table1[[#This Row],[Age]],10)</f>
        <v>50</v>
      </c>
      <c r="O280" t="str">
        <f>IF(Table1[[#This Row],[Age]]&lt;30,"20-29",IF(Table1[[#This Row],[Age]]&lt;40,"30-39",IF(Table1[[#This Row],[Age]]&lt;50,"40-49",IF(Table1[[#This Row],[Age]]&lt;60,"50-59","60+"))))</f>
        <v>50-59</v>
      </c>
    </row>
    <row r="281" spans="1:15" x14ac:dyDescent="0.25">
      <c r="A281" t="s">
        <v>584</v>
      </c>
      <c r="B281" t="s">
        <v>585</v>
      </c>
      <c r="C281" t="s">
        <v>14</v>
      </c>
      <c r="D281">
        <v>53</v>
      </c>
      <c r="E281" t="s">
        <v>52</v>
      </c>
      <c r="F281" t="s">
        <v>16</v>
      </c>
      <c r="G281" t="s">
        <v>17</v>
      </c>
      <c r="H281" s="1">
        <v>44509</v>
      </c>
      <c r="J281">
        <v>566000</v>
      </c>
      <c r="K281">
        <v>0.15</v>
      </c>
      <c r="L281" t="s">
        <v>24</v>
      </c>
      <c r="M281">
        <f ca="1">IF(Table1[[#This Row],[Exit]]="",DATEDIF(Table1[[#This Row],[Hire]],TODAY(),"Y"),DATEDIF(Table1[[#This Row],[Hire]],Table1[[#This Row],[Exit]],"Y"))</f>
        <v>4</v>
      </c>
      <c r="N281">
        <f>FLOOR(Table1[[#This Row],[Age]],10)</f>
        <v>50</v>
      </c>
      <c r="O281" t="str">
        <f>IF(Table1[[#This Row],[Age]]&lt;30,"20-29",IF(Table1[[#This Row],[Age]]&lt;40,"30-39",IF(Table1[[#This Row],[Age]]&lt;50,"40-49",IF(Table1[[#This Row],[Age]]&lt;60,"50-59","60+"))))</f>
        <v>50-59</v>
      </c>
    </row>
    <row r="282" spans="1:15" x14ac:dyDescent="0.25">
      <c r="A282" t="s">
        <v>586</v>
      </c>
      <c r="B282" t="s">
        <v>587</v>
      </c>
      <c r="C282" t="s">
        <v>21</v>
      </c>
      <c r="D282">
        <v>47</v>
      </c>
      <c r="E282" t="s">
        <v>66</v>
      </c>
      <c r="F282" t="s">
        <v>16</v>
      </c>
      <c r="G282" t="s">
        <v>23</v>
      </c>
      <c r="H282" s="1">
        <v>43963</v>
      </c>
      <c r="J282">
        <v>568000</v>
      </c>
      <c r="K282">
        <v>0</v>
      </c>
      <c r="L282" t="s">
        <v>24</v>
      </c>
      <c r="M282">
        <f ca="1">IF(Table1[[#This Row],[Exit]]="",DATEDIF(Table1[[#This Row],[Hire]],TODAY(),"Y"),DATEDIF(Table1[[#This Row],[Hire]],Table1[[#This Row],[Exit]],"Y"))</f>
        <v>5</v>
      </c>
      <c r="N282">
        <f>FLOOR(Table1[[#This Row],[Age]],10)</f>
        <v>40</v>
      </c>
      <c r="O282" t="str">
        <f>IF(Table1[[#This Row],[Age]]&lt;30,"20-29",IF(Table1[[#This Row],[Age]]&lt;40,"30-39",IF(Table1[[#This Row],[Age]]&lt;50,"40-49",IF(Table1[[#This Row],[Age]]&lt;60,"50-59","60+"))))</f>
        <v>40-49</v>
      </c>
    </row>
    <row r="283" spans="1:15" x14ac:dyDescent="0.25">
      <c r="A283" t="s">
        <v>588</v>
      </c>
      <c r="B283" t="s">
        <v>589</v>
      </c>
      <c r="C283" t="s">
        <v>41</v>
      </c>
      <c r="D283">
        <v>36</v>
      </c>
      <c r="E283" t="s">
        <v>31</v>
      </c>
      <c r="F283" t="s">
        <v>16</v>
      </c>
      <c r="G283" t="s">
        <v>53</v>
      </c>
      <c r="H283" s="1">
        <v>44815</v>
      </c>
      <c r="J283">
        <v>570000</v>
      </c>
      <c r="K283">
        <v>0.1</v>
      </c>
      <c r="L283" t="s">
        <v>24</v>
      </c>
      <c r="M283">
        <f ca="1">IF(Table1[[#This Row],[Exit]]="",DATEDIF(Table1[[#This Row],[Hire]],TODAY(),"Y"),DATEDIF(Table1[[#This Row],[Hire]],Table1[[#This Row],[Exit]],"Y"))</f>
        <v>3</v>
      </c>
      <c r="N283">
        <f>FLOOR(Table1[[#This Row],[Age]],10)</f>
        <v>30</v>
      </c>
      <c r="O283" t="str">
        <f>IF(Table1[[#This Row],[Age]]&lt;30,"20-29",IF(Table1[[#This Row],[Age]]&lt;40,"30-39",IF(Table1[[#This Row],[Age]]&lt;50,"40-49",IF(Table1[[#This Row],[Age]]&lt;60,"50-59","60+"))))</f>
        <v>30-39</v>
      </c>
    </row>
    <row r="284" spans="1:15" x14ac:dyDescent="0.25">
      <c r="A284" t="s">
        <v>590</v>
      </c>
      <c r="B284" t="s">
        <v>591</v>
      </c>
      <c r="C284" t="s">
        <v>14</v>
      </c>
      <c r="D284">
        <v>41</v>
      </c>
      <c r="E284" t="s">
        <v>81</v>
      </c>
      <c r="F284" t="s">
        <v>49</v>
      </c>
      <c r="G284" t="s">
        <v>34</v>
      </c>
      <c r="H284" s="1">
        <v>44857</v>
      </c>
      <c r="J284">
        <v>572000</v>
      </c>
      <c r="K284">
        <v>0</v>
      </c>
      <c r="L284" t="s">
        <v>24</v>
      </c>
      <c r="M284">
        <f ca="1">IF(Table1[[#This Row],[Exit]]="",DATEDIF(Table1[[#This Row],[Hire]],TODAY(),"Y"),DATEDIF(Table1[[#This Row],[Hire]],Table1[[#This Row],[Exit]],"Y"))</f>
        <v>3</v>
      </c>
      <c r="N284">
        <f>FLOOR(Table1[[#This Row],[Age]],10)</f>
        <v>40</v>
      </c>
      <c r="O284" t="str">
        <f>IF(Table1[[#This Row],[Age]]&lt;30,"20-29",IF(Table1[[#This Row],[Age]]&lt;40,"30-39",IF(Table1[[#This Row],[Age]]&lt;50,"40-49",IF(Table1[[#This Row],[Age]]&lt;60,"50-59","60+"))))</f>
        <v>40-49</v>
      </c>
    </row>
    <row r="285" spans="1:15" x14ac:dyDescent="0.25">
      <c r="A285" t="s">
        <v>592</v>
      </c>
      <c r="B285" t="s">
        <v>593</v>
      </c>
      <c r="C285" t="s">
        <v>14</v>
      </c>
      <c r="D285">
        <v>30</v>
      </c>
      <c r="E285" t="s">
        <v>92</v>
      </c>
      <c r="F285" t="s">
        <v>59</v>
      </c>
      <c r="G285" t="s">
        <v>53</v>
      </c>
      <c r="H285" s="1">
        <v>45527</v>
      </c>
      <c r="J285">
        <v>574000</v>
      </c>
      <c r="K285">
        <v>0</v>
      </c>
      <c r="L285" t="s">
        <v>24</v>
      </c>
      <c r="M285">
        <f ca="1">IF(Table1[[#This Row],[Exit]]="",DATEDIF(Table1[[#This Row],[Hire]],TODAY(),"Y"),DATEDIF(Table1[[#This Row],[Hire]],Table1[[#This Row],[Exit]],"Y"))</f>
        <v>1</v>
      </c>
      <c r="N285">
        <f>FLOOR(Table1[[#This Row],[Age]],10)</f>
        <v>30</v>
      </c>
      <c r="O285" t="str">
        <f>IF(Table1[[#This Row],[Age]]&lt;30,"20-29",IF(Table1[[#This Row],[Age]]&lt;40,"30-39",IF(Table1[[#This Row],[Age]]&lt;50,"40-49",IF(Table1[[#This Row],[Age]]&lt;60,"50-59","60+"))))</f>
        <v>30-39</v>
      </c>
    </row>
    <row r="286" spans="1:15" x14ac:dyDescent="0.25">
      <c r="A286" t="s">
        <v>594</v>
      </c>
      <c r="B286" t="s">
        <v>595</v>
      </c>
      <c r="C286" t="s">
        <v>21</v>
      </c>
      <c r="D286">
        <v>31</v>
      </c>
      <c r="E286" t="s">
        <v>81</v>
      </c>
      <c r="F286" t="s">
        <v>46</v>
      </c>
      <c r="G286" t="s">
        <v>23</v>
      </c>
      <c r="H286" s="1">
        <v>45237</v>
      </c>
      <c r="J286">
        <v>576000</v>
      </c>
      <c r="K286">
        <v>0.14000000000000001</v>
      </c>
      <c r="L286" t="s">
        <v>24</v>
      </c>
      <c r="M286">
        <f ca="1">IF(Table1[[#This Row],[Exit]]="",DATEDIF(Table1[[#This Row],[Hire]],TODAY(),"Y"),DATEDIF(Table1[[#This Row],[Hire]],Table1[[#This Row],[Exit]],"Y"))</f>
        <v>2</v>
      </c>
      <c r="N286">
        <f>FLOOR(Table1[[#This Row],[Age]],10)</f>
        <v>30</v>
      </c>
      <c r="O286" t="str">
        <f>IF(Table1[[#This Row],[Age]]&lt;30,"20-29",IF(Table1[[#This Row],[Age]]&lt;40,"30-39",IF(Table1[[#This Row],[Age]]&lt;50,"40-49",IF(Table1[[#This Row],[Age]]&lt;60,"50-59","60+"))))</f>
        <v>30-39</v>
      </c>
    </row>
    <row r="287" spans="1:15" x14ac:dyDescent="0.25">
      <c r="A287" t="s">
        <v>596</v>
      </c>
      <c r="B287" t="s">
        <v>597</v>
      </c>
      <c r="C287" t="s">
        <v>21</v>
      </c>
      <c r="D287">
        <v>38</v>
      </c>
      <c r="E287" t="s">
        <v>22</v>
      </c>
      <c r="F287" t="s">
        <v>16</v>
      </c>
      <c r="G287" t="s">
        <v>34</v>
      </c>
      <c r="H287" s="1">
        <v>45206</v>
      </c>
      <c r="J287">
        <v>578000</v>
      </c>
      <c r="K287">
        <v>0.15</v>
      </c>
      <c r="L287" t="s">
        <v>24</v>
      </c>
      <c r="M287">
        <f ca="1">IF(Table1[[#This Row],[Exit]]="",DATEDIF(Table1[[#This Row],[Hire]],TODAY(),"Y"),DATEDIF(Table1[[#This Row],[Hire]],Table1[[#This Row],[Exit]],"Y"))</f>
        <v>2</v>
      </c>
      <c r="N287">
        <f>FLOOR(Table1[[#This Row],[Age]],10)</f>
        <v>30</v>
      </c>
      <c r="O287" t="str">
        <f>IF(Table1[[#This Row],[Age]]&lt;30,"20-29",IF(Table1[[#This Row],[Age]]&lt;40,"30-39",IF(Table1[[#This Row],[Age]]&lt;50,"40-49",IF(Table1[[#This Row],[Age]]&lt;60,"50-59","60+"))))</f>
        <v>30-39</v>
      </c>
    </row>
    <row r="288" spans="1:15" x14ac:dyDescent="0.25">
      <c r="A288" t="s">
        <v>598</v>
      </c>
      <c r="B288" t="s">
        <v>599</v>
      </c>
      <c r="C288" t="s">
        <v>21</v>
      </c>
      <c r="D288">
        <v>31</v>
      </c>
      <c r="E288" t="s">
        <v>92</v>
      </c>
      <c r="F288" t="s">
        <v>59</v>
      </c>
      <c r="G288" t="s">
        <v>34</v>
      </c>
      <c r="H288" s="1">
        <v>44677</v>
      </c>
      <c r="J288">
        <v>580000</v>
      </c>
      <c r="K288">
        <v>0</v>
      </c>
      <c r="L288" t="s">
        <v>24</v>
      </c>
      <c r="M288">
        <f ca="1">IF(Table1[[#This Row],[Exit]]="",DATEDIF(Table1[[#This Row],[Hire]],TODAY(),"Y"),DATEDIF(Table1[[#This Row],[Hire]],Table1[[#This Row],[Exit]],"Y"))</f>
        <v>3</v>
      </c>
      <c r="N288">
        <f>FLOOR(Table1[[#This Row],[Age]],10)</f>
        <v>30</v>
      </c>
      <c r="O288" t="str">
        <f>IF(Table1[[#This Row],[Age]]&lt;30,"20-29",IF(Table1[[#This Row],[Age]]&lt;40,"30-39",IF(Table1[[#This Row],[Age]]&lt;50,"40-49",IF(Table1[[#This Row],[Age]]&lt;60,"50-59","60+"))))</f>
        <v>30-39</v>
      </c>
    </row>
    <row r="289" spans="1:15" x14ac:dyDescent="0.25">
      <c r="A289" t="s">
        <v>600</v>
      </c>
      <c r="B289" t="s">
        <v>601</v>
      </c>
      <c r="C289" t="s">
        <v>14</v>
      </c>
      <c r="D289">
        <v>39</v>
      </c>
      <c r="E289" t="s">
        <v>31</v>
      </c>
      <c r="F289" t="s">
        <v>16</v>
      </c>
      <c r="G289" t="s">
        <v>17</v>
      </c>
      <c r="H289" s="1">
        <v>43889</v>
      </c>
      <c r="J289">
        <v>582000</v>
      </c>
      <c r="K289">
        <v>0.06</v>
      </c>
      <c r="L289" t="s">
        <v>24</v>
      </c>
      <c r="M289">
        <f ca="1">IF(Table1[[#This Row],[Exit]]="",DATEDIF(Table1[[#This Row],[Hire]],TODAY(),"Y"),DATEDIF(Table1[[#This Row],[Hire]],Table1[[#This Row],[Exit]],"Y"))</f>
        <v>5</v>
      </c>
      <c r="N289">
        <f>FLOOR(Table1[[#This Row],[Age]],10)</f>
        <v>30</v>
      </c>
      <c r="O289" t="str">
        <f>IF(Table1[[#This Row],[Age]]&lt;30,"20-29",IF(Table1[[#This Row],[Age]]&lt;40,"30-39",IF(Table1[[#This Row],[Age]]&lt;50,"40-49",IF(Table1[[#This Row],[Age]]&lt;60,"50-59","60+"))))</f>
        <v>30-39</v>
      </c>
    </row>
    <row r="290" spans="1:15" x14ac:dyDescent="0.25">
      <c r="A290" t="s">
        <v>602</v>
      </c>
      <c r="B290" t="s">
        <v>603</v>
      </c>
      <c r="C290" t="s">
        <v>21</v>
      </c>
      <c r="D290">
        <v>31</v>
      </c>
      <c r="E290" t="s">
        <v>15</v>
      </c>
      <c r="F290" t="s">
        <v>16</v>
      </c>
      <c r="G290" t="s">
        <v>17</v>
      </c>
      <c r="H290" s="1">
        <v>44116</v>
      </c>
      <c r="J290">
        <v>584000</v>
      </c>
      <c r="K290">
        <v>0.1</v>
      </c>
      <c r="L290" t="s">
        <v>24</v>
      </c>
      <c r="M290">
        <f ca="1">IF(Table1[[#This Row],[Exit]]="",DATEDIF(Table1[[#This Row],[Hire]],TODAY(),"Y"),DATEDIF(Table1[[#This Row],[Hire]],Table1[[#This Row],[Exit]],"Y"))</f>
        <v>5</v>
      </c>
      <c r="N290">
        <f>FLOOR(Table1[[#This Row],[Age]],10)</f>
        <v>30</v>
      </c>
      <c r="O290" t="str">
        <f>IF(Table1[[#This Row],[Age]]&lt;30,"20-29",IF(Table1[[#This Row],[Age]]&lt;40,"30-39",IF(Table1[[#This Row],[Age]]&lt;50,"40-49",IF(Table1[[#This Row],[Age]]&lt;60,"50-59","60+"))))</f>
        <v>30-39</v>
      </c>
    </row>
    <row r="291" spans="1:15" x14ac:dyDescent="0.25">
      <c r="A291" t="s">
        <v>604</v>
      </c>
      <c r="B291" t="s">
        <v>605</v>
      </c>
      <c r="C291" t="s">
        <v>14</v>
      </c>
      <c r="D291">
        <v>45</v>
      </c>
      <c r="E291" t="s">
        <v>22</v>
      </c>
      <c r="F291" t="s">
        <v>16</v>
      </c>
      <c r="G291" t="s">
        <v>23</v>
      </c>
      <c r="H291" s="1">
        <v>44588</v>
      </c>
      <c r="J291">
        <v>586000</v>
      </c>
      <c r="K291">
        <v>0.05</v>
      </c>
      <c r="L291" t="s">
        <v>24</v>
      </c>
      <c r="M291">
        <f ca="1">IF(Table1[[#This Row],[Exit]]="",DATEDIF(Table1[[#This Row],[Hire]],TODAY(),"Y"),DATEDIF(Table1[[#This Row],[Hire]],Table1[[#This Row],[Exit]],"Y"))</f>
        <v>4</v>
      </c>
      <c r="N291">
        <f>FLOOR(Table1[[#This Row],[Age]],10)</f>
        <v>40</v>
      </c>
      <c r="O291" t="str">
        <f>IF(Table1[[#This Row],[Age]]&lt;30,"20-29",IF(Table1[[#This Row],[Age]]&lt;40,"30-39",IF(Table1[[#This Row],[Age]]&lt;50,"40-49",IF(Table1[[#This Row],[Age]]&lt;60,"50-59","60+"))))</f>
        <v>40-49</v>
      </c>
    </row>
    <row r="292" spans="1:15" x14ac:dyDescent="0.25">
      <c r="A292" t="s">
        <v>606</v>
      </c>
      <c r="B292" t="s">
        <v>607</v>
      </c>
      <c r="C292" t="s">
        <v>14</v>
      </c>
      <c r="D292">
        <v>50</v>
      </c>
      <c r="E292" t="s">
        <v>27</v>
      </c>
      <c r="F292" t="s">
        <v>28</v>
      </c>
      <c r="G292" t="s">
        <v>17</v>
      </c>
      <c r="H292" s="1">
        <v>45337</v>
      </c>
      <c r="J292">
        <v>588000</v>
      </c>
      <c r="K292">
        <v>0.36</v>
      </c>
      <c r="L292" t="s">
        <v>24</v>
      </c>
      <c r="M292">
        <f ca="1">IF(Table1[[#This Row],[Exit]]="",DATEDIF(Table1[[#This Row],[Hire]],TODAY(),"Y"),DATEDIF(Table1[[#This Row],[Hire]],Table1[[#This Row],[Exit]],"Y"))</f>
        <v>1</v>
      </c>
      <c r="N292">
        <f>FLOOR(Table1[[#This Row],[Age]],10)</f>
        <v>50</v>
      </c>
      <c r="O292" t="str">
        <f>IF(Table1[[#This Row],[Age]]&lt;30,"20-29",IF(Table1[[#This Row],[Age]]&lt;40,"30-39",IF(Table1[[#This Row],[Age]]&lt;50,"40-49",IF(Table1[[#This Row],[Age]]&lt;60,"50-59","60+"))))</f>
        <v>50-59</v>
      </c>
    </row>
    <row r="293" spans="1:15" x14ac:dyDescent="0.25">
      <c r="A293" t="s">
        <v>315</v>
      </c>
      <c r="B293" t="s">
        <v>608</v>
      </c>
      <c r="C293" t="s">
        <v>14</v>
      </c>
      <c r="D293">
        <v>36</v>
      </c>
      <c r="E293" t="s">
        <v>31</v>
      </c>
      <c r="F293" t="s">
        <v>16</v>
      </c>
      <c r="G293" t="s">
        <v>23</v>
      </c>
      <c r="H293" s="1">
        <v>45332</v>
      </c>
      <c r="J293">
        <v>590000</v>
      </c>
      <c r="K293">
        <v>0.33</v>
      </c>
      <c r="L293" t="s">
        <v>24</v>
      </c>
      <c r="M293">
        <f ca="1">IF(Table1[[#This Row],[Exit]]="",DATEDIF(Table1[[#This Row],[Hire]],TODAY(),"Y"),DATEDIF(Table1[[#This Row],[Hire]],Table1[[#This Row],[Exit]],"Y"))</f>
        <v>1</v>
      </c>
      <c r="N293">
        <f>FLOOR(Table1[[#This Row],[Age]],10)</f>
        <v>30</v>
      </c>
      <c r="O293" t="str">
        <f>IF(Table1[[#This Row],[Age]]&lt;30,"20-29",IF(Table1[[#This Row],[Age]]&lt;40,"30-39",IF(Table1[[#This Row],[Age]]&lt;50,"40-49",IF(Table1[[#This Row],[Age]]&lt;60,"50-59","60+"))))</f>
        <v>30-39</v>
      </c>
    </row>
    <row r="294" spans="1:15" x14ac:dyDescent="0.25">
      <c r="A294" t="s">
        <v>609</v>
      </c>
      <c r="B294" t="s">
        <v>610</v>
      </c>
      <c r="C294" t="s">
        <v>14</v>
      </c>
      <c r="D294">
        <v>45</v>
      </c>
      <c r="E294" t="s">
        <v>27</v>
      </c>
      <c r="F294" t="s">
        <v>28</v>
      </c>
      <c r="G294" t="s">
        <v>34</v>
      </c>
      <c r="H294" s="1">
        <v>44183</v>
      </c>
      <c r="J294">
        <v>592000</v>
      </c>
      <c r="K294">
        <v>0.11</v>
      </c>
      <c r="L294" t="s">
        <v>24</v>
      </c>
      <c r="M294">
        <f ca="1">IF(Table1[[#This Row],[Exit]]="",DATEDIF(Table1[[#This Row],[Hire]],TODAY(),"Y"),DATEDIF(Table1[[#This Row],[Hire]],Table1[[#This Row],[Exit]],"Y"))</f>
        <v>5</v>
      </c>
      <c r="N294">
        <f>FLOOR(Table1[[#This Row],[Age]],10)</f>
        <v>40</v>
      </c>
      <c r="O294" t="str">
        <f>IF(Table1[[#This Row],[Age]]&lt;30,"20-29",IF(Table1[[#This Row],[Age]]&lt;40,"30-39",IF(Table1[[#This Row],[Age]]&lt;50,"40-49",IF(Table1[[#This Row],[Age]]&lt;60,"50-59","60+"))))</f>
        <v>40-49</v>
      </c>
    </row>
    <row r="295" spans="1:15" x14ac:dyDescent="0.25">
      <c r="A295" t="s">
        <v>611</v>
      </c>
      <c r="B295" t="s">
        <v>612</v>
      </c>
      <c r="C295" t="s">
        <v>14</v>
      </c>
      <c r="D295">
        <v>29</v>
      </c>
      <c r="E295" t="s">
        <v>15</v>
      </c>
      <c r="F295" t="s">
        <v>16</v>
      </c>
      <c r="G295" t="s">
        <v>23</v>
      </c>
      <c r="H295" s="1">
        <v>43837</v>
      </c>
      <c r="I295" s="1">
        <v>45206</v>
      </c>
      <c r="J295">
        <v>594000</v>
      </c>
      <c r="K295">
        <v>0</v>
      </c>
      <c r="L295" t="s">
        <v>18</v>
      </c>
      <c r="M295">
        <f ca="1">IF(Table1[[#This Row],[Exit]]="",DATEDIF(Table1[[#This Row],[Hire]],TODAY(),"Y"),DATEDIF(Table1[[#This Row],[Hire]],Table1[[#This Row],[Exit]],"Y"))</f>
        <v>3</v>
      </c>
      <c r="N295">
        <f>FLOOR(Table1[[#This Row],[Age]],10)</f>
        <v>20</v>
      </c>
      <c r="O295" t="str">
        <f>IF(Table1[[#This Row],[Age]]&lt;30,"20-29",IF(Table1[[#This Row],[Age]]&lt;40,"30-39",IF(Table1[[#This Row],[Age]]&lt;50,"40-49",IF(Table1[[#This Row],[Age]]&lt;60,"50-59","60+"))))</f>
        <v>20-29</v>
      </c>
    </row>
    <row r="296" spans="1:15" x14ac:dyDescent="0.25">
      <c r="A296" t="s">
        <v>613</v>
      </c>
      <c r="B296" t="s">
        <v>614</v>
      </c>
      <c r="C296" t="s">
        <v>14</v>
      </c>
      <c r="D296">
        <v>41</v>
      </c>
      <c r="E296" t="s">
        <v>15</v>
      </c>
      <c r="F296" t="s">
        <v>16</v>
      </c>
      <c r="G296" t="s">
        <v>34</v>
      </c>
      <c r="H296" s="1">
        <v>45206</v>
      </c>
      <c r="J296">
        <v>596000</v>
      </c>
      <c r="K296">
        <v>0.06</v>
      </c>
      <c r="L296" t="s">
        <v>24</v>
      </c>
      <c r="M296">
        <f ca="1">IF(Table1[[#This Row],[Exit]]="",DATEDIF(Table1[[#This Row],[Hire]],TODAY(),"Y"),DATEDIF(Table1[[#This Row],[Hire]],Table1[[#This Row],[Exit]],"Y"))</f>
        <v>2</v>
      </c>
      <c r="N296">
        <f>FLOOR(Table1[[#This Row],[Age]],10)</f>
        <v>40</v>
      </c>
      <c r="O296" t="str">
        <f>IF(Table1[[#This Row],[Age]]&lt;30,"20-29",IF(Table1[[#This Row],[Age]]&lt;40,"30-39",IF(Table1[[#This Row],[Age]]&lt;50,"40-49",IF(Table1[[#This Row],[Age]]&lt;60,"50-59","60+"))))</f>
        <v>40-49</v>
      </c>
    </row>
    <row r="297" spans="1:15" x14ac:dyDescent="0.25">
      <c r="A297" t="s">
        <v>250</v>
      </c>
      <c r="B297" t="s">
        <v>615</v>
      </c>
      <c r="C297" t="s">
        <v>14</v>
      </c>
      <c r="D297">
        <v>47</v>
      </c>
      <c r="E297" t="s">
        <v>42</v>
      </c>
      <c r="F297" t="s">
        <v>43</v>
      </c>
      <c r="G297" t="s">
        <v>34</v>
      </c>
      <c r="H297" s="1">
        <v>44487</v>
      </c>
      <c r="J297">
        <v>598000</v>
      </c>
      <c r="K297">
        <v>0</v>
      </c>
      <c r="L297" t="s">
        <v>24</v>
      </c>
      <c r="M297">
        <f ca="1">IF(Table1[[#This Row],[Exit]]="",DATEDIF(Table1[[#This Row],[Hire]],TODAY(),"Y"),DATEDIF(Table1[[#This Row],[Hire]],Table1[[#This Row],[Exit]],"Y"))</f>
        <v>4</v>
      </c>
      <c r="N297">
        <f>FLOOR(Table1[[#This Row],[Age]],10)</f>
        <v>40</v>
      </c>
      <c r="O297" t="str">
        <f>IF(Table1[[#This Row],[Age]]&lt;30,"20-29",IF(Table1[[#This Row],[Age]]&lt;40,"30-39",IF(Table1[[#This Row],[Age]]&lt;50,"40-49",IF(Table1[[#This Row],[Age]]&lt;60,"50-59","60+"))))</f>
        <v>40-49</v>
      </c>
    </row>
    <row r="298" spans="1:15" x14ac:dyDescent="0.25">
      <c r="A298" t="s">
        <v>616</v>
      </c>
      <c r="B298" t="s">
        <v>617</v>
      </c>
      <c r="C298" t="s">
        <v>21</v>
      </c>
      <c r="D298">
        <v>38</v>
      </c>
      <c r="E298" t="s">
        <v>42</v>
      </c>
      <c r="F298" t="s">
        <v>46</v>
      </c>
      <c r="G298" t="s">
        <v>23</v>
      </c>
      <c r="H298" s="1">
        <v>44791</v>
      </c>
      <c r="J298">
        <v>600000</v>
      </c>
      <c r="K298">
        <v>0.06</v>
      </c>
      <c r="L298" t="s">
        <v>24</v>
      </c>
      <c r="M298">
        <f ca="1">IF(Table1[[#This Row],[Exit]]="",DATEDIF(Table1[[#This Row],[Hire]],TODAY(),"Y"),DATEDIF(Table1[[#This Row],[Hire]],Table1[[#This Row],[Exit]],"Y"))</f>
        <v>3</v>
      </c>
      <c r="N298">
        <f>FLOOR(Table1[[#This Row],[Age]],10)</f>
        <v>30</v>
      </c>
      <c r="O298" t="str">
        <f>IF(Table1[[#This Row],[Age]]&lt;30,"20-29",IF(Table1[[#This Row],[Age]]&lt;40,"30-39",IF(Table1[[#This Row],[Age]]&lt;50,"40-49",IF(Table1[[#This Row],[Age]]&lt;60,"50-59","60+"))))</f>
        <v>30-39</v>
      </c>
    </row>
    <row r="299" spans="1:15" x14ac:dyDescent="0.25">
      <c r="A299" t="s">
        <v>618</v>
      </c>
      <c r="B299" t="s">
        <v>619</v>
      </c>
      <c r="C299" t="s">
        <v>14</v>
      </c>
      <c r="D299">
        <v>40</v>
      </c>
      <c r="E299" t="s">
        <v>42</v>
      </c>
      <c r="F299" t="s">
        <v>49</v>
      </c>
      <c r="G299" t="s">
        <v>17</v>
      </c>
      <c r="H299" s="1">
        <v>45440</v>
      </c>
      <c r="J299">
        <v>602000</v>
      </c>
      <c r="K299">
        <v>0.39</v>
      </c>
      <c r="L299" t="s">
        <v>24</v>
      </c>
      <c r="M299">
        <f ca="1">IF(Table1[[#This Row],[Exit]]="",DATEDIF(Table1[[#This Row],[Hire]],TODAY(),"Y"),DATEDIF(Table1[[#This Row],[Hire]],Table1[[#This Row],[Exit]],"Y"))</f>
        <v>1</v>
      </c>
      <c r="N299">
        <f>FLOOR(Table1[[#This Row],[Age]],10)</f>
        <v>40</v>
      </c>
      <c r="O299" t="str">
        <f>IF(Table1[[#This Row],[Age]]&lt;30,"20-29",IF(Table1[[#This Row],[Age]]&lt;40,"30-39",IF(Table1[[#This Row],[Age]]&lt;50,"40-49",IF(Table1[[#This Row],[Age]]&lt;60,"50-59","60+"))))</f>
        <v>40-49</v>
      </c>
    </row>
    <row r="300" spans="1:15" x14ac:dyDescent="0.25">
      <c r="A300" t="s">
        <v>620</v>
      </c>
      <c r="B300" t="s">
        <v>621</v>
      </c>
      <c r="C300" t="s">
        <v>14</v>
      </c>
      <c r="D300">
        <v>45</v>
      </c>
      <c r="E300" t="s">
        <v>52</v>
      </c>
      <c r="F300" t="s">
        <v>16</v>
      </c>
      <c r="G300" t="s">
        <v>53</v>
      </c>
      <c r="H300" s="1">
        <v>44811</v>
      </c>
      <c r="J300">
        <v>604000</v>
      </c>
      <c r="K300">
        <v>0</v>
      </c>
      <c r="L300" t="s">
        <v>24</v>
      </c>
      <c r="M300">
        <f ca="1">IF(Table1[[#This Row],[Exit]]="",DATEDIF(Table1[[#This Row],[Hire]],TODAY(),"Y"),DATEDIF(Table1[[#This Row],[Hire]],Table1[[#This Row],[Exit]],"Y"))</f>
        <v>3</v>
      </c>
      <c r="N300">
        <f>FLOOR(Table1[[#This Row],[Age]],10)</f>
        <v>40</v>
      </c>
      <c r="O300" t="str">
        <f>IF(Table1[[#This Row],[Age]]&lt;30,"20-29",IF(Table1[[#This Row],[Age]]&lt;40,"30-39",IF(Table1[[#This Row],[Age]]&lt;50,"40-49",IF(Table1[[#This Row],[Age]]&lt;60,"50-59","60+"))))</f>
        <v>40-49</v>
      </c>
    </row>
    <row r="301" spans="1:15" x14ac:dyDescent="0.25">
      <c r="A301" t="s">
        <v>622</v>
      </c>
      <c r="B301" t="s">
        <v>623</v>
      </c>
      <c r="C301" t="s">
        <v>21</v>
      </c>
      <c r="D301">
        <v>31</v>
      </c>
      <c r="E301" t="s">
        <v>42</v>
      </c>
      <c r="F301" t="s">
        <v>46</v>
      </c>
      <c r="G301" t="s">
        <v>53</v>
      </c>
      <c r="H301" s="1">
        <v>45294</v>
      </c>
      <c r="J301">
        <v>606000</v>
      </c>
      <c r="K301">
        <v>0</v>
      </c>
      <c r="L301" t="s">
        <v>24</v>
      </c>
      <c r="M301">
        <f ca="1">IF(Table1[[#This Row],[Exit]]="",DATEDIF(Table1[[#This Row],[Hire]],TODAY(),"Y"),DATEDIF(Table1[[#This Row],[Hire]],Table1[[#This Row],[Exit]],"Y"))</f>
        <v>2</v>
      </c>
      <c r="N301">
        <f>FLOOR(Table1[[#This Row],[Age]],10)</f>
        <v>30</v>
      </c>
      <c r="O301" t="str">
        <f>IF(Table1[[#This Row],[Age]]&lt;30,"20-29",IF(Table1[[#This Row],[Age]]&lt;40,"30-39",IF(Table1[[#This Row],[Age]]&lt;50,"40-49",IF(Table1[[#This Row],[Age]]&lt;60,"50-59","60+"))))</f>
        <v>30-39</v>
      </c>
    </row>
    <row r="302" spans="1:15" x14ac:dyDescent="0.25">
      <c r="A302" t="s">
        <v>624</v>
      </c>
      <c r="B302" t="s">
        <v>625</v>
      </c>
      <c r="C302" t="s">
        <v>41</v>
      </c>
      <c r="D302">
        <v>35</v>
      </c>
      <c r="E302" t="s">
        <v>58</v>
      </c>
      <c r="F302" t="s">
        <v>59</v>
      </c>
      <c r="G302" t="s">
        <v>34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18</v>
      </c>
      <c r="M302">
        <f ca="1">IF(Table1[[#This Row],[Exit]]="",DATEDIF(Table1[[#This Row],[Hire]],TODAY(),"Y"),DATEDIF(Table1[[#This Row],[Hire]],Table1[[#This Row],[Exit]],"Y"))</f>
        <v>0</v>
      </c>
      <c r="N302">
        <f>FLOOR(Table1[[#This Row],[Age]],10)</f>
        <v>30</v>
      </c>
      <c r="O302" t="str">
        <f>IF(Table1[[#This Row],[Age]]&lt;30,"20-29",IF(Table1[[#This Row],[Age]]&lt;40,"30-39",IF(Table1[[#This Row],[Age]]&lt;50,"40-49",IF(Table1[[#This Row],[Age]]&lt;60,"50-59","60+"))))</f>
        <v>30-39</v>
      </c>
    </row>
    <row r="303" spans="1:15" x14ac:dyDescent="0.25">
      <c r="A303" t="s">
        <v>626</v>
      </c>
      <c r="B303" t="s">
        <v>627</v>
      </c>
      <c r="C303" t="s">
        <v>14</v>
      </c>
      <c r="D303">
        <v>29</v>
      </c>
      <c r="E303" t="s">
        <v>52</v>
      </c>
      <c r="F303" t="s">
        <v>16</v>
      </c>
      <c r="G303" t="s">
        <v>23</v>
      </c>
      <c r="H303" s="1">
        <v>45245</v>
      </c>
      <c r="J303">
        <v>610000</v>
      </c>
      <c r="K303">
        <v>0</v>
      </c>
      <c r="L303" t="s">
        <v>24</v>
      </c>
      <c r="M303">
        <f ca="1">IF(Table1[[#This Row],[Exit]]="",DATEDIF(Table1[[#This Row],[Hire]],TODAY(),"Y"),DATEDIF(Table1[[#This Row],[Hire]],Table1[[#This Row],[Exit]],"Y"))</f>
        <v>2</v>
      </c>
      <c r="N303">
        <f>FLOOR(Table1[[#This Row],[Age]],10)</f>
        <v>20</v>
      </c>
      <c r="O303" t="str">
        <f>IF(Table1[[#This Row],[Age]]&lt;30,"20-29",IF(Table1[[#This Row],[Age]]&lt;40,"30-39",IF(Table1[[#This Row],[Age]]&lt;50,"40-49",IF(Table1[[#This Row],[Age]]&lt;60,"50-59","60+"))))</f>
        <v>20-29</v>
      </c>
    </row>
    <row r="304" spans="1:15" x14ac:dyDescent="0.25">
      <c r="A304" t="s">
        <v>628</v>
      </c>
      <c r="B304" t="s">
        <v>629</v>
      </c>
      <c r="C304" t="s">
        <v>41</v>
      </c>
      <c r="D304">
        <v>35</v>
      </c>
      <c r="E304" t="s">
        <v>52</v>
      </c>
      <c r="F304" t="s">
        <v>16</v>
      </c>
      <c r="G304" t="s">
        <v>34</v>
      </c>
      <c r="H304" s="1">
        <v>43851</v>
      </c>
      <c r="J304">
        <v>612000</v>
      </c>
      <c r="K304">
        <v>0</v>
      </c>
      <c r="L304" t="s">
        <v>24</v>
      </c>
      <c r="M304">
        <f ca="1">IF(Table1[[#This Row],[Exit]]="",DATEDIF(Table1[[#This Row],[Hire]],TODAY(),"Y"),DATEDIF(Table1[[#This Row],[Hire]],Table1[[#This Row],[Exit]],"Y"))</f>
        <v>6</v>
      </c>
      <c r="N304">
        <f>FLOOR(Table1[[#This Row],[Age]],10)</f>
        <v>30</v>
      </c>
      <c r="O304" t="str">
        <f>IF(Table1[[#This Row],[Age]]&lt;30,"20-29",IF(Table1[[#This Row],[Age]]&lt;40,"30-39",IF(Table1[[#This Row],[Age]]&lt;50,"40-49",IF(Table1[[#This Row],[Age]]&lt;60,"50-59","60+"))))</f>
        <v>30-39</v>
      </c>
    </row>
    <row r="305" spans="1:15" x14ac:dyDescent="0.25">
      <c r="A305" t="s">
        <v>630</v>
      </c>
      <c r="B305" t="s">
        <v>631</v>
      </c>
      <c r="C305" t="s">
        <v>14</v>
      </c>
      <c r="D305">
        <v>27</v>
      </c>
      <c r="E305" t="s">
        <v>66</v>
      </c>
      <c r="F305" t="s">
        <v>16</v>
      </c>
      <c r="G305" t="s">
        <v>17</v>
      </c>
      <c r="H305" s="1">
        <v>45206</v>
      </c>
      <c r="J305">
        <v>614000</v>
      </c>
      <c r="K305">
        <v>0</v>
      </c>
      <c r="L305" t="s">
        <v>24</v>
      </c>
      <c r="M305">
        <f ca="1">IF(Table1[[#This Row],[Exit]]="",DATEDIF(Table1[[#This Row],[Hire]],TODAY(),"Y"),DATEDIF(Table1[[#This Row],[Hire]],Table1[[#This Row],[Exit]],"Y"))</f>
        <v>2</v>
      </c>
      <c r="N305">
        <f>FLOOR(Table1[[#This Row],[Age]],10)</f>
        <v>20</v>
      </c>
      <c r="O305" t="str">
        <f>IF(Table1[[#This Row],[Age]]&lt;30,"20-29",IF(Table1[[#This Row],[Age]]&lt;40,"30-39",IF(Table1[[#This Row],[Age]]&lt;50,"40-49",IF(Table1[[#This Row],[Age]]&lt;60,"50-59","60+"))))</f>
        <v>20-29</v>
      </c>
    </row>
    <row r="306" spans="1:15" x14ac:dyDescent="0.25">
      <c r="A306" t="s">
        <v>632</v>
      </c>
      <c r="B306" t="s">
        <v>633</v>
      </c>
      <c r="C306" t="s">
        <v>14</v>
      </c>
      <c r="D306">
        <v>26</v>
      </c>
      <c r="E306" t="s">
        <v>58</v>
      </c>
      <c r="F306" t="s">
        <v>59</v>
      </c>
      <c r="G306" t="s">
        <v>23</v>
      </c>
      <c r="H306" s="1">
        <v>45401</v>
      </c>
      <c r="J306">
        <v>616000</v>
      </c>
      <c r="K306">
        <v>0.2</v>
      </c>
      <c r="L306" t="s">
        <v>24</v>
      </c>
      <c r="M306">
        <f ca="1">IF(Table1[[#This Row],[Exit]]="",DATEDIF(Table1[[#This Row],[Hire]],TODAY(),"Y"),DATEDIF(Table1[[#This Row],[Hire]],Table1[[#This Row],[Exit]],"Y"))</f>
        <v>1</v>
      </c>
      <c r="N306">
        <f>FLOOR(Table1[[#This Row],[Age]],10)</f>
        <v>20</v>
      </c>
      <c r="O306" t="str">
        <f>IF(Table1[[#This Row],[Age]]&lt;30,"20-29",IF(Table1[[#This Row],[Age]]&lt;40,"30-39",IF(Table1[[#This Row],[Age]]&lt;50,"40-49",IF(Table1[[#This Row],[Age]]&lt;60,"50-59","60+"))))</f>
        <v>20-29</v>
      </c>
    </row>
    <row r="307" spans="1:15" x14ac:dyDescent="0.25">
      <c r="A307" t="s">
        <v>634</v>
      </c>
      <c r="B307" t="s">
        <v>635</v>
      </c>
      <c r="C307" t="s">
        <v>21</v>
      </c>
      <c r="D307">
        <v>31</v>
      </c>
      <c r="E307" t="s">
        <v>66</v>
      </c>
      <c r="F307" t="s">
        <v>16</v>
      </c>
      <c r="G307" t="s">
        <v>34</v>
      </c>
      <c r="H307" s="1">
        <v>44083</v>
      </c>
      <c r="J307">
        <v>618000</v>
      </c>
      <c r="K307">
        <v>0.28999999999999998</v>
      </c>
      <c r="L307" t="s">
        <v>24</v>
      </c>
      <c r="M307">
        <f ca="1">IF(Table1[[#This Row],[Exit]]="",DATEDIF(Table1[[#This Row],[Hire]],TODAY(),"Y"),DATEDIF(Table1[[#This Row],[Hire]],Table1[[#This Row],[Exit]],"Y"))</f>
        <v>5</v>
      </c>
      <c r="N307">
        <f>FLOOR(Table1[[#This Row],[Age]],10)</f>
        <v>30</v>
      </c>
      <c r="O307" t="str">
        <f>IF(Table1[[#This Row],[Age]]&lt;30,"20-29",IF(Table1[[#This Row],[Age]]&lt;40,"30-39",IF(Table1[[#This Row],[Age]]&lt;50,"40-49",IF(Table1[[#This Row],[Age]]&lt;60,"50-59","60+"))))</f>
        <v>30-39</v>
      </c>
    </row>
    <row r="308" spans="1:15" x14ac:dyDescent="0.25">
      <c r="A308" t="s">
        <v>636</v>
      </c>
      <c r="B308" t="s">
        <v>637</v>
      </c>
      <c r="C308" t="s">
        <v>21</v>
      </c>
      <c r="D308">
        <v>31</v>
      </c>
      <c r="E308" t="s">
        <v>66</v>
      </c>
      <c r="F308" t="s">
        <v>16</v>
      </c>
      <c r="G308" t="s">
        <v>53</v>
      </c>
      <c r="H308" s="1">
        <v>45233</v>
      </c>
      <c r="J308">
        <v>620000</v>
      </c>
      <c r="K308">
        <v>0</v>
      </c>
      <c r="L308" t="s">
        <v>24</v>
      </c>
      <c r="M308">
        <f ca="1">IF(Table1[[#This Row],[Exit]]="",DATEDIF(Table1[[#This Row],[Hire]],TODAY(),"Y"),DATEDIF(Table1[[#This Row],[Hire]],Table1[[#This Row],[Exit]],"Y"))</f>
        <v>2</v>
      </c>
      <c r="N308">
        <f>FLOOR(Table1[[#This Row],[Age]],10)</f>
        <v>30</v>
      </c>
      <c r="O308" t="str">
        <f>IF(Table1[[#This Row],[Age]]&lt;30,"20-29",IF(Table1[[#This Row],[Age]]&lt;40,"30-39",IF(Table1[[#This Row],[Age]]&lt;50,"40-49",IF(Table1[[#This Row],[Age]]&lt;60,"50-59","60+"))))</f>
        <v>30-39</v>
      </c>
    </row>
    <row r="309" spans="1:15" x14ac:dyDescent="0.25">
      <c r="A309" t="s">
        <v>638</v>
      </c>
      <c r="B309" t="s">
        <v>639</v>
      </c>
      <c r="C309" t="s">
        <v>21</v>
      </c>
      <c r="D309">
        <v>36</v>
      </c>
      <c r="E309" t="s">
        <v>58</v>
      </c>
      <c r="F309" t="s">
        <v>59</v>
      </c>
      <c r="G309" t="s">
        <v>53</v>
      </c>
      <c r="H309" s="1">
        <v>45412</v>
      </c>
      <c r="J309">
        <v>622000</v>
      </c>
      <c r="K309">
        <v>0</v>
      </c>
      <c r="L309" t="s">
        <v>24</v>
      </c>
      <c r="M309">
        <f ca="1">IF(Table1[[#This Row],[Exit]]="",DATEDIF(Table1[[#This Row],[Hire]],TODAY(),"Y"),DATEDIF(Table1[[#This Row],[Hire]],Table1[[#This Row],[Exit]],"Y"))</f>
        <v>1</v>
      </c>
      <c r="N309">
        <f>FLOOR(Table1[[#This Row],[Age]],10)</f>
        <v>30</v>
      </c>
      <c r="O309" t="str">
        <f>IF(Table1[[#This Row],[Age]]&lt;30,"20-29",IF(Table1[[#This Row],[Age]]&lt;40,"30-39",IF(Table1[[#This Row],[Age]]&lt;50,"40-49",IF(Table1[[#This Row],[Age]]&lt;60,"50-59","60+"))))</f>
        <v>30-39</v>
      </c>
    </row>
    <row r="310" spans="1:15" x14ac:dyDescent="0.25">
      <c r="A310" t="s">
        <v>640</v>
      </c>
      <c r="B310" t="s">
        <v>641</v>
      </c>
      <c r="C310" t="s">
        <v>21</v>
      </c>
      <c r="D310">
        <v>45</v>
      </c>
      <c r="E310" t="s">
        <v>15</v>
      </c>
      <c r="F310" t="s">
        <v>16</v>
      </c>
      <c r="G310" t="s">
        <v>53</v>
      </c>
      <c r="H310" s="1">
        <v>43887</v>
      </c>
      <c r="J310">
        <v>624000</v>
      </c>
      <c r="K310">
        <v>0</v>
      </c>
      <c r="L310" t="s">
        <v>24</v>
      </c>
      <c r="M310">
        <f ca="1">IF(Table1[[#This Row],[Exit]]="",DATEDIF(Table1[[#This Row],[Hire]],TODAY(),"Y"),DATEDIF(Table1[[#This Row],[Hire]],Table1[[#This Row],[Exit]],"Y"))</f>
        <v>5</v>
      </c>
      <c r="N310">
        <f>FLOOR(Table1[[#This Row],[Age]],10)</f>
        <v>40</v>
      </c>
      <c r="O310" t="str">
        <f>IF(Table1[[#This Row],[Age]]&lt;30,"20-29",IF(Table1[[#This Row],[Age]]&lt;40,"30-39",IF(Table1[[#This Row],[Age]]&lt;50,"40-49",IF(Table1[[#This Row],[Age]]&lt;60,"50-59","60+"))))</f>
        <v>40-49</v>
      </c>
    </row>
    <row r="311" spans="1:15" x14ac:dyDescent="0.25">
      <c r="A311" t="s">
        <v>642</v>
      </c>
      <c r="B311" t="s">
        <v>643</v>
      </c>
      <c r="C311" t="s">
        <v>21</v>
      </c>
      <c r="D311">
        <v>37</v>
      </c>
      <c r="E311" t="s">
        <v>22</v>
      </c>
      <c r="F311" t="s">
        <v>16</v>
      </c>
      <c r="G311" t="s">
        <v>53</v>
      </c>
      <c r="H311" s="1">
        <v>44815</v>
      </c>
      <c r="J311">
        <v>626000</v>
      </c>
      <c r="K311">
        <v>0.22</v>
      </c>
      <c r="L311" t="s">
        <v>24</v>
      </c>
      <c r="M311">
        <f ca="1">IF(Table1[[#This Row],[Exit]]="",DATEDIF(Table1[[#This Row],[Hire]],TODAY(),"Y"),DATEDIF(Table1[[#This Row],[Hire]],Table1[[#This Row],[Exit]],"Y"))</f>
        <v>3</v>
      </c>
      <c r="N311">
        <f>FLOOR(Table1[[#This Row],[Age]],10)</f>
        <v>30</v>
      </c>
      <c r="O311" t="str">
        <f>IF(Table1[[#This Row],[Age]]&lt;30,"20-29",IF(Table1[[#This Row],[Age]]&lt;40,"30-39",IF(Table1[[#This Row],[Age]]&lt;50,"40-49",IF(Table1[[#This Row],[Age]]&lt;60,"50-59","60+"))))</f>
        <v>30-39</v>
      </c>
    </row>
    <row r="312" spans="1:15" x14ac:dyDescent="0.25">
      <c r="A312" t="s">
        <v>54</v>
      </c>
      <c r="B312" t="s">
        <v>644</v>
      </c>
      <c r="C312" t="s">
        <v>14</v>
      </c>
      <c r="D312">
        <v>38</v>
      </c>
      <c r="E312" t="s">
        <v>81</v>
      </c>
      <c r="F312" t="s">
        <v>43</v>
      </c>
      <c r="G312" t="s">
        <v>53</v>
      </c>
      <c r="H312" s="1">
        <v>45430</v>
      </c>
      <c r="J312">
        <v>628000</v>
      </c>
      <c r="K312">
        <v>7.0000000000000007E-2</v>
      </c>
      <c r="L312" t="s">
        <v>24</v>
      </c>
      <c r="M312">
        <f ca="1">IF(Table1[[#This Row],[Exit]]="",DATEDIF(Table1[[#This Row],[Hire]],TODAY(),"Y"),DATEDIF(Table1[[#This Row],[Hire]],Table1[[#This Row],[Exit]],"Y"))</f>
        <v>1</v>
      </c>
      <c r="N312">
        <f>FLOOR(Table1[[#This Row],[Age]],10)</f>
        <v>30</v>
      </c>
      <c r="O312" t="str">
        <f>IF(Table1[[#This Row],[Age]]&lt;30,"20-29",IF(Table1[[#This Row],[Age]]&lt;40,"30-39",IF(Table1[[#This Row],[Age]]&lt;50,"40-49",IF(Table1[[#This Row],[Age]]&lt;60,"50-59","60+"))))</f>
        <v>30-39</v>
      </c>
    </row>
    <row r="313" spans="1:15" x14ac:dyDescent="0.25">
      <c r="A313" t="s">
        <v>645</v>
      </c>
      <c r="B313" t="s">
        <v>646</v>
      </c>
      <c r="C313" t="s">
        <v>41</v>
      </c>
      <c r="D313">
        <v>45</v>
      </c>
      <c r="E313" t="s">
        <v>52</v>
      </c>
      <c r="F313" t="s">
        <v>16</v>
      </c>
      <c r="G313" t="s">
        <v>17</v>
      </c>
      <c r="H313" s="1">
        <v>44509</v>
      </c>
      <c r="J313">
        <v>630000</v>
      </c>
      <c r="K313">
        <v>0</v>
      </c>
      <c r="L313" t="s">
        <v>24</v>
      </c>
      <c r="M313">
        <f ca="1">IF(Table1[[#This Row],[Exit]]="",DATEDIF(Table1[[#This Row],[Hire]],TODAY(),"Y"),DATEDIF(Table1[[#This Row],[Hire]],Table1[[#This Row],[Exit]],"Y"))</f>
        <v>4</v>
      </c>
      <c r="N313">
        <f>FLOOR(Table1[[#This Row],[Age]],10)</f>
        <v>40</v>
      </c>
      <c r="O313" t="str">
        <f>IF(Table1[[#This Row],[Age]]&lt;30,"20-29",IF(Table1[[#This Row],[Age]]&lt;40,"30-39",IF(Table1[[#This Row],[Age]]&lt;50,"40-49",IF(Table1[[#This Row],[Age]]&lt;60,"50-59","60+"))))</f>
        <v>40-49</v>
      </c>
    </row>
    <row r="314" spans="1:15" x14ac:dyDescent="0.25">
      <c r="A314" t="s">
        <v>647</v>
      </c>
      <c r="B314" t="s">
        <v>648</v>
      </c>
      <c r="C314" t="s">
        <v>14</v>
      </c>
      <c r="D314">
        <v>51</v>
      </c>
      <c r="E314" t="s">
        <v>66</v>
      </c>
      <c r="F314" t="s">
        <v>16</v>
      </c>
      <c r="G314" t="s">
        <v>23</v>
      </c>
      <c r="H314" s="1">
        <v>43963</v>
      </c>
      <c r="J314">
        <v>632000</v>
      </c>
      <c r="K314">
        <v>0</v>
      </c>
      <c r="L314" t="s">
        <v>24</v>
      </c>
      <c r="M314">
        <f ca="1">IF(Table1[[#This Row],[Exit]]="",DATEDIF(Table1[[#This Row],[Hire]],TODAY(),"Y"),DATEDIF(Table1[[#This Row],[Hire]],Table1[[#This Row],[Exit]],"Y"))</f>
        <v>5</v>
      </c>
      <c r="N314">
        <f>FLOOR(Table1[[#This Row],[Age]],10)</f>
        <v>50</v>
      </c>
      <c r="O314" t="str">
        <f>IF(Table1[[#This Row],[Age]]&lt;30,"20-29",IF(Table1[[#This Row],[Age]]&lt;40,"30-39",IF(Table1[[#This Row],[Age]]&lt;50,"40-49",IF(Table1[[#This Row],[Age]]&lt;60,"50-59","60+"))))</f>
        <v>50-59</v>
      </c>
    </row>
    <row r="315" spans="1:15" x14ac:dyDescent="0.25">
      <c r="A315" t="s">
        <v>649</v>
      </c>
      <c r="B315" t="s">
        <v>650</v>
      </c>
      <c r="C315" t="s">
        <v>14</v>
      </c>
      <c r="D315">
        <v>56</v>
      </c>
      <c r="E315" t="s">
        <v>31</v>
      </c>
      <c r="F315" t="s">
        <v>16</v>
      </c>
      <c r="G315" t="s">
        <v>53</v>
      </c>
      <c r="H315" s="1">
        <v>44815</v>
      </c>
      <c r="J315">
        <v>634000</v>
      </c>
      <c r="K315">
        <v>0</v>
      </c>
      <c r="L315" t="s">
        <v>24</v>
      </c>
      <c r="M315">
        <f ca="1">IF(Table1[[#This Row],[Exit]]="",DATEDIF(Table1[[#This Row],[Hire]],TODAY(),"Y"),DATEDIF(Table1[[#This Row],[Hire]],Table1[[#This Row],[Exit]],"Y"))</f>
        <v>3</v>
      </c>
      <c r="N315">
        <f>FLOOR(Table1[[#This Row],[Age]],10)</f>
        <v>50</v>
      </c>
      <c r="O315" t="str">
        <f>IF(Table1[[#This Row],[Age]]&lt;30,"20-29",IF(Table1[[#This Row],[Age]]&lt;40,"30-39",IF(Table1[[#This Row],[Age]]&lt;50,"40-49",IF(Table1[[#This Row],[Age]]&lt;60,"50-59","60+"))))</f>
        <v>50-59</v>
      </c>
    </row>
    <row r="316" spans="1:15" x14ac:dyDescent="0.25">
      <c r="A316" t="s">
        <v>651</v>
      </c>
      <c r="B316" t="s">
        <v>652</v>
      </c>
      <c r="C316" t="s">
        <v>14</v>
      </c>
      <c r="D316">
        <v>53</v>
      </c>
      <c r="E316" t="s">
        <v>81</v>
      </c>
      <c r="F316" t="s">
        <v>49</v>
      </c>
      <c r="G316" t="s">
        <v>34</v>
      </c>
      <c r="H316" s="1">
        <v>44857</v>
      </c>
      <c r="J316">
        <v>636000</v>
      </c>
      <c r="K316">
        <v>0</v>
      </c>
      <c r="L316" t="s">
        <v>24</v>
      </c>
      <c r="M316">
        <f ca="1">IF(Table1[[#This Row],[Exit]]="",DATEDIF(Table1[[#This Row],[Hire]],TODAY(),"Y"),DATEDIF(Table1[[#This Row],[Hire]],Table1[[#This Row],[Exit]],"Y"))</f>
        <v>3</v>
      </c>
      <c r="N316">
        <f>FLOOR(Table1[[#This Row],[Age]],10)</f>
        <v>50</v>
      </c>
      <c r="O316" t="str">
        <f>IF(Table1[[#This Row],[Age]]&lt;30,"20-29",IF(Table1[[#This Row],[Age]]&lt;40,"30-39",IF(Table1[[#This Row],[Age]]&lt;50,"40-49",IF(Table1[[#This Row],[Age]]&lt;60,"50-59","60+"))))</f>
        <v>50-59</v>
      </c>
    </row>
    <row r="317" spans="1:15" x14ac:dyDescent="0.25">
      <c r="A317" t="s">
        <v>653</v>
      </c>
      <c r="B317" t="s">
        <v>654</v>
      </c>
      <c r="C317" t="s">
        <v>14</v>
      </c>
      <c r="D317">
        <v>47</v>
      </c>
      <c r="E317" t="s">
        <v>92</v>
      </c>
      <c r="F317" t="s">
        <v>59</v>
      </c>
      <c r="G317" t="s">
        <v>53</v>
      </c>
      <c r="H317" s="1">
        <v>45527</v>
      </c>
      <c r="J317">
        <v>638000</v>
      </c>
      <c r="K317">
        <v>0.05</v>
      </c>
      <c r="L317" t="s">
        <v>24</v>
      </c>
      <c r="M317">
        <f ca="1">IF(Table1[[#This Row],[Exit]]="",DATEDIF(Table1[[#This Row],[Hire]],TODAY(),"Y"),DATEDIF(Table1[[#This Row],[Hire]],Table1[[#This Row],[Exit]],"Y"))</f>
        <v>1</v>
      </c>
      <c r="N317">
        <f>FLOOR(Table1[[#This Row],[Age]],10)</f>
        <v>40</v>
      </c>
      <c r="O317" t="str">
        <f>IF(Table1[[#This Row],[Age]]&lt;30,"20-29",IF(Table1[[#This Row],[Age]]&lt;40,"30-39",IF(Table1[[#This Row],[Age]]&lt;50,"40-49",IF(Table1[[#This Row],[Age]]&lt;60,"50-59","60+"))))</f>
        <v>40-49</v>
      </c>
    </row>
    <row r="318" spans="1:15" x14ac:dyDescent="0.25">
      <c r="A318" t="s">
        <v>655</v>
      </c>
      <c r="B318" t="s">
        <v>656</v>
      </c>
      <c r="C318" t="s">
        <v>21</v>
      </c>
      <c r="D318">
        <v>36</v>
      </c>
      <c r="E318" t="s">
        <v>81</v>
      </c>
      <c r="F318" t="s">
        <v>46</v>
      </c>
      <c r="G318" t="s">
        <v>23</v>
      </c>
      <c r="H318" s="1">
        <v>45237</v>
      </c>
      <c r="J318">
        <v>640000</v>
      </c>
      <c r="K318">
        <v>0.34</v>
      </c>
      <c r="L318" t="s">
        <v>24</v>
      </c>
      <c r="M318">
        <f ca="1">IF(Table1[[#This Row],[Exit]]="",DATEDIF(Table1[[#This Row],[Hire]],TODAY(),"Y"),DATEDIF(Table1[[#This Row],[Hire]],Table1[[#This Row],[Exit]],"Y"))</f>
        <v>2</v>
      </c>
      <c r="N318">
        <f>FLOOR(Table1[[#This Row],[Age]],10)</f>
        <v>30</v>
      </c>
      <c r="O318" t="str">
        <f>IF(Table1[[#This Row],[Age]]&lt;30,"20-29",IF(Table1[[#This Row],[Age]]&lt;40,"30-39",IF(Table1[[#This Row],[Age]]&lt;50,"40-49",IF(Table1[[#This Row],[Age]]&lt;60,"50-59","60+"))))</f>
        <v>30-39</v>
      </c>
    </row>
    <row r="319" spans="1:15" x14ac:dyDescent="0.25">
      <c r="A319" t="s">
        <v>446</v>
      </c>
      <c r="B319" t="s">
        <v>657</v>
      </c>
      <c r="C319" t="s">
        <v>21</v>
      </c>
      <c r="D319">
        <v>41</v>
      </c>
      <c r="E319" t="s">
        <v>22</v>
      </c>
      <c r="F319" t="s">
        <v>16</v>
      </c>
      <c r="G319" t="s">
        <v>34</v>
      </c>
      <c r="H319" s="1">
        <v>45206</v>
      </c>
      <c r="J319">
        <v>642000</v>
      </c>
      <c r="K319">
        <v>0.35</v>
      </c>
      <c r="L319" t="s">
        <v>24</v>
      </c>
      <c r="M319">
        <f ca="1">IF(Table1[[#This Row],[Exit]]="",DATEDIF(Table1[[#This Row],[Hire]],TODAY(),"Y"),DATEDIF(Table1[[#This Row],[Hire]],Table1[[#This Row],[Exit]],"Y"))</f>
        <v>2</v>
      </c>
      <c r="N319">
        <f>FLOOR(Table1[[#This Row],[Age]],10)</f>
        <v>40</v>
      </c>
      <c r="O319" t="str">
        <f>IF(Table1[[#This Row],[Age]]&lt;30,"20-29",IF(Table1[[#This Row],[Age]]&lt;40,"30-39",IF(Table1[[#This Row],[Age]]&lt;50,"40-49",IF(Table1[[#This Row],[Age]]&lt;60,"50-59","60+"))))</f>
        <v>40-49</v>
      </c>
    </row>
    <row r="320" spans="1:15" x14ac:dyDescent="0.25">
      <c r="A320" t="s">
        <v>658</v>
      </c>
      <c r="B320" t="s">
        <v>659</v>
      </c>
      <c r="C320" t="s">
        <v>21</v>
      </c>
      <c r="D320">
        <v>30</v>
      </c>
      <c r="E320" t="s">
        <v>92</v>
      </c>
      <c r="F320" t="s">
        <v>59</v>
      </c>
      <c r="G320" t="s">
        <v>34</v>
      </c>
      <c r="H320" s="1">
        <v>44677</v>
      </c>
      <c r="I320" s="1">
        <v>45412</v>
      </c>
      <c r="J320">
        <v>644000</v>
      </c>
      <c r="K320">
        <v>0</v>
      </c>
      <c r="L320" t="s">
        <v>18</v>
      </c>
      <c r="M320">
        <f ca="1">IF(Table1[[#This Row],[Exit]]="",DATEDIF(Table1[[#This Row],[Hire]],TODAY(),"Y"),DATEDIF(Table1[[#This Row],[Hire]],Table1[[#This Row],[Exit]],"Y"))</f>
        <v>2</v>
      </c>
      <c r="N320">
        <f>FLOOR(Table1[[#This Row],[Age]],10)</f>
        <v>30</v>
      </c>
      <c r="O320" t="str">
        <f>IF(Table1[[#This Row],[Age]]&lt;30,"20-29",IF(Table1[[#This Row],[Age]]&lt;40,"30-39",IF(Table1[[#This Row],[Age]]&lt;50,"40-49",IF(Table1[[#This Row],[Age]]&lt;60,"50-59","60+"))))</f>
        <v>30-39</v>
      </c>
    </row>
    <row r="321" spans="1:15" x14ac:dyDescent="0.25">
      <c r="A321" t="s">
        <v>660</v>
      </c>
      <c r="B321" t="s">
        <v>661</v>
      </c>
      <c r="C321" t="s">
        <v>21</v>
      </c>
      <c r="D321">
        <v>31</v>
      </c>
      <c r="E321" t="s">
        <v>31</v>
      </c>
      <c r="F321" t="s">
        <v>16</v>
      </c>
      <c r="G321" t="s">
        <v>17</v>
      </c>
      <c r="H321" s="1">
        <v>43889</v>
      </c>
      <c r="J321">
        <v>646000</v>
      </c>
      <c r="K321">
        <v>0</v>
      </c>
      <c r="L321" t="s">
        <v>24</v>
      </c>
      <c r="M321">
        <f ca="1">IF(Table1[[#This Row],[Exit]]="",DATEDIF(Table1[[#This Row],[Hire]],TODAY(),"Y"),DATEDIF(Table1[[#This Row],[Hire]],Table1[[#This Row],[Exit]],"Y"))</f>
        <v>5</v>
      </c>
      <c r="N321">
        <f>FLOOR(Table1[[#This Row],[Age]],10)</f>
        <v>30</v>
      </c>
      <c r="O321" t="str">
        <f>IF(Table1[[#This Row],[Age]]&lt;30,"20-29",IF(Table1[[#This Row],[Age]]&lt;40,"30-39",IF(Table1[[#This Row],[Age]]&lt;50,"40-49",IF(Table1[[#This Row],[Age]]&lt;60,"50-59","60+"))))</f>
        <v>30-39</v>
      </c>
    </row>
    <row r="322" spans="1:15" x14ac:dyDescent="0.25">
      <c r="A322" t="s">
        <v>662</v>
      </c>
      <c r="B322" t="s">
        <v>663</v>
      </c>
      <c r="C322" t="s">
        <v>14</v>
      </c>
      <c r="D322">
        <v>38</v>
      </c>
      <c r="E322" t="s">
        <v>15</v>
      </c>
      <c r="F322" t="s">
        <v>16</v>
      </c>
      <c r="G322" t="s">
        <v>17</v>
      </c>
      <c r="H322" s="1">
        <v>44116</v>
      </c>
      <c r="J322">
        <v>648000</v>
      </c>
      <c r="K322">
        <v>0</v>
      </c>
      <c r="L322" t="s">
        <v>24</v>
      </c>
      <c r="M322">
        <f ca="1">IF(Table1[[#This Row],[Exit]]="",DATEDIF(Table1[[#This Row],[Hire]],TODAY(),"Y"),DATEDIF(Table1[[#This Row],[Hire]],Table1[[#This Row],[Exit]],"Y"))</f>
        <v>5</v>
      </c>
      <c r="N322">
        <f>FLOOR(Table1[[#This Row],[Age]],10)</f>
        <v>30</v>
      </c>
      <c r="O322" t="str">
        <f>IF(Table1[[#This Row],[Age]]&lt;30,"20-29",IF(Table1[[#This Row],[Age]]&lt;40,"30-39",IF(Table1[[#This Row],[Age]]&lt;50,"40-49",IF(Table1[[#This Row],[Age]]&lt;60,"50-59","60+"))))</f>
        <v>30-39</v>
      </c>
    </row>
    <row r="323" spans="1:15" x14ac:dyDescent="0.25">
      <c r="A323" t="s">
        <v>664</v>
      </c>
      <c r="B323" t="s">
        <v>665</v>
      </c>
      <c r="C323" t="s">
        <v>21</v>
      </c>
      <c r="D323">
        <v>31</v>
      </c>
      <c r="E323" t="s">
        <v>22</v>
      </c>
      <c r="F323" t="s">
        <v>16</v>
      </c>
      <c r="G323" t="s">
        <v>23</v>
      </c>
      <c r="H323" s="1">
        <v>44588</v>
      </c>
      <c r="J323">
        <v>650000</v>
      </c>
      <c r="K323">
        <v>0.28000000000000003</v>
      </c>
      <c r="L323" t="s">
        <v>24</v>
      </c>
      <c r="M323">
        <f ca="1">IF(Table1[[#This Row],[Exit]]="",DATEDIF(Table1[[#This Row],[Hire]],TODAY(),"Y"),DATEDIF(Table1[[#This Row],[Hire]],Table1[[#This Row],[Exit]],"Y"))</f>
        <v>4</v>
      </c>
      <c r="N323">
        <f>FLOOR(Table1[[#This Row],[Age]],10)</f>
        <v>30</v>
      </c>
      <c r="O323" t="str">
        <f>IF(Table1[[#This Row],[Age]]&lt;30,"20-29",IF(Table1[[#This Row],[Age]]&lt;40,"30-39",IF(Table1[[#This Row],[Age]]&lt;50,"40-49",IF(Table1[[#This Row],[Age]]&lt;60,"50-59","60+"))))</f>
        <v>30-39</v>
      </c>
    </row>
    <row r="324" spans="1:15" x14ac:dyDescent="0.25">
      <c r="A324" t="s">
        <v>666</v>
      </c>
      <c r="B324" t="s">
        <v>667</v>
      </c>
      <c r="C324" t="s">
        <v>14</v>
      </c>
      <c r="D324">
        <v>39</v>
      </c>
      <c r="E324" t="s">
        <v>27</v>
      </c>
      <c r="F324" t="s">
        <v>28</v>
      </c>
      <c r="G324" t="s">
        <v>17</v>
      </c>
      <c r="H324" s="1">
        <v>45337</v>
      </c>
      <c r="J324">
        <v>652000</v>
      </c>
      <c r="K324">
        <v>0.19</v>
      </c>
      <c r="L324" t="s">
        <v>24</v>
      </c>
      <c r="M324">
        <f ca="1">IF(Table1[[#This Row],[Exit]]="",DATEDIF(Table1[[#This Row],[Hire]],TODAY(),"Y"),DATEDIF(Table1[[#This Row],[Hire]],Table1[[#This Row],[Exit]],"Y"))</f>
        <v>1</v>
      </c>
      <c r="N324">
        <f>FLOOR(Table1[[#This Row],[Age]],10)</f>
        <v>30</v>
      </c>
      <c r="O324" t="str">
        <f>IF(Table1[[#This Row],[Age]]&lt;30,"20-29",IF(Table1[[#This Row],[Age]]&lt;40,"30-39",IF(Table1[[#This Row],[Age]]&lt;50,"40-49",IF(Table1[[#This Row],[Age]]&lt;60,"50-59","60+"))))</f>
        <v>30-39</v>
      </c>
    </row>
    <row r="325" spans="1:15" x14ac:dyDescent="0.25">
      <c r="A325" t="s">
        <v>668</v>
      </c>
      <c r="B325" t="s">
        <v>669</v>
      </c>
      <c r="C325" t="s">
        <v>14</v>
      </c>
      <c r="D325">
        <v>31</v>
      </c>
      <c r="E325" t="s">
        <v>31</v>
      </c>
      <c r="F325" t="s">
        <v>16</v>
      </c>
      <c r="G325" t="s">
        <v>23</v>
      </c>
      <c r="H325" s="1">
        <v>43851</v>
      </c>
      <c r="I325" s="1">
        <v>45440</v>
      </c>
      <c r="J325">
        <v>654000</v>
      </c>
      <c r="K325">
        <v>0</v>
      </c>
      <c r="L325" t="s">
        <v>18</v>
      </c>
      <c r="M325">
        <f ca="1">IF(Table1[[#This Row],[Exit]]="",DATEDIF(Table1[[#This Row],[Hire]],TODAY(),"Y"),DATEDIF(Table1[[#This Row],[Hire]],Table1[[#This Row],[Exit]],"Y"))</f>
        <v>4</v>
      </c>
      <c r="N325">
        <f>FLOOR(Table1[[#This Row],[Age]],10)</f>
        <v>30</v>
      </c>
      <c r="O325" t="str">
        <f>IF(Table1[[#This Row],[Age]]&lt;30,"20-29",IF(Table1[[#This Row],[Age]]&lt;40,"30-39",IF(Table1[[#This Row],[Age]]&lt;50,"40-49",IF(Table1[[#This Row],[Age]]&lt;60,"50-59","60+"))))</f>
        <v>30-39</v>
      </c>
    </row>
    <row r="326" spans="1:15" x14ac:dyDescent="0.25">
      <c r="A326" t="s">
        <v>670</v>
      </c>
      <c r="B326" t="s">
        <v>671</v>
      </c>
      <c r="C326" t="s">
        <v>14</v>
      </c>
      <c r="D326">
        <v>45</v>
      </c>
      <c r="E326" t="s">
        <v>27</v>
      </c>
      <c r="F326" t="s">
        <v>28</v>
      </c>
      <c r="G326" t="s">
        <v>34</v>
      </c>
      <c r="H326" s="1">
        <v>44183</v>
      </c>
      <c r="J326">
        <v>656000</v>
      </c>
      <c r="K326">
        <v>0.28999999999999998</v>
      </c>
      <c r="L326" t="s">
        <v>24</v>
      </c>
      <c r="M326">
        <f ca="1">IF(Table1[[#This Row],[Exit]]="",DATEDIF(Table1[[#This Row],[Hire]],TODAY(),"Y"),DATEDIF(Table1[[#This Row],[Hire]],Table1[[#This Row],[Exit]],"Y"))</f>
        <v>5</v>
      </c>
      <c r="N326">
        <f>FLOOR(Table1[[#This Row],[Age]],10)</f>
        <v>40</v>
      </c>
      <c r="O326" t="str">
        <f>IF(Table1[[#This Row],[Age]]&lt;30,"20-29",IF(Table1[[#This Row],[Age]]&lt;40,"30-39",IF(Table1[[#This Row],[Age]]&lt;50,"40-49",IF(Table1[[#This Row],[Age]]&lt;60,"50-59","60+"))))</f>
        <v>40-49</v>
      </c>
    </row>
    <row r="327" spans="1:15" x14ac:dyDescent="0.25">
      <c r="A327" t="s">
        <v>672</v>
      </c>
      <c r="B327" t="s">
        <v>673</v>
      </c>
      <c r="C327" t="s">
        <v>14</v>
      </c>
      <c r="D327">
        <v>50</v>
      </c>
      <c r="E327" t="s">
        <v>15</v>
      </c>
      <c r="F327" t="s">
        <v>16</v>
      </c>
      <c r="G327" t="s">
        <v>23</v>
      </c>
      <c r="H327" s="1">
        <v>43837</v>
      </c>
      <c r="J327">
        <v>658000</v>
      </c>
      <c r="K327">
        <v>0</v>
      </c>
      <c r="L327" t="s">
        <v>24</v>
      </c>
      <c r="M327">
        <f ca="1">IF(Table1[[#This Row],[Exit]]="",DATEDIF(Table1[[#This Row],[Hire]],TODAY(),"Y"),DATEDIF(Table1[[#This Row],[Hire]],Table1[[#This Row],[Exit]],"Y"))</f>
        <v>6</v>
      </c>
      <c r="N327">
        <f>FLOOR(Table1[[#This Row],[Age]],10)</f>
        <v>50</v>
      </c>
      <c r="O327" t="str">
        <f>IF(Table1[[#This Row],[Age]]&lt;30,"20-29",IF(Table1[[#This Row],[Age]]&lt;40,"30-39",IF(Table1[[#This Row],[Age]]&lt;50,"40-49",IF(Table1[[#This Row],[Age]]&lt;60,"50-59","60+"))))</f>
        <v>50-59</v>
      </c>
    </row>
    <row r="328" spans="1:15" x14ac:dyDescent="0.25">
      <c r="A328" t="s">
        <v>674</v>
      </c>
      <c r="B328" t="s">
        <v>675</v>
      </c>
      <c r="C328" t="s">
        <v>21</v>
      </c>
      <c r="D328">
        <v>36</v>
      </c>
      <c r="E328" t="s">
        <v>15</v>
      </c>
      <c r="F328" t="s">
        <v>16</v>
      </c>
      <c r="G328" t="s">
        <v>34</v>
      </c>
      <c r="H328" s="1">
        <v>45206</v>
      </c>
      <c r="J328">
        <v>660000</v>
      </c>
      <c r="K328">
        <v>0</v>
      </c>
      <c r="L328" t="s">
        <v>24</v>
      </c>
      <c r="M328">
        <f ca="1">IF(Table1[[#This Row],[Exit]]="",DATEDIF(Table1[[#This Row],[Hire]],TODAY(),"Y"),DATEDIF(Table1[[#This Row],[Hire]],Table1[[#This Row],[Exit]],"Y"))</f>
        <v>2</v>
      </c>
      <c r="N328">
        <f>FLOOR(Table1[[#This Row],[Age]],10)</f>
        <v>30</v>
      </c>
      <c r="O328" t="str">
        <f>IF(Table1[[#This Row],[Age]]&lt;30,"20-29",IF(Table1[[#This Row],[Age]]&lt;40,"30-39",IF(Table1[[#This Row],[Age]]&lt;50,"40-49",IF(Table1[[#This Row],[Age]]&lt;60,"50-59","60+"))))</f>
        <v>30-39</v>
      </c>
    </row>
    <row r="329" spans="1:15" x14ac:dyDescent="0.25">
      <c r="A329" t="s">
        <v>676</v>
      </c>
      <c r="B329" t="s">
        <v>677</v>
      </c>
      <c r="C329" t="s">
        <v>14</v>
      </c>
      <c r="D329">
        <v>45</v>
      </c>
      <c r="E329" t="s">
        <v>42</v>
      </c>
      <c r="F329" t="s">
        <v>43</v>
      </c>
      <c r="G329" t="s">
        <v>34</v>
      </c>
      <c r="H329" s="1">
        <v>44487</v>
      </c>
      <c r="J329">
        <v>662000</v>
      </c>
      <c r="K329">
        <v>0</v>
      </c>
      <c r="L329" t="s">
        <v>24</v>
      </c>
      <c r="M329">
        <f ca="1">IF(Table1[[#This Row],[Exit]]="",DATEDIF(Table1[[#This Row],[Hire]],TODAY(),"Y"),DATEDIF(Table1[[#This Row],[Hire]],Table1[[#This Row],[Exit]],"Y"))</f>
        <v>4</v>
      </c>
      <c r="N329">
        <f>FLOOR(Table1[[#This Row],[Age]],10)</f>
        <v>40</v>
      </c>
      <c r="O329" t="str">
        <f>IF(Table1[[#This Row],[Age]]&lt;30,"20-29",IF(Table1[[#This Row],[Age]]&lt;40,"30-39",IF(Table1[[#This Row],[Age]]&lt;50,"40-49",IF(Table1[[#This Row],[Age]]&lt;60,"50-59","60+"))))</f>
        <v>40-49</v>
      </c>
    </row>
    <row r="330" spans="1:15" x14ac:dyDescent="0.25">
      <c r="A330" t="s">
        <v>678</v>
      </c>
      <c r="B330" t="s">
        <v>679</v>
      </c>
      <c r="C330" t="s">
        <v>21</v>
      </c>
      <c r="D330">
        <v>31</v>
      </c>
      <c r="E330" t="s">
        <v>42</v>
      </c>
      <c r="F330" t="s">
        <v>46</v>
      </c>
      <c r="G330" t="s">
        <v>23</v>
      </c>
      <c r="H330" s="1">
        <v>44791</v>
      </c>
      <c r="J330">
        <v>664000</v>
      </c>
      <c r="K330">
        <v>0.11</v>
      </c>
      <c r="L330" t="s">
        <v>24</v>
      </c>
      <c r="M330">
        <f ca="1">IF(Table1[[#This Row],[Exit]]="",DATEDIF(Table1[[#This Row],[Hire]],TODAY(),"Y"),DATEDIF(Table1[[#This Row],[Hire]],Table1[[#This Row],[Exit]],"Y"))</f>
        <v>3</v>
      </c>
      <c r="N330">
        <f>FLOOR(Table1[[#This Row],[Age]],10)</f>
        <v>30</v>
      </c>
      <c r="O330" t="str">
        <f>IF(Table1[[#This Row],[Age]]&lt;30,"20-29",IF(Table1[[#This Row],[Age]]&lt;40,"30-39",IF(Table1[[#This Row],[Age]]&lt;50,"40-49",IF(Table1[[#This Row],[Age]]&lt;60,"50-59","60+"))))</f>
        <v>30-39</v>
      </c>
    </row>
    <row r="331" spans="1:15" x14ac:dyDescent="0.25">
      <c r="A331" t="s">
        <v>680</v>
      </c>
      <c r="B331" t="s">
        <v>681</v>
      </c>
      <c r="C331" t="s">
        <v>14</v>
      </c>
      <c r="D331">
        <v>41</v>
      </c>
      <c r="E331" t="s">
        <v>42</v>
      </c>
      <c r="F331" t="s">
        <v>49</v>
      </c>
      <c r="G331" t="s">
        <v>17</v>
      </c>
      <c r="H331" s="1">
        <v>45440</v>
      </c>
      <c r="J331">
        <v>666000</v>
      </c>
      <c r="K331">
        <v>0</v>
      </c>
      <c r="L331" t="s">
        <v>24</v>
      </c>
      <c r="M331">
        <f ca="1">IF(Table1[[#This Row],[Exit]]="",DATEDIF(Table1[[#This Row],[Hire]],TODAY(),"Y"),DATEDIF(Table1[[#This Row],[Hire]],Table1[[#This Row],[Exit]],"Y"))</f>
        <v>1</v>
      </c>
      <c r="N331">
        <f>FLOOR(Table1[[#This Row],[Age]],10)</f>
        <v>40</v>
      </c>
      <c r="O331" t="str">
        <f>IF(Table1[[#This Row],[Age]]&lt;30,"20-29",IF(Table1[[#This Row],[Age]]&lt;40,"30-39",IF(Table1[[#This Row],[Age]]&lt;50,"40-49",IF(Table1[[#This Row],[Age]]&lt;60,"50-59","60+"))))</f>
        <v>40-49</v>
      </c>
    </row>
    <row r="332" spans="1:15" x14ac:dyDescent="0.25">
      <c r="A332" t="s">
        <v>682</v>
      </c>
      <c r="B332" t="s">
        <v>683</v>
      </c>
      <c r="C332" t="s">
        <v>21</v>
      </c>
      <c r="D332">
        <v>47</v>
      </c>
      <c r="E332" t="s">
        <v>52</v>
      </c>
      <c r="F332" t="s">
        <v>16</v>
      </c>
      <c r="G332" t="s">
        <v>53</v>
      </c>
      <c r="H332" s="1">
        <v>44811</v>
      </c>
      <c r="J332">
        <v>668000</v>
      </c>
      <c r="K332">
        <v>0</v>
      </c>
      <c r="L332" t="s">
        <v>24</v>
      </c>
      <c r="M332">
        <f ca="1">IF(Table1[[#This Row],[Exit]]="",DATEDIF(Table1[[#This Row],[Hire]],TODAY(),"Y"),DATEDIF(Table1[[#This Row],[Hire]],Table1[[#This Row],[Exit]],"Y"))</f>
        <v>3</v>
      </c>
      <c r="N332">
        <f>FLOOR(Table1[[#This Row],[Age]],10)</f>
        <v>40</v>
      </c>
      <c r="O332" t="str">
        <f>IF(Table1[[#This Row],[Age]]&lt;30,"20-29",IF(Table1[[#This Row],[Age]]&lt;40,"30-39",IF(Table1[[#This Row],[Age]]&lt;50,"40-49",IF(Table1[[#This Row],[Age]]&lt;60,"50-59","60+"))))</f>
        <v>40-49</v>
      </c>
    </row>
    <row r="333" spans="1:15" x14ac:dyDescent="0.25">
      <c r="A333" t="s">
        <v>684</v>
      </c>
      <c r="B333" t="s">
        <v>685</v>
      </c>
      <c r="C333" t="s">
        <v>21</v>
      </c>
      <c r="D333">
        <v>38</v>
      </c>
      <c r="E333" t="s">
        <v>42</v>
      </c>
      <c r="F333" t="s">
        <v>46</v>
      </c>
      <c r="G333" t="s">
        <v>53</v>
      </c>
      <c r="H333" s="1">
        <v>45294</v>
      </c>
      <c r="J333">
        <v>670000</v>
      </c>
      <c r="K333">
        <v>7.0000000000000007E-2</v>
      </c>
      <c r="L333" t="s">
        <v>24</v>
      </c>
      <c r="M333">
        <f ca="1">IF(Table1[[#This Row],[Exit]]="",DATEDIF(Table1[[#This Row],[Hire]],TODAY(),"Y"),DATEDIF(Table1[[#This Row],[Hire]],Table1[[#This Row],[Exit]],"Y"))</f>
        <v>2</v>
      </c>
      <c r="N333">
        <f>FLOOR(Table1[[#This Row],[Age]],10)</f>
        <v>30</v>
      </c>
      <c r="O333" t="str">
        <f>IF(Table1[[#This Row],[Age]]&lt;30,"20-29",IF(Table1[[#This Row],[Age]]&lt;40,"30-39",IF(Table1[[#This Row],[Age]]&lt;50,"40-49",IF(Table1[[#This Row],[Age]]&lt;60,"50-59","60+"))))</f>
        <v>30-39</v>
      </c>
    </row>
    <row r="334" spans="1:15" x14ac:dyDescent="0.25">
      <c r="A334" t="s">
        <v>351</v>
      </c>
      <c r="B334" t="s">
        <v>686</v>
      </c>
      <c r="C334" t="s">
        <v>41</v>
      </c>
      <c r="D334">
        <v>40</v>
      </c>
      <c r="E334" t="s">
        <v>58</v>
      </c>
      <c r="F334" t="s">
        <v>59</v>
      </c>
      <c r="G334" t="s">
        <v>34</v>
      </c>
      <c r="H334" s="1">
        <v>45074</v>
      </c>
      <c r="J334">
        <v>672000</v>
      </c>
      <c r="K334">
        <v>0.36</v>
      </c>
      <c r="L334" t="s">
        <v>24</v>
      </c>
      <c r="M334">
        <f ca="1">IF(Table1[[#This Row],[Exit]]="",DATEDIF(Table1[[#This Row],[Hire]],TODAY(),"Y"),DATEDIF(Table1[[#This Row],[Hire]],Table1[[#This Row],[Exit]],"Y"))</f>
        <v>2</v>
      </c>
      <c r="N334">
        <f>FLOOR(Table1[[#This Row],[Age]],10)</f>
        <v>40</v>
      </c>
      <c r="O334" t="str">
        <f>IF(Table1[[#This Row],[Age]]&lt;30,"20-29",IF(Table1[[#This Row],[Age]]&lt;40,"30-39",IF(Table1[[#This Row],[Age]]&lt;50,"40-49",IF(Table1[[#This Row],[Age]]&lt;60,"50-59","60+"))))</f>
        <v>40-49</v>
      </c>
    </row>
    <row r="335" spans="1:15" x14ac:dyDescent="0.25">
      <c r="A335" t="s">
        <v>687</v>
      </c>
      <c r="B335" t="s">
        <v>688</v>
      </c>
      <c r="C335" t="s">
        <v>14</v>
      </c>
      <c r="D335">
        <v>45</v>
      </c>
      <c r="E335" t="s">
        <v>52</v>
      </c>
      <c r="F335" t="s">
        <v>16</v>
      </c>
      <c r="G335" t="s">
        <v>23</v>
      </c>
      <c r="H335" s="1">
        <v>45245</v>
      </c>
      <c r="J335">
        <v>674000</v>
      </c>
      <c r="K335">
        <v>0</v>
      </c>
      <c r="L335" t="s">
        <v>24</v>
      </c>
      <c r="M335">
        <f ca="1">IF(Table1[[#This Row],[Exit]]="",DATEDIF(Table1[[#This Row],[Hire]],TODAY(),"Y"),DATEDIF(Table1[[#This Row],[Hire]],Table1[[#This Row],[Exit]],"Y"))</f>
        <v>2</v>
      </c>
      <c r="N335">
        <f>FLOOR(Table1[[#This Row],[Age]],10)</f>
        <v>40</v>
      </c>
      <c r="O335" t="str">
        <f>IF(Table1[[#This Row],[Age]]&lt;30,"20-29",IF(Table1[[#This Row],[Age]]&lt;40,"30-39",IF(Table1[[#This Row],[Age]]&lt;50,"40-49",IF(Table1[[#This Row],[Age]]&lt;60,"50-59","60+"))))</f>
        <v>40-49</v>
      </c>
    </row>
    <row r="336" spans="1:15" x14ac:dyDescent="0.25">
      <c r="A336" t="s">
        <v>689</v>
      </c>
      <c r="B336" t="s">
        <v>690</v>
      </c>
      <c r="C336" t="s">
        <v>14</v>
      </c>
      <c r="D336">
        <v>26</v>
      </c>
      <c r="E336" t="s">
        <v>52</v>
      </c>
      <c r="F336" t="s">
        <v>16</v>
      </c>
      <c r="G336" t="s">
        <v>34</v>
      </c>
      <c r="H336" s="1">
        <v>43851</v>
      </c>
      <c r="J336">
        <v>676000</v>
      </c>
      <c r="K336">
        <v>0.32</v>
      </c>
      <c r="L336" t="s">
        <v>24</v>
      </c>
      <c r="M336">
        <f ca="1">IF(Table1[[#This Row],[Exit]]="",DATEDIF(Table1[[#This Row],[Hire]],TODAY(),"Y"),DATEDIF(Table1[[#This Row],[Hire]],Table1[[#This Row],[Exit]],"Y"))</f>
        <v>6</v>
      </c>
      <c r="N336">
        <f>FLOOR(Table1[[#This Row],[Age]],10)</f>
        <v>20</v>
      </c>
      <c r="O336" t="str">
        <f>IF(Table1[[#This Row],[Age]]&lt;30,"20-29",IF(Table1[[#This Row],[Age]]&lt;40,"30-39",IF(Table1[[#This Row],[Age]]&lt;50,"40-49",IF(Table1[[#This Row],[Age]]&lt;60,"50-59","60+"))))</f>
        <v>20-29</v>
      </c>
    </row>
    <row r="337" spans="1:15" x14ac:dyDescent="0.25">
      <c r="A337" t="s">
        <v>691</v>
      </c>
      <c r="B337" t="s">
        <v>692</v>
      </c>
      <c r="C337" t="s">
        <v>14</v>
      </c>
      <c r="D337">
        <v>35</v>
      </c>
      <c r="E337" t="s">
        <v>66</v>
      </c>
      <c r="F337" t="s">
        <v>16</v>
      </c>
      <c r="G337" t="s">
        <v>17</v>
      </c>
      <c r="H337" s="1">
        <v>45206</v>
      </c>
      <c r="J337">
        <v>678000</v>
      </c>
      <c r="K337">
        <v>0</v>
      </c>
      <c r="L337" t="s">
        <v>24</v>
      </c>
      <c r="M337">
        <f ca="1">IF(Table1[[#This Row],[Exit]]="",DATEDIF(Table1[[#This Row],[Hire]],TODAY(),"Y"),DATEDIF(Table1[[#This Row],[Hire]],Table1[[#This Row],[Exit]],"Y"))</f>
        <v>2</v>
      </c>
      <c r="N337">
        <f>FLOOR(Table1[[#This Row],[Age]],10)</f>
        <v>30</v>
      </c>
      <c r="O337" t="str">
        <f>IF(Table1[[#This Row],[Age]]&lt;30,"20-29",IF(Table1[[#This Row],[Age]]&lt;40,"30-39",IF(Table1[[#This Row],[Age]]&lt;50,"40-49",IF(Table1[[#This Row],[Age]]&lt;60,"50-59","60+"))))</f>
        <v>30-39</v>
      </c>
    </row>
    <row r="338" spans="1:15" x14ac:dyDescent="0.25">
      <c r="A338" t="s">
        <v>693</v>
      </c>
      <c r="B338" t="s">
        <v>694</v>
      </c>
      <c r="C338" t="s">
        <v>14</v>
      </c>
      <c r="D338">
        <v>29</v>
      </c>
      <c r="E338" t="s">
        <v>58</v>
      </c>
      <c r="F338" t="s">
        <v>59</v>
      </c>
      <c r="G338" t="s">
        <v>23</v>
      </c>
      <c r="H338" s="1">
        <v>45401</v>
      </c>
      <c r="J338">
        <v>680000</v>
      </c>
      <c r="K338">
        <v>0.2</v>
      </c>
      <c r="L338" t="s">
        <v>24</v>
      </c>
      <c r="M338">
        <f ca="1">IF(Table1[[#This Row],[Exit]]="",DATEDIF(Table1[[#This Row],[Hire]],TODAY(),"Y"),DATEDIF(Table1[[#This Row],[Hire]],Table1[[#This Row],[Exit]],"Y"))</f>
        <v>1</v>
      </c>
      <c r="N338">
        <f>FLOOR(Table1[[#This Row],[Age]],10)</f>
        <v>20</v>
      </c>
      <c r="O338" t="str">
        <f>IF(Table1[[#This Row],[Age]]&lt;30,"20-29",IF(Table1[[#This Row],[Age]]&lt;40,"30-39",IF(Table1[[#This Row],[Age]]&lt;50,"40-49",IF(Table1[[#This Row],[Age]]&lt;60,"50-59","60+"))))</f>
        <v>20-29</v>
      </c>
    </row>
    <row r="339" spans="1:15" x14ac:dyDescent="0.25">
      <c r="A339" t="s">
        <v>695</v>
      </c>
      <c r="B339" t="s">
        <v>696</v>
      </c>
      <c r="C339" t="s">
        <v>21</v>
      </c>
      <c r="D339">
        <v>35</v>
      </c>
      <c r="E339" t="s">
        <v>66</v>
      </c>
      <c r="F339" t="s">
        <v>16</v>
      </c>
      <c r="G339" t="s">
        <v>34</v>
      </c>
      <c r="H339" s="1">
        <v>44083</v>
      </c>
      <c r="J339">
        <v>682000</v>
      </c>
      <c r="K339">
        <v>0.05</v>
      </c>
      <c r="L339" t="s">
        <v>24</v>
      </c>
      <c r="M339">
        <f ca="1">IF(Table1[[#This Row],[Exit]]="",DATEDIF(Table1[[#This Row],[Hire]],TODAY(),"Y"),DATEDIF(Table1[[#This Row],[Hire]],Table1[[#This Row],[Exit]],"Y"))</f>
        <v>5</v>
      </c>
      <c r="N339">
        <f>FLOOR(Table1[[#This Row],[Age]],10)</f>
        <v>30</v>
      </c>
      <c r="O339" t="str">
        <f>IF(Table1[[#This Row],[Age]]&lt;30,"20-29",IF(Table1[[#This Row],[Age]]&lt;40,"30-39",IF(Table1[[#This Row],[Age]]&lt;50,"40-49",IF(Table1[[#This Row],[Age]]&lt;60,"50-59","60+"))))</f>
        <v>30-39</v>
      </c>
    </row>
    <row r="340" spans="1:15" x14ac:dyDescent="0.25">
      <c r="A340" t="s">
        <v>697</v>
      </c>
      <c r="B340" t="s">
        <v>698</v>
      </c>
      <c r="C340" t="s">
        <v>14</v>
      </c>
      <c r="D340">
        <v>27</v>
      </c>
      <c r="E340" t="s">
        <v>66</v>
      </c>
      <c r="F340" t="s">
        <v>16</v>
      </c>
      <c r="G340" t="s">
        <v>53</v>
      </c>
      <c r="H340" s="1">
        <v>45233</v>
      </c>
      <c r="J340">
        <v>684000</v>
      </c>
      <c r="K340">
        <v>0.22</v>
      </c>
      <c r="L340" t="s">
        <v>24</v>
      </c>
      <c r="M340">
        <f ca="1">IF(Table1[[#This Row],[Exit]]="",DATEDIF(Table1[[#This Row],[Hire]],TODAY(),"Y"),DATEDIF(Table1[[#This Row],[Hire]],Table1[[#This Row],[Exit]],"Y"))</f>
        <v>2</v>
      </c>
      <c r="N340">
        <f>FLOOR(Table1[[#This Row],[Age]],10)</f>
        <v>20</v>
      </c>
      <c r="O340" t="str">
        <f>IF(Table1[[#This Row],[Age]]&lt;30,"20-29",IF(Table1[[#This Row],[Age]]&lt;40,"30-39",IF(Table1[[#This Row],[Age]]&lt;50,"40-49",IF(Table1[[#This Row],[Age]]&lt;60,"50-59","60+"))))</f>
        <v>20-29</v>
      </c>
    </row>
    <row r="341" spans="1:15" x14ac:dyDescent="0.25">
      <c r="A341" t="s">
        <v>699</v>
      </c>
      <c r="B341" t="s">
        <v>700</v>
      </c>
      <c r="C341" t="s">
        <v>14</v>
      </c>
      <c r="D341">
        <v>26</v>
      </c>
      <c r="E341" t="s">
        <v>58</v>
      </c>
      <c r="F341" t="s">
        <v>59</v>
      </c>
      <c r="G341" t="s">
        <v>53</v>
      </c>
      <c r="H341" s="1">
        <v>45412</v>
      </c>
      <c r="J341">
        <v>686000</v>
      </c>
      <c r="K341">
        <v>0</v>
      </c>
      <c r="L341" t="s">
        <v>24</v>
      </c>
      <c r="M341">
        <f ca="1">IF(Table1[[#This Row],[Exit]]="",DATEDIF(Table1[[#This Row],[Hire]],TODAY(),"Y"),DATEDIF(Table1[[#This Row],[Hire]],Table1[[#This Row],[Exit]],"Y"))</f>
        <v>1</v>
      </c>
      <c r="N341">
        <f>FLOOR(Table1[[#This Row],[Age]],10)</f>
        <v>20</v>
      </c>
      <c r="O341" t="str">
        <f>IF(Table1[[#This Row],[Age]]&lt;30,"20-29",IF(Table1[[#This Row],[Age]]&lt;40,"30-39",IF(Table1[[#This Row],[Age]]&lt;50,"40-49",IF(Table1[[#This Row],[Age]]&lt;60,"50-59","60+"))))</f>
        <v>20-29</v>
      </c>
    </row>
    <row r="342" spans="1:15" x14ac:dyDescent="0.25">
      <c r="A342" t="s">
        <v>701</v>
      </c>
      <c r="B342" t="s">
        <v>702</v>
      </c>
      <c r="C342" t="s">
        <v>14</v>
      </c>
      <c r="D342">
        <v>27</v>
      </c>
      <c r="E342" t="s">
        <v>15</v>
      </c>
      <c r="F342" t="s">
        <v>16</v>
      </c>
      <c r="G342" t="s">
        <v>53</v>
      </c>
      <c r="H342" s="1">
        <v>43887</v>
      </c>
      <c r="J342">
        <v>688000</v>
      </c>
      <c r="K342">
        <v>0</v>
      </c>
      <c r="L342" t="s">
        <v>24</v>
      </c>
      <c r="M342">
        <f ca="1">IF(Table1[[#This Row],[Exit]]="",DATEDIF(Table1[[#This Row],[Hire]],TODAY(),"Y"),DATEDIF(Table1[[#This Row],[Hire]],Table1[[#This Row],[Exit]],"Y"))</f>
        <v>5</v>
      </c>
      <c r="N342">
        <f>FLOOR(Table1[[#This Row],[Age]],10)</f>
        <v>20</v>
      </c>
      <c r="O342" t="str">
        <f>IF(Table1[[#This Row],[Age]]&lt;30,"20-29",IF(Table1[[#This Row],[Age]]&lt;40,"30-39",IF(Table1[[#This Row],[Age]]&lt;50,"40-49",IF(Table1[[#This Row],[Age]]&lt;60,"50-59","60+"))))</f>
        <v>20-29</v>
      </c>
    </row>
    <row r="343" spans="1:15" x14ac:dyDescent="0.25">
      <c r="A343" t="s">
        <v>703</v>
      </c>
      <c r="B343" t="s">
        <v>704</v>
      </c>
      <c r="C343" t="s">
        <v>14</v>
      </c>
      <c r="D343">
        <v>30</v>
      </c>
      <c r="E343" t="s">
        <v>22</v>
      </c>
      <c r="F343" t="s">
        <v>16</v>
      </c>
      <c r="G343" t="s">
        <v>53</v>
      </c>
      <c r="H343" s="1">
        <v>44815</v>
      </c>
      <c r="J343">
        <v>690000</v>
      </c>
      <c r="K343">
        <v>0</v>
      </c>
      <c r="L343" t="s">
        <v>24</v>
      </c>
      <c r="M343">
        <f ca="1">IF(Table1[[#This Row],[Exit]]="",DATEDIF(Table1[[#This Row],[Hire]],TODAY(),"Y"),DATEDIF(Table1[[#This Row],[Hire]],Table1[[#This Row],[Exit]],"Y"))</f>
        <v>3</v>
      </c>
      <c r="N343">
        <f>FLOOR(Table1[[#This Row],[Age]],10)</f>
        <v>30</v>
      </c>
      <c r="O343" t="str">
        <f>IF(Table1[[#This Row],[Age]]&lt;30,"20-29",IF(Table1[[#This Row],[Age]]&lt;40,"30-39",IF(Table1[[#This Row],[Age]]&lt;50,"40-49",IF(Table1[[#This Row],[Age]]&lt;60,"50-59","60+"))))</f>
        <v>30-39</v>
      </c>
    </row>
    <row r="344" spans="1:15" x14ac:dyDescent="0.25">
      <c r="A344" t="s">
        <v>705</v>
      </c>
      <c r="B344" t="s">
        <v>706</v>
      </c>
      <c r="C344" t="s">
        <v>14</v>
      </c>
      <c r="D344">
        <v>36</v>
      </c>
      <c r="E344" t="s">
        <v>81</v>
      </c>
      <c r="F344" t="s">
        <v>43</v>
      </c>
      <c r="G344" t="s">
        <v>53</v>
      </c>
      <c r="H344" s="1">
        <v>45430</v>
      </c>
      <c r="J344">
        <v>692000</v>
      </c>
      <c r="K344">
        <v>0.12</v>
      </c>
      <c r="L344" t="s">
        <v>24</v>
      </c>
      <c r="M344">
        <f ca="1">IF(Table1[[#This Row],[Exit]]="",DATEDIF(Table1[[#This Row],[Hire]],TODAY(),"Y"),DATEDIF(Table1[[#This Row],[Hire]],Table1[[#This Row],[Exit]],"Y"))</f>
        <v>1</v>
      </c>
      <c r="N344">
        <f>FLOOR(Table1[[#This Row],[Age]],10)</f>
        <v>30</v>
      </c>
      <c r="O344" t="str">
        <f>IF(Table1[[#This Row],[Age]]&lt;30,"20-29",IF(Table1[[#This Row],[Age]]&lt;40,"30-39",IF(Table1[[#This Row],[Age]]&lt;50,"40-49",IF(Table1[[#This Row],[Age]]&lt;60,"50-59","60+"))))</f>
        <v>30-39</v>
      </c>
    </row>
    <row r="345" spans="1:15" x14ac:dyDescent="0.25">
      <c r="A345" t="s">
        <v>707</v>
      </c>
      <c r="B345" t="s">
        <v>708</v>
      </c>
      <c r="C345" t="s">
        <v>41</v>
      </c>
      <c r="D345">
        <v>45</v>
      </c>
      <c r="E345" t="s">
        <v>52</v>
      </c>
      <c r="F345" t="s">
        <v>16</v>
      </c>
      <c r="G345" t="s">
        <v>17</v>
      </c>
      <c r="H345" s="1">
        <v>44509</v>
      </c>
      <c r="J345">
        <v>694000</v>
      </c>
      <c r="K345">
        <v>0</v>
      </c>
      <c r="L345" t="s">
        <v>24</v>
      </c>
      <c r="M345">
        <f ca="1">IF(Table1[[#This Row],[Exit]]="",DATEDIF(Table1[[#This Row],[Hire]],TODAY(),"Y"),DATEDIF(Table1[[#This Row],[Hire]],Table1[[#This Row],[Exit]],"Y"))</f>
        <v>4</v>
      </c>
      <c r="N345">
        <f>FLOOR(Table1[[#This Row],[Age]],10)</f>
        <v>40</v>
      </c>
      <c r="O345" t="str">
        <f>IF(Table1[[#This Row],[Age]]&lt;30,"20-29",IF(Table1[[#This Row],[Age]]&lt;40,"30-39",IF(Table1[[#This Row],[Age]]&lt;50,"40-49",IF(Table1[[#This Row],[Age]]&lt;60,"50-59","60+"))))</f>
        <v>40-49</v>
      </c>
    </row>
    <row r="346" spans="1:15" x14ac:dyDescent="0.25">
      <c r="A346" t="s">
        <v>709</v>
      </c>
      <c r="B346" t="s">
        <v>710</v>
      </c>
      <c r="C346" t="s">
        <v>14</v>
      </c>
      <c r="D346">
        <v>37</v>
      </c>
      <c r="E346" t="s">
        <v>66</v>
      </c>
      <c r="F346" t="s">
        <v>16</v>
      </c>
      <c r="G346" t="s">
        <v>23</v>
      </c>
      <c r="H346" s="1">
        <v>43963</v>
      </c>
      <c r="J346">
        <v>696000</v>
      </c>
      <c r="K346">
        <v>0</v>
      </c>
      <c r="L346" t="s">
        <v>24</v>
      </c>
      <c r="M346">
        <f ca="1">IF(Table1[[#This Row],[Exit]]="",DATEDIF(Table1[[#This Row],[Hire]],TODAY(),"Y"),DATEDIF(Table1[[#This Row],[Hire]],Table1[[#This Row],[Exit]],"Y"))</f>
        <v>5</v>
      </c>
      <c r="N346">
        <f>FLOOR(Table1[[#This Row],[Age]],10)</f>
        <v>30</v>
      </c>
      <c r="O346" t="str">
        <f>IF(Table1[[#This Row],[Age]]&lt;30,"20-29",IF(Table1[[#This Row],[Age]]&lt;40,"30-39",IF(Table1[[#This Row],[Age]]&lt;50,"40-49",IF(Table1[[#This Row],[Age]]&lt;60,"50-59","60+"))))</f>
        <v>30-39</v>
      </c>
    </row>
    <row r="347" spans="1:15" x14ac:dyDescent="0.25">
      <c r="A347" t="s">
        <v>711</v>
      </c>
      <c r="B347" t="s">
        <v>712</v>
      </c>
      <c r="C347" t="s">
        <v>21</v>
      </c>
      <c r="D347">
        <v>38</v>
      </c>
      <c r="E347" t="s">
        <v>31</v>
      </c>
      <c r="F347" t="s">
        <v>16</v>
      </c>
      <c r="G347" t="s">
        <v>53</v>
      </c>
      <c r="H347" s="1">
        <v>44815</v>
      </c>
      <c r="J347">
        <v>698000</v>
      </c>
      <c r="K347">
        <v>0.1</v>
      </c>
      <c r="L347" t="s">
        <v>24</v>
      </c>
      <c r="M347">
        <f ca="1">IF(Table1[[#This Row],[Exit]]="",DATEDIF(Table1[[#This Row],[Hire]],TODAY(),"Y"),DATEDIF(Table1[[#This Row],[Hire]],Table1[[#This Row],[Exit]],"Y"))</f>
        <v>3</v>
      </c>
      <c r="N347">
        <f>FLOOR(Table1[[#This Row],[Age]],10)</f>
        <v>30</v>
      </c>
      <c r="O347" t="str">
        <f>IF(Table1[[#This Row],[Age]]&lt;30,"20-29",IF(Table1[[#This Row],[Age]]&lt;40,"30-39",IF(Table1[[#This Row],[Age]]&lt;50,"40-49",IF(Table1[[#This Row],[Age]]&lt;60,"50-59","60+"))))</f>
        <v>30-39</v>
      </c>
    </row>
    <row r="348" spans="1:15" x14ac:dyDescent="0.25">
      <c r="A348" t="s">
        <v>713</v>
      </c>
      <c r="B348" t="s">
        <v>714</v>
      </c>
      <c r="C348" t="s">
        <v>41</v>
      </c>
      <c r="D348">
        <v>45</v>
      </c>
      <c r="E348" t="s">
        <v>81</v>
      </c>
      <c r="F348" t="s">
        <v>49</v>
      </c>
      <c r="G348" t="s">
        <v>34</v>
      </c>
      <c r="H348" s="1">
        <v>44857</v>
      </c>
      <c r="J348">
        <v>700000</v>
      </c>
      <c r="K348">
        <v>0.32</v>
      </c>
      <c r="L348" t="s">
        <v>24</v>
      </c>
      <c r="M348">
        <f ca="1">IF(Table1[[#This Row],[Exit]]="",DATEDIF(Table1[[#This Row],[Hire]],TODAY(),"Y"),DATEDIF(Table1[[#This Row],[Hire]],Table1[[#This Row],[Exit]],"Y"))</f>
        <v>3</v>
      </c>
      <c r="N348">
        <f>FLOOR(Table1[[#This Row],[Age]],10)</f>
        <v>40</v>
      </c>
      <c r="O348" t="str">
        <f>IF(Table1[[#This Row],[Age]]&lt;30,"20-29",IF(Table1[[#This Row],[Age]]&lt;40,"30-39",IF(Table1[[#This Row],[Age]]&lt;50,"40-49",IF(Table1[[#This Row],[Age]]&lt;60,"50-59","60+"))))</f>
        <v>40-49</v>
      </c>
    </row>
    <row r="349" spans="1:15" x14ac:dyDescent="0.25">
      <c r="A349" t="s">
        <v>715</v>
      </c>
      <c r="B349" t="s">
        <v>716</v>
      </c>
      <c r="C349" t="s">
        <v>14</v>
      </c>
      <c r="D349">
        <v>51</v>
      </c>
      <c r="E349" t="s">
        <v>92</v>
      </c>
      <c r="F349" t="s">
        <v>59</v>
      </c>
      <c r="G349" t="s">
        <v>53</v>
      </c>
      <c r="H349" s="1">
        <v>45527</v>
      </c>
      <c r="J349">
        <v>702000</v>
      </c>
      <c r="K349">
        <v>0.28999999999999998</v>
      </c>
      <c r="L349" t="s">
        <v>24</v>
      </c>
      <c r="M349">
        <f ca="1">IF(Table1[[#This Row],[Exit]]="",DATEDIF(Table1[[#This Row],[Hire]],TODAY(),"Y"),DATEDIF(Table1[[#This Row],[Hire]],Table1[[#This Row],[Exit]],"Y"))</f>
        <v>1</v>
      </c>
      <c r="N349">
        <f>FLOOR(Table1[[#This Row],[Age]],10)</f>
        <v>50</v>
      </c>
      <c r="O349" t="str">
        <f>IF(Table1[[#This Row],[Age]]&lt;30,"20-29",IF(Table1[[#This Row],[Age]]&lt;40,"30-39",IF(Table1[[#This Row],[Age]]&lt;50,"40-49",IF(Table1[[#This Row],[Age]]&lt;60,"50-59","60+"))))</f>
        <v>50-59</v>
      </c>
    </row>
    <row r="350" spans="1:15" x14ac:dyDescent="0.25">
      <c r="A350" t="s">
        <v>717</v>
      </c>
      <c r="B350" t="s">
        <v>718</v>
      </c>
      <c r="C350" t="s">
        <v>14</v>
      </c>
      <c r="D350">
        <v>56</v>
      </c>
      <c r="E350" t="s">
        <v>81</v>
      </c>
      <c r="F350" t="s">
        <v>46</v>
      </c>
      <c r="G350" t="s">
        <v>23</v>
      </c>
      <c r="H350" s="1">
        <v>45237</v>
      </c>
      <c r="J350">
        <v>704000</v>
      </c>
      <c r="K350">
        <v>0</v>
      </c>
      <c r="L350" t="s">
        <v>24</v>
      </c>
      <c r="M350">
        <f ca="1">IF(Table1[[#This Row],[Exit]]="",DATEDIF(Table1[[#This Row],[Hire]],TODAY(),"Y"),DATEDIF(Table1[[#This Row],[Hire]],Table1[[#This Row],[Exit]],"Y"))</f>
        <v>2</v>
      </c>
      <c r="N350">
        <f>FLOOR(Table1[[#This Row],[Age]],10)</f>
        <v>50</v>
      </c>
      <c r="O350" t="str">
        <f>IF(Table1[[#This Row],[Age]]&lt;30,"20-29",IF(Table1[[#This Row],[Age]]&lt;40,"30-39",IF(Table1[[#This Row],[Age]]&lt;50,"40-49",IF(Table1[[#This Row],[Age]]&lt;60,"50-59","60+"))))</f>
        <v>50-59</v>
      </c>
    </row>
    <row r="351" spans="1:15" x14ac:dyDescent="0.25">
      <c r="A351" t="s">
        <v>719</v>
      </c>
      <c r="B351" t="s">
        <v>720</v>
      </c>
      <c r="C351" t="s">
        <v>14</v>
      </c>
      <c r="D351">
        <v>53</v>
      </c>
      <c r="E351" t="s">
        <v>22</v>
      </c>
      <c r="F351" t="s">
        <v>16</v>
      </c>
      <c r="G351" t="s">
        <v>34</v>
      </c>
      <c r="H351" s="1">
        <v>43837</v>
      </c>
      <c r="I351" s="1">
        <v>45332</v>
      </c>
      <c r="J351">
        <v>706000</v>
      </c>
      <c r="K351">
        <v>0</v>
      </c>
      <c r="L351" t="s">
        <v>18</v>
      </c>
      <c r="M351">
        <f ca="1">IF(Table1[[#This Row],[Exit]]="",DATEDIF(Table1[[#This Row],[Hire]],TODAY(),"Y"),DATEDIF(Table1[[#This Row],[Hire]],Table1[[#This Row],[Exit]],"Y"))</f>
        <v>4</v>
      </c>
      <c r="N351">
        <f>FLOOR(Table1[[#This Row],[Age]],10)</f>
        <v>50</v>
      </c>
      <c r="O351" t="str">
        <f>IF(Table1[[#This Row],[Age]]&lt;30,"20-29",IF(Table1[[#This Row],[Age]]&lt;40,"30-39",IF(Table1[[#This Row],[Age]]&lt;50,"40-49",IF(Table1[[#This Row],[Age]]&lt;60,"50-59","60+"))))</f>
        <v>50-59</v>
      </c>
    </row>
    <row r="352" spans="1:15" x14ac:dyDescent="0.25">
      <c r="A352" t="s">
        <v>721</v>
      </c>
      <c r="B352" t="s">
        <v>722</v>
      </c>
      <c r="C352" t="s">
        <v>21</v>
      </c>
      <c r="D352">
        <v>47</v>
      </c>
      <c r="E352" t="s">
        <v>92</v>
      </c>
      <c r="F352" t="s">
        <v>59</v>
      </c>
      <c r="G352" t="s">
        <v>34</v>
      </c>
      <c r="H352" s="1">
        <v>44677</v>
      </c>
      <c r="J352">
        <v>708000</v>
      </c>
      <c r="K352">
        <v>0.09</v>
      </c>
      <c r="L352" t="s">
        <v>24</v>
      </c>
      <c r="M352">
        <f ca="1">IF(Table1[[#This Row],[Exit]]="",DATEDIF(Table1[[#This Row],[Hire]],TODAY(),"Y"),DATEDIF(Table1[[#This Row],[Hire]],Table1[[#This Row],[Exit]],"Y"))</f>
        <v>3</v>
      </c>
      <c r="N352">
        <f>FLOOR(Table1[[#This Row],[Age]],10)</f>
        <v>40</v>
      </c>
      <c r="O352" t="str">
        <f>IF(Table1[[#This Row],[Age]]&lt;30,"20-29",IF(Table1[[#This Row],[Age]]&lt;40,"30-39",IF(Table1[[#This Row],[Age]]&lt;50,"40-49",IF(Table1[[#This Row],[Age]]&lt;60,"50-59","60+"))))</f>
        <v>40-49</v>
      </c>
    </row>
    <row r="353" spans="1:15" x14ac:dyDescent="0.25">
      <c r="A353" t="s">
        <v>723</v>
      </c>
      <c r="B353" t="s">
        <v>724</v>
      </c>
      <c r="C353" t="s">
        <v>21</v>
      </c>
      <c r="D353">
        <v>36</v>
      </c>
      <c r="E353" t="s">
        <v>31</v>
      </c>
      <c r="F353" t="s">
        <v>16</v>
      </c>
      <c r="G353" t="s">
        <v>17</v>
      </c>
      <c r="H353" s="1">
        <v>43889</v>
      </c>
      <c r="J353">
        <v>710000</v>
      </c>
      <c r="K353">
        <v>0</v>
      </c>
      <c r="L353" t="s">
        <v>24</v>
      </c>
      <c r="M353">
        <f ca="1">IF(Table1[[#This Row],[Exit]]="",DATEDIF(Table1[[#This Row],[Hire]],TODAY(),"Y"),DATEDIF(Table1[[#This Row],[Hire]],Table1[[#This Row],[Exit]],"Y"))</f>
        <v>5</v>
      </c>
      <c r="N353">
        <f>FLOOR(Table1[[#This Row],[Age]],10)</f>
        <v>30</v>
      </c>
      <c r="O353" t="str">
        <f>IF(Table1[[#This Row],[Age]]&lt;30,"20-29",IF(Table1[[#This Row],[Age]]&lt;40,"30-39",IF(Table1[[#This Row],[Age]]&lt;50,"40-49",IF(Table1[[#This Row],[Age]]&lt;60,"50-59","60+"))))</f>
        <v>30-39</v>
      </c>
    </row>
    <row r="354" spans="1:15" x14ac:dyDescent="0.25">
      <c r="A354" t="s">
        <v>725</v>
      </c>
      <c r="B354" t="s">
        <v>726</v>
      </c>
      <c r="C354" t="s">
        <v>14</v>
      </c>
      <c r="D354">
        <v>41</v>
      </c>
      <c r="E354" t="s">
        <v>15</v>
      </c>
      <c r="F354" t="s">
        <v>16</v>
      </c>
      <c r="G354" t="s">
        <v>17</v>
      </c>
      <c r="H354" s="1">
        <v>44116</v>
      </c>
      <c r="J354">
        <v>712000</v>
      </c>
      <c r="K354">
        <v>0.13</v>
      </c>
      <c r="L354" t="s">
        <v>24</v>
      </c>
      <c r="M354">
        <f ca="1">IF(Table1[[#This Row],[Exit]]="",DATEDIF(Table1[[#This Row],[Hire]],TODAY(),"Y"),DATEDIF(Table1[[#This Row],[Hire]],Table1[[#This Row],[Exit]],"Y"))</f>
        <v>5</v>
      </c>
      <c r="N354">
        <f>FLOOR(Table1[[#This Row],[Age]],10)</f>
        <v>40</v>
      </c>
      <c r="O354" t="str">
        <f>IF(Table1[[#This Row],[Age]]&lt;30,"20-29",IF(Table1[[#This Row],[Age]]&lt;40,"30-39",IF(Table1[[#This Row],[Age]]&lt;50,"40-49",IF(Table1[[#This Row],[Age]]&lt;60,"50-59","60+"))))</f>
        <v>40-49</v>
      </c>
    </row>
    <row r="355" spans="1:15" x14ac:dyDescent="0.25">
      <c r="A355" t="s">
        <v>727</v>
      </c>
      <c r="B355" t="s">
        <v>728</v>
      </c>
      <c r="C355" t="s">
        <v>14</v>
      </c>
      <c r="D355">
        <v>30</v>
      </c>
      <c r="E355" t="s">
        <v>22</v>
      </c>
      <c r="F355" t="s">
        <v>16</v>
      </c>
      <c r="G355" t="s">
        <v>23</v>
      </c>
      <c r="H355" s="1">
        <v>44588</v>
      </c>
      <c r="J355">
        <v>714000</v>
      </c>
      <c r="K355">
        <v>0</v>
      </c>
      <c r="L355" t="s">
        <v>24</v>
      </c>
      <c r="M355">
        <f ca="1">IF(Table1[[#This Row],[Exit]]="",DATEDIF(Table1[[#This Row],[Hire]],TODAY(),"Y"),DATEDIF(Table1[[#This Row],[Hire]],Table1[[#This Row],[Exit]],"Y"))</f>
        <v>4</v>
      </c>
      <c r="N355">
        <f>FLOOR(Table1[[#This Row],[Age]],10)</f>
        <v>30</v>
      </c>
      <c r="O355" t="str">
        <f>IF(Table1[[#This Row],[Age]]&lt;30,"20-29",IF(Table1[[#This Row],[Age]]&lt;40,"30-39",IF(Table1[[#This Row],[Age]]&lt;50,"40-49",IF(Table1[[#This Row],[Age]]&lt;60,"50-59","60+"))))</f>
        <v>30-39</v>
      </c>
    </row>
    <row r="356" spans="1:15" x14ac:dyDescent="0.25">
      <c r="A356" t="s">
        <v>729</v>
      </c>
      <c r="B356" t="s">
        <v>730</v>
      </c>
      <c r="C356" t="s">
        <v>14</v>
      </c>
      <c r="D356">
        <v>30</v>
      </c>
      <c r="E356" t="s">
        <v>27</v>
      </c>
      <c r="F356" t="s">
        <v>28</v>
      </c>
      <c r="G356" t="s">
        <v>17</v>
      </c>
      <c r="H356" s="1">
        <v>45337</v>
      </c>
      <c r="J356">
        <v>716000</v>
      </c>
      <c r="K356">
        <v>0</v>
      </c>
      <c r="L356" t="s">
        <v>24</v>
      </c>
      <c r="M356">
        <f ca="1">IF(Table1[[#This Row],[Exit]]="",DATEDIF(Table1[[#This Row],[Hire]],TODAY(),"Y"),DATEDIF(Table1[[#This Row],[Hire]],Table1[[#This Row],[Exit]],"Y"))</f>
        <v>1</v>
      </c>
      <c r="N356">
        <f>FLOOR(Table1[[#This Row],[Age]],10)</f>
        <v>30</v>
      </c>
      <c r="O356" t="str">
        <f>IF(Table1[[#This Row],[Age]]&lt;30,"20-29",IF(Table1[[#This Row],[Age]]&lt;40,"30-39",IF(Table1[[#This Row],[Age]]&lt;50,"40-49",IF(Table1[[#This Row],[Age]]&lt;60,"50-59","60+"))))</f>
        <v>30-39</v>
      </c>
    </row>
    <row r="357" spans="1:15" x14ac:dyDescent="0.25">
      <c r="A357" t="s">
        <v>731</v>
      </c>
      <c r="B357" t="s">
        <v>732</v>
      </c>
      <c r="C357" t="s">
        <v>14</v>
      </c>
      <c r="D357">
        <v>38</v>
      </c>
      <c r="E357" t="s">
        <v>31</v>
      </c>
      <c r="F357" t="s">
        <v>16</v>
      </c>
      <c r="G357" t="s">
        <v>23</v>
      </c>
      <c r="H357" s="1">
        <v>45332</v>
      </c>
      <c r="J357">
        <v>718000</v>
      </c>
      <c r="K357">
        <v>0.19</v>
      </c>
      <c r="L357" t="s">
        <v>24</v>
      </c>
      <c r="M357">
        <f ca="1">IF(Table1[[#This Row],[Exit]]="",DATEDIF(Table1[[#This Row],[Hire]],TODAY(),"Y"),DATEDIF(Table1[[#This Row],[Hire]],Table1[[#This Row],[Exit]],"Y"))</f>
        <v>1</v>
      </c>
      <c r="N357">
        <f>FLOOR(Table1[[#This Row],[Age]],10)</f>
        <v>30</v>
      </c>
      <c r="O357" t="str">
        <f>IF(Table1[[#This Row],[Age]]&lt;30,"20-29",IF(Table1[[#This Row],[Age]]&lt;40,"30-39",IF(Table1[[#This Row],[Age]]&lt;50,"40-49",IF(Table1[[#This Row],[Age]]&lt;60,"50-59","60+"))))</f>
        <v>30-39</v>
      </c>
    </row>
    <row r="358" spans="1:15" x14ac:dyDescent="0.25">
      <c r="A358" t="s">
        <v>733</v>
      </c>
      <c r="B358" t="s">
        <v>734</v>
      </c>
      <c r="C358" t="s">
        <v>14</v>
      </c>
      <c r="D358">
        <v>28</v>
      </c>
      <c r="E358" t="s">
        <v>27</v>
      </c>
      <c r="F358" t="s">
        <v>28</v>
      </c>
      <c r="G358" t="s">
        <v>34</v>
      </c>
      <c r="H358" s="1">
        <v>44183</v>
      </c>
      <c r="J358">
        <v>720000</v>
      </c>
      <c r="K358">
        <v>7.0000000000000007E-2</v>
      </c>
      <c r="L358" t="s">
        <v>24</v>
      </c>
      <c r="M358">
        <f ca="1">IF(Table1[[#This Row],[Exit]]="",DATEDIF(Table1[[#This Row],[Hire]],TODAY(),"Y"),DATEDIF(Table1[[#This Row],[Hire]],Table1[[#This Row],[Exit]],"Y"))</f>
        <v>5</v>
      </c>
      <c r="N358">
        <f>FLOOR(Table1[[#This Row],[Age]],10)</f>
        <v>20</v>
      </c>
      <c r="O358" t="str">
        <f>IF(Table1[[#This Row],[Age]]&lt;30,"20-29",IF(Table1[[#This Row],[Age]]&lt;40,"30-39",IF(Table1[[#This Row],[Age]]&lt;50,"40-49",IF(Table1[[#This Row],[Age]]&lt;60,"50-59","60+"))))</f>
        <v>20-29</v>
      </c>
    </row>
    <row r="359" spans="1:15" x14ac:dyDescent="0.25">
      <c r="A359" t="s">
        <v>735</v>
      </c>
      <c r="B359" t="s">
        <v>736</v>
      </c>
      <c r="C359" t="s">
        <v>355</v>
      </c>
      <c r="D359">
        <v>39</v>
      </c>
      <c r="E359" t="s">
        <v>15</v>
      </c>
      <c r="F359" t="s">
        <v>16</v>
      </c>
      <c r="G359" t="s">
        <v>23</v>
      </c>
      <c r="H359" s="1">
        <v>43837</v>
      </c>
      <c r="J359">
        <v>722000</v>
      </c>
      <c r="K359">
        <v>7.0000000000000007E-2</v>
      </c>
      <c r="L359" t="s">
        <v>24</v>
      </c>
      <c r="M359">
        <f ca="1">IF(Table1[[#This Row],[Exit]]="",DATEDIF(Table1[[#This Row],[Hire]],TODAY(),"Y"),DATEDIF(Table1[[#This Row],[Hire]],Table1[[#This Row],[Exit]],"Y"))</f>
        <v>6</v>
      </c>
      <c r="N359">
        <f>FLOOR(Table1[[#This Row],[Age]],10)</f>
        <v>30</v>
      </c>
      <c r="O359" t="str">
        <f>IF(Table1[[#This Row],[Age]]&lt;30,"20-29",IF(Table1[[#This Row],[Age]]&lt;40,"30-39",IF(Table1[[#This Row],[Age]]&lt;50,"40-49",IF(Table1[[#This Row],[Age]]&lt;60,"50-59","60+"))))</f>
        <v>30-39</v>
      </c>
    </row>
    <row r="360" spans="1:15" x14ac:dyDescent="0.25">
      <c r="A360" t="s">
        <v>737</v>
      </c>
      <c r="B360" t="s">
        <v>738</v>
      </c>
      <c r="C360" t="s">
        <v>14</v>
      </c>
      <c r="D360">
        <v>31</v>
      </c>
      <c r="E360" t="s">
        <v>15</v>
      </c>
      <c r="F360" t="s">
        <v>16</v>
      </c>
      <c r="G360" t="s">
        <v>34</v>
      </c>
      <c r="H360" s="1">
        <v>45206</v>
      </c>
      <c r="J360">
        <v>724000</v>
      </c>
      <c r="K360">
        <v>0.1</v>
      </c>
      <c r="L360" t="s">
        <v>24</v>
      </c>
      <c r="M360">
        <f ca="1">IF(Table1[[#This Row],[Exit]]="",DATEDIF(Table1[[#This Row],[Hire]],TODAY(),"Y"),DATEDIF(Table1[[#This Row],[Hire]],Table1[[#This Row],[Exit]],"Y"))</f>
        <v>2</v>
      </c>
      <c r="N360">
        <f>FLOOR(Table1[[#This Row],[Age]],10)</f>
        <v>30</v>
      </c>
      <c r="O360" t="str">
        <f>IF(Table1[[#This Row],[Age]]&lt;30,"20-29",IF(Table1[[#This Row],[Age]]&lt;40,"30-39",IF(Table1[[#This Row],[Age]]&lt;50,"40-49",IF(Table1[[#This Row],[Age]]&lt;60,"50-59","60+"))))</f>
        <v>30-39</v>
      </c>
    </row>
    <row r="361" spans="1:15" x14ac:dyDescent="0.25">
      <c r="A361" t="s">
        <v>739</v>
      </c>
      <c r="B361" t="s">
        <v>740</v>
      </c>
      <c r="C361" t="s">
        <v>21</v>
      </c>
      <c r="D361">
        <v>45</v>
      </c>
      <c r="E361" t="s">
        <v>42</v>
      </c>
      <c r="F361" t="s">
        <v>43</v>
      </c>
      <c r="G361" t="s">
        <v>34</v>
      </c>
      <c r="H361" s="1">
        <v>44487</v>
      </c>
      <c r="J361">
        <v>726000</v>
      </c>
      <c r="K361">
        <v>0.1</v>
      </c>
      <c r="L361" t="s">
        <v>24</v>
      </c>
      <c r="M361">
        <f ca="1">IF(Table1[[#This Row],[Exit]]="",DATEDIF(Table1[[#This Row],[Hire]],TODAY(),"Y"),DATEDIF(Table1[[#This Row],[Hire]],Table1[[#This Row],[Exit]],"Y"))</f>
        <v>4</v>
      </c>
      <c r="N361">
        <f>FLOOR(Table1[[#This Row],[Age]],10)</f>
        <v>40</v>
      </c>
      <c r="O361" t="str">
        <f>IF(Table1[[#This Row],[Age]]&lt;30,"20-29",IF(Table1[[#This Row],[Age]]&lt;40,"30-39",IF(Table1[[#This Row],[Age]]&lt;50,"40-49",IF(Table1[[#This Row],[Age]]&lt;60,"50-59","60+"))))</f>
        <v>40-49</v>
      </c>
    </row>
    <row r="362" spans="1:15" x14ac:dyDescent="0.25">
      <c r="A362" t="s">
        <v>741</v>
      </c>
      <c r="B362" t="s">
        <v>742</v>
      </c>
      <c r="C362" t="s">
        <v>14</v>
      </c>
      <c r="D362">
        <v>50</v>
      </c>
      <c r="E362" t="s">
        <v>42</v>
      </c>
      <c r="F362" t="s">
        <v>46</v>
      </c>
      <c r="G362" t="s">
        <v>23</v>
      </c>
      <c r="H362" s="1">
        <v>44791</v>
      </c>
      <c r="J362">
        <v>728000</v>
      </c>
      <c r="K362">
        <v>0</v>
      </c>
      <c r="L362" t="s">
        <v>24</v>
      </c>
      <c r="M362">
        <f ca="1">IF(Table1[[#This Row],[Exit]]="",DATEDIF(Table1[[#This Row],[Hire]],TODAY(),"Y"),DATEDIF(Table1[[#This Row],[Hire]],Table1[[#This Row],[Exit]],"Y"))</f>
        <v>3</v>
      </c>
      <c r="N362">
        <f>FLOOR(Table1[[#This Row],[Age]],10)</f>
        <v>50</v>
      </c>
      <c r="O362" t="str">
        <f>IF(Table1[[#This Row],[Age]]&lt;30,"20-29",IF(Table1[[#This Row],[Age]]&lt;40,"30-39",IF(Table1[[#This Row],[Age]]&lt;50,"40-49",IF(Table1[[#This Row],[Age]]&lt;60,"50-59","60+"))))</f>
        <v>50-59</v>
      </c>
    </row>
    <row r="363" spans="1:15" x14ac:dyDescent="0.25">
      <c r="A363" t="s">
        <v>743</v>
      </c>
      <c r="B363" t="s">
        <v>744</v>
      </c>
      <c r="C363" t="s">
        <v>21</v>
      </c>
      <c r="D363">
        <v>36</v>
      </c>
      <c r="E363" t="s">
        <v>42</v>
      </c>
      <c r="F363" t="s">
        <v>49</v>
      </c>
      <c r="G363" t="s">
        <v>17</v>
      </c>
      <c r="H363" s="1">
        <v>45440</v>
      </c>
      <c r="J363">
        <v>730000</v>
      </c>
      <c r="K363">
        <v>0</v>
      </c>
      <c r="L363" t="s">
        <v>24</v>
      </c>
      <c r="M363">
        <f ca="1">IF(Table1[[#This Row],[Exit]]="",DATEDIF(Table1[[#This Row],[Hire]],TODAY(),"Y"),DATEDIF(Table1[[#This Row],[Hire]],Table1[[#This Row],[Exit]],"Y"))</f>
        <v>1</v>
      </c>
      <c r="N363">
        <f>FLOOR(Table1[[#This Row],[Age]],10)</f>
        <v>30</v>
      </c>
      <c r="O363" t="str">
        <f>IF(Table1[[#This Row],[Age]]&lt;30,"20-29",IF(Table1[[#This Row],[Age]]&lt;40,"30-39",IF(Table1[[#This Row],[Age]]&lt;50,"40-49",IF(Table1[[#This Row],[Age]]&lt;60,"50-59","60+"))))</f>
        <v>30-39</v>
      </c>
    </row>
    <row r="364" spans="1:15" x14ac:dyDescent="0.25">
      <c r="A364" t="s">
        <v>745</v>
      </c>
      <c r="B364" t="s">
        <v>746</v>
      </c>
      <c r="C364" t="s">
        <v>14</v>
      </c>
      <c r="D364">
        <v>45</v>
      </c>
      <c r="E364" t="s">
        <v>52</v>
      </c>
      <c r="F364" t="s">
        <v>16</v>
      </c>
      <c r="G364" t="s">
        <v>53</v>
      </c>
      <c r="H364" s="1">
        <v>44811</v>
      </c>
      <c r="J364">
        <v>732000</v>
      </c>
      <c r="K364">
        <v>0.25</v>
      </c>
      <c r="L364" t="s">
        <v>24</v>
      </c>
      <c r="M364">
        <f ca="1">IF(Table1[[#This Row],[Exit]]="",DATEDIF(Table1[[#This Row],[Hire]],TODAY(),"Y"),DATEDIF(Table1[[#This Row],[Hire]],Table1[[#This Row],[Exit]],"Y"))</f>
        <v>3</v>
      </c>
      <c r="N364">
        <f>FLOOR(Table1[[#This Row],[Age]],10)</f>
        <v>40</v>
      </c>
      <c r="O364" t="str">
        <f>IF(Table1[[#This Row],[Age]]&lt;30,"20-29",IF(Table1[[#This Row],[Age]]&lt;40,"30-39",IF(Table1[[#This Row],[Age]]&lt;50,"40-49",IF(Table1[[#This Row],[Age]]&lt;60,"50-59","60+"))))</f>
        <v>40-49</v>
      </c>
    </row>
    <row r="365" spans="1:15" x14ac:dyDescent="0.25">
      <c r="A365" t="s">
        <v>548</v>
      </c>
      <c r="B365" t="s">
        <v>747</v>
      </c>
      <c r="C365" t="s">
        <v>14</v>
      </c>
      <c r="D365">
        <v>29</v>
      </c>
      <c r="E365" t="s">
        <v>42</v>
      </c>
      <c r="F365" t="s">
        <v>46</v>
      </c>
      <c r="G365" t="s">
        <v>53</v>
      </c>
      <c r="H365" s="1">
        <v>45294</v>
      </c>
      <c r="J365">
        <v>734000</v>
      </c>
      <c r="K365">
        <v>0.13</v>
      </c>
      <c r="L365" t="s">
        <v>24</v>
      </c>
      <c r="M365">
        <f ca="1">IF(Table1[[#This Row],[Exit]]="",DATEDIF(Table1[[#This Row],[Hire]],TODAY(),"Y"),DATEDIF(Table1[[#This Row],[Hire]],Table1[[#This Row],[Exit]],"Y"))</f>
        <v>2</v>
      </c>
      <c r="N365">
        <f>FLOOR(Table1[[#This Row],[Age]],10)</f>
        <v>20</v>
      </c>
      <c r="O365" t="str">
        <f>IF(Table1[[#This Row],[Age]]&lt;30,"20-29",IF(Table1[[#This Row],[Age]]&lt;40,"30-39",IF(Table1[[#This Row],[Age]]&lt;50,"40-49",IF(Table1[[#This Row],[Age]]&lt;60,"50-59","60+"))))</f>
        <v>20-29</v>
      </c>
    </row>
    <row r="366" spans="1:15" x14ac:dyDescent="0.25">
      <c r="A366" t="s">
        <v>748</v>
      </c>
      <c r="B366" t="s">
        <v>749</v>
      </c>
      <c r="C366" t="s">
        <v>21</v>
      </c>
      <c r="D366">
        <v>41</v>
      </c>
      <c r="E366" t="s">
        <v>58</v>
      </c>
      <c r="F366" t="s">
        <v>59</v>
      </c>
      <c r="G366" t="s">
        <v>34</v>
      </c>
      <c r="H366" s="1">
        <v>45074</v>
      </c>
      <c r="J366">
        <v>736000</v>
      </c>
      <c r="K366">
        <v>0</v>
      </c>
      <c r="L366" t="s">
        <v>24</v>
      </c>
      <c r="M366">
        <f ca="1">IF(Table1[[#This Row],[Exit]]="",DATEDIF(Table1[[#This Row],[Hire]],TODAY(),"Y"),DATEDIF(Table1[[#This Row],[Hire]],Table1[[#This Row],[Exit]],"Y"))</f>
        <v>2</v>
      </c>
      <c r="N366">
        <f>FLOOR(Table1[[#This Row],[Age]],10)</f>
        <v>40</v>
      </c>
      <c r="O366" t="str">
        <f>IF(Table1[[#This Row],[Age]]&lt;30,"20-29",IF(Table1[[#This Row],[Age]]&lt;40,"30-39",IF(Table1[[#This Row],[Age]]&lt;50,"40-49",IF(Table1[[#This Row],[Age]]&lt;60,"50-59","60+"))))</f>
        <v>40-49</v>
      </c>
    </row>
    <row r="367" spans="1:15" x14ac:dyDescent="0.25">
      <c r="A367" t="s">
        <v>750</v>
      </c>
      <c r="B367" t="s">
        <v>751</v>
      </c>
      <c r="C367" t="s">
        <v>41</v>
      </c>
      <c r="D367">
        <v>47</v>
      </c>
      <c r="E367" t="s">
        <v>52</v>
      </c>
      <c r="F367" t="s">
        <v>16</v>
      </c>
      <c r="G367" t="s">
        <v>23</v>
      </c>
      <c r="H367" s="1">
        <v>45245</v>
      </c>
      <c r="J367">
        <v>738000</v>
      </c>
      <c r="K367">
        <v>0.12</v>
      </c>
      <c r="L367" t="s">
        <v>24</v>
      </c>
      <c r="M367">
        <f ca="1">IF(Table1[[#This Row],[Exit]]="",DATEDIF(Table1[[#This Row],[Hire]],TODAY(),"Y"),DATEDIF(Table1[[#This Row],[Hire]],Table1[[#This Row],[Exit]],"Y"))</f>
        <v>2</v>
      </c>
      <c r="N367">
        <f>FLOOR(Table1[[#This Row],[Age]],10)</f>
        <v>40</v>
      </c>
      <c r="O367" t="str">
        <f>IF(Table1[[#This Row],[Age]]&lt;30,"20-29",IF(Table1[[#This Row],[Age]]&lt;40,"30-39",IF(Table1[[#This Row],[Age]]&lt;50,"40-49",IF(Table1[[#This Row],[Age]]&lt;60,"50-59","60+"))))</f>
        <v>40-49</v>
      </c>
    </row>
    <row r="368" spans="1:15" x14ac:dyDescent="0.25">
      <c r="A368" t="s">
        <v>752</v>
      </c>
      <c r="B368" t="s">
        <v>753</v>
      </c>
      <c r="C368" t="s">
        <v>14</v>
      </c>
      <c r="D368">
        <v>38</v>
      </c>
      <c r="E368" t="s">
        <v>52</v>
      </c>
      <c r="F368" t="s">
        <v>16</v>
      </c>
      <c r="G368" t="s">
        <v>34</v>
      </c>
      <c r="H368" s="1">
        <v>43851</v>
      </c>
      <c r="J368">
        <v>740000</v>
      </c>
      <c r="K368">
        <v>0</v>
      </c>
      <c r="L368" t="s">
        <v>24</v>
      </c>
      <c r="M368">
        <f ca="1">IF(Table1[[#This Row],[Exit]]="",DATEDIF(Table1[[#This Row],[Hire]],TODAY(),"Y"),DATEDIF(Table1[[#This Row],[Hire]],Table1[[#This Row],[Exit]],"Y"))</f>
        <v>6</v>
      </c>
      <c r="N368">
        <f>FLOOR(Table1[[#This Row],[Age]],10)</f>
        <v>30</v>
      </c>
      <c r="O368" t="str">
        <f>IF(Table1[[#This Row],[Age]]&lt;30,"20-29",IF(Table1[[#This Row],[Age]]&lt;40,"30-39",IF(Table1[[#This Row],[Age]]&lt;50,"40-49",IF(Table1[[#This Row],[Age]]&lt;60,"50-59","60+"))))</f>
        <v>30-39</v>
      </c>
    </row>
    <row r="369" spans="1:15" x14ac:dyDescent="0.25">
      <c r="A369" t="s">
        <v>754</v>
      </c>
      <c r="B369" t="s">
        <v>755</v>
      </c>
      <c r="C369" t="s">
        <v>41</v>
      </c>
      <c r="D369">
        <v>40</v>
      </c>
      <c r="E369" t="s">
        <v>66</v>
      </c>
      <c r="F369" t="s">
        <v>16</v>
      </c>
      <c r="G369" t="s">
        <v>17</v>
      </c>
      <c r="H369" s="1">
        <v>45206</v>
      </c>
      <c r="J369">
        <v>742000</v>
      </c>
      <c r="K369">
        <v>0</v>
      </c>
      <c r="L369" t="s">
        <v>24</v>
      </c>
      <c r="M369">
        <f ca="1">IF(Table1[[#This Row],[Exit]]="",DATEDIF(Table1[[#This Row],[Hire]],TODAY(),"Y"),DATEDIF(Table1[[#This Row],[Hire]],Table1[[#This Row],[Exit]],"Y"))</f>
        <v>2</v>
      </c>
      <c r="N369">
        <f>FLOOR(Table1[[#This Row],[Age]],10)</f>
        <v>40</v>
      </c>
      <c r="O369" t="str">
        <f>IF(Table1[[#This Row],[Age]]&lt;30,"20-29",IF(Table1[[#This Row],[Age]]&lt;40,"30-39",IF(Table1[[#This Row],[Age]]&lt;50,"40-49",IF(Table1[[#This Row],[Age]]&lt;60,"50-59","60+"))))</f>
        <v>40-49</v>
      </c>
    </row>
    <row r="370" spans="1:15" x14ac:dyDescent="0.25">
      <c r="A370" t="s">
        <v>756</v>
      </c>
      <c r="B370" t="s">
        <v>757</v>
      </c>
      <c r="C370" t="s">
        <v>14</v>
      </c>
      <c r="D370">
        <v>45</v>
      </c>
      <c r="E370" t="s">
        <v>58</v>
      </c>
      <c r="F370" t="s">
        <v>59</v>
      </c>
      <c r="G370" t="s">
        <v>23</v>
      </c>
      <c r="H370" s="1">
        <v>45401</v>
      </c>
      <c r="J370">
        <v>744000</v>
      </c>
      <c r="K370">
        <v>0.34</v>
      </c>
      <c r="L370" t="s">
        <v>24</v>
      </c>
      <c r="M370">
        <f ca="1">IF(Table1[[#This Row],[Exit]]="",DATEDIF(Table1[[#This Row],[Hire]],TODAY(),"Y"),DATEDIF(Table1[[#This Row],[Hire]],Table1[[#This Row],[Exit]],"Y"))</f>
        <v>1</v>
      </c>
      <c r="N370">
        <f>FLOOR(Table1[[#This Row],[Age]],10)</f>
        <v>40</v>
      </c>
      <c r="O370" t="str">
        <f>IF(Table1[[#This Row],[Age]]&lt;30,"20-29",IF(Table1[[#This Row],[Age]]&lt;40,"30-39",IF(Table1[[#This Row],[Age]]&lt;50,"40-49",IF(Table1[[#This Row],[Age]]&lt;60,"50-59","60+"))))</f>
        <v>40-49</v>
      </c>
    </row>
    <row r="371" spans="1:15" x14ac:dyDescent="0.25">
      <c r="A371" t="s">
        <v>758</v>
      </c>
      <c r="B371" t="s">
        <v>759</v>
      </c>
      <c r="C371" t="s">
        <v>14</v>
      </c>
      <c r="D371">
        <v>26</v>
      </c>
      <c r="E371" t="s">
        <v>66</v>
      </c>
      <c r="F371" t="s">
        <v>16</v>
      </c>
      <c r="G371" t="s">
        <v>34</v>
      </c>
      <c r="H371" s="1">
        <v>44083</v>
      </c>
      <c r="J371">
        <v>746000</v>
      </c>
      <c r="K371">
        <v>0.21</v>
      </c>
      <c r="L371" t="s">
        <v>24</v>
      </c>
      <c r="M371">
        <f ca="1">IF(Table1[[#This Row],[Exit]]="",DATEDIF(Table1[[#This Row],[Hire]],TODAY(),"Y"),DATEDIF(Table1[[#This Row],[Hire]],Table1[[#This Row],[Exit]],"Y"))</f>
        <v>5</v>
      </c>
      <c r="N371">
        <f>FLOOR(Table1[[#This Row],[Age]],10)</f>
        <v>20</v>
      </c>
      <c r="O371" t="str">
        <f>IF(Table1[[#This Row],[Age]]&lt;30,"20-29",IF(Table1[[#This Row],[Age]]&lt;40,"30-39",IF(Table1[[#This Row],[Age]]&lt;50,"40-49",IF(Table1[[#This Row],[Age]]&lt;60,"50-59","60+"))))</f>
        <v>20-29</v>
      </c>
    </row>
    <row r="372" spans="1:15" x14ac:dyDescent="0.25">
      <c r="A372" t="s">
        <v>760</v>
      </c>
      <c r="B372" t="s">
        <v>761</v>
      </c>
      <c r="C372" t="s">
        <v>21</v>
      </c>
      <c r="D372">
        <v>35</v>
      </c>
      <c r="E372" t="s">
        <v>66</v>
      </c>
      <c r="F372" t="s">
        <v>16</v>
      </c>
      <c r="G372" t="s">
        <v>53</v>
      </c>
      <c r="H372" s="1">
        <v>45233</v>
      </c>
      <c r="J372">
        <v>748000</v>
      </c>
      <c r="K372">
        <v>0</v>
      </c>
      <c r="L372" t="s">
        <v>24</v>
      </c>
      <c r="M372">
        <f ca="1">IF(Table1[[#This Row],[Exit]]="",DATEDIF(Table1[[#This Row],[Hire]],TODAY(),"Y"),DATEDIF(Table1[[#This Row],[Hire]],Table1[[#This Row],[Exit]],"Y"))</f>
        <v>2</v>
      </c>
      <c r="N372">
        <f>FLOOR(Table1[[#This Row],[Age]],10)</f>
        <v>30</v>
      </c>
      <c r="O372" t="str">
        <f>IF(Table1[[#This Row],[Age]]&lt;30,"20-29",IF(Table1[[#This Row],[Age]]&lt;40,"30-39",IF(Table1[[#This Row],[Age]]&lt;50,"40-49",IF(Table1[[#This Row],[Age]]&lt;60,"50-59","60+"))))</f>
        <v>30-39</v>
      </c>
    </row>
    <row r="373" spans="1:15" x14ac:dyDescent="0.25">
      <c r="A373" t="s">
        <v>311</v>
      </c>
      <c r="B373" t="s">
        <v>762</v>
      </c>
      <c r="C373" t="s">
        <v>14</v>
      </c>
      <c r="D373">
        <v>29</v>
      </c>
      <c r="E373" t="s">
        <v>58</v>
      </c>
      <c r="F373" t="s">
        <v>59</v>
      </c>
      <c r="G373" t="s">
        <v>53</v>
      </c>
      <c r="H373" s="1">
        <v>45412</v>
      </c>
      <c r="J373">
        <v>750000</v>
      </c>
      <c r="K373">
        <v>0.11</v>
      </c>
      <c r="L373" t="s">
        <v>24</v>
      </c>
      <c r="M373">
        <f ca="1">IF(Table1[[#This Row],[Exit]]="",DATEDIF(Table1[[#This Row],[Hire]],TODAY(),"Y"),DATEDIF(Table1[[#This Row],[Hire]],Table1[[#This Row],[Exit]],"Y"))</f>
        <v>1</v>
      </c>
      <c r="N373">
        <f>FLOOR(Table1[[#This Row],[Age]],10)</f>
        <v>20</v>
      </c>
      <c r="O373" t="str">
        <f>IF(Table1[[#This Row],[Age]]&lt;30,"20-29",IF(Table1[[#This Row],[Age]]&lt;40,"30-39",IF(Table1[[#This Row],[Age]]&lt;50,"40-49",IF(Table1[[#This Row],[Age]]&lt;60,"50-59","60+"))))</f>
        <v>20-29</v>
      </c>
    </row>
    <row r="374" spans="1:15" x14ac:dyDescent="0.25">
      <c r="A374" t="s">
        <v>763</v>
      </c>
      <c r="B374" t="s">
        <v>764</v>
      </c>
      <c r="C374" t="s">
        <v>21</v>
      </c>
      <c r="D374">
        <v>35</v>
      </c>
      <c r="E374" t="s">
        <v>15</v>
      </c>
      <c r="F374" t="s">
        <v>16</v>
      </c>
      <c r="G374" t="s">
        <v>53</v>
      </c>
      <c r="H374" s="1">
        <v>43887</v>
      </c>
      <c r="J374">
        <v>752000</v>
      </c>
      <c r="K374">
        <v>0</v>
      </c>
      <c r="L374" t="s">
        <v>24</v>
      </c>
      <c r="M374">
        <f ca="1">IF(Table1[[#This Row],[Exit]]="",DATEDIF(Table1[[#This Row],[Hire]],TODAY(),"Y"),DATEDIF(Table1[[#This Row],[Hire]],Table1[[#This Row],[Exit]],"Y"))</f>
        <v>5</v>
      </c>
      <c r="N374">
        <f>FLOOR(Table1[[#This Row],[Age]],10)</f>
        <v>30</v>
      </c>
      <c r="O374" t="str">
        <f>IF(Table1[[#This Row],[Age]]&lt;30,"20-29",IF(Table1[[#This Row],[Age]]&lt;40,"30-39",IF(Table1[[#This Row],[Age]]&lt;50,"40-49",IF(Table1[[#This Row],[Age]]&lt;60,"50-59","60+"))))</f>
        <v>30-39</v>
      </c>
    </row>
    <row r="375" spans="1:15" x14ac:dyDescent="0.25">
      <c r="A375" t="s">
        <v>765</v>
      </c>
      <c r="B375" t="s">
        <v>766</v>
      </c>
      <c r="C375" t="s">
        <v>14</v>
      </c>
      <c r="D375">
        <v>27</v>
      </c>
      <c r="E375" t="s">
        <v>22</v>
      </c>
      <c r="F375" t="s">
        <v>16</v>
      </c>
      <c r="G375" t="s">
        <v>53</v>
      </c>
      <c r="H375" s="1">
        <v>44815</v>
      </c>
      <c r="I375" s="1">
        <v>45237</v>
      </c>
      <c r="J375">
        <v>754000</v>
      </c>
      <c r="K375">
        <v>0.13</v>
      </c>
      <c r="L375" t="s">
        <v>18</v>
      </c>
      <c r="M375">
        <f ca="1">IF(Table1[[#This Row],[Exit]]="",DATEDIF(Table1[[#This Row],[Hire]],TODAY(),"Y"),DATEDIF(Table1[[#This Row],[Hire]],Table1[[#This Row],[Exit]],"Y"))</f>
        <v>1</v>
      </c>
      <c r="N375">
        <f>FLOOR(Table1[[#This Row],[Age]],10)</f>
        <v>20</v>
      </c>
      <c r="O375" t="str">
        <f>IF(Table1[[#This Row],[Age]]&lt;30,"20-29",IF(Table1[[#This Row],[Age]]&lt;40,"30-39",IF(Table1[[#This Row],[Age]]&lt;50,"40-49",IF(Table1[[#This Row],[Age]]&lt;60,"50-59","60+"))))</f>
        <v>20-29</v>
      </c>
    </row>
    <row r="376" spans="1:15" x14ac:dyDescent="0.25">
      <c r="A376" t="s">
        <v>767</v>
      </c>
      <c r="B376" t="s">
        <v>768</v>
      </c>
      <c r="C376" t="s">
        <v>14</v>
      </c>
      <c r="D376">
        <v>31</v>
      </c>
      <c r="E376" t="s">
        <v>81</v>
      </c>
      <c r="F376" t="s">
        <v>43</v>
      </c>
      <c r="G376" t="s">
        <v>53</v>
      </c>
      <c r="H376" s="1">
        <v>45430</v>
      </c>
      <c r="J376">
        <v>756000</v>
      </c>
      <c r="K376">
        <v>0.21</v>
      </c>
      <c r="L376" t="s">
        <v>24</v>
      </c>
      <c r="M376">
        <f ca="1">IF(Table1[[#This Row],[Exit]]="",DATEDIF(Table1[[#This Row],[Hire]],TODAY(),"Y"),DATEDIF(Table1[[#This Row],[Hire]],Table1[[#This Row],[Exit]],"Y"))</f>
        <v>1</v>
      </c>
      <c r="N376">
        <f>FLOOR(Table1[[#This Row],[Age]],10)</f>
        <v>30</v>
      </c>
      <c r="O376" t="str">
        <f>IF(Table1[[#This Row],[Age]]&lt;30,"20-29",IF(Table1[[#This Row],[Age]]&lt;40,"30-39",IF(Table1[[#This Row],[Age]]&lt;50,"40-49",IF(Table1[[#This Row],[Age]]&lt;60,"50-59","60+"))))</f>
        <v>30-39</v>
      </c>
    </row>
    <row r="377" spans="1:15" x14ac:dyDescent="0.25">
      <c r="A377" t="s">
        <v>769</v>
      </c>
      <c r="B377" t="s">
        <v>770</v>
      </c>
      <c r="C377" t="s">
        <v>14</v>
      </c>
      <c r="D377">
        <v>31</v>
      </c>
      <c r="E377" t="s">
        <v>52</v>
      </c>
      <c r="F377" t="s">
        <v>16</v>
      </c>
      <c r="G377" t="s">
        <v>17</v>
      </c>
      <c r="H377" s="1">
        <v>44509</v>
      </c>
      <c r="J377">
        <v>758000</v>
      </c>
      <c r="K377">
        <v>0</v>
      </c>
      <c r="L377" t="s">
        <v>24</v>
      </c>
      <c r="M377">
        <f ca="1">IF(Table1[[#This Row],[Exit]]="",DATEDIF(Table1[[#This Row],[Hire]],TODAY(),"Y"),DATEDIF(Table1[[#This Row],[Hire]],Table1[[#This Row],[Exit]],"Y"))</f>
        <v>4</v>
      </c>
      <c r="N377">
        <f>FLOOR(Table1[[#This Row],[Age]],10)</f>
        <v>30</v>
      </c>
      <c r="O377" t="str">
        <f>IF(Table1[[#This Row],[Age]]&lt;30,"20-29",IF(Table1[[#This Row],[Age]]&lt;40,"30-39",IF(Table1[[#This Row],[Age]]&lt;50,"40-49",IF(Table1[[#This Row],[Age]]&lt;60,"50-59","60+"))))</f>
        <v>30-39</v>
      </c>
    </row>
    <row r="378" spans="1:15" x14ac:dyDescent="0.25">
      <c r="A378" t="s">
        <v>771</v>
      </c>
      <c r="B378" t="s">
        <v>772</v>
      </c>
      <c r="C378" t="s">
        <v>14</v>
      </c>
      <c r="D378">
        <v>31</v>
      </c>
      <c r="E378" t="s">
        <v>66</v>
      </c>
      <c r="F378" t="s">
        <v>16</v>
      </c>
      <c r="G378" t="s">
        <v>23</v>
      </c>
      <c r="H378" s="1">
        <v>43963</v>
      </c>
      <c r="J378">
        <v>760000</v>
      </c>
      <c r="K378">
        <v>0</v>
      </c>
      <c r="L378" t="s">
        <v>24</v>
      </c>
      <c r="M378">
        <f ca="1">IF(Table1[[#This Row],[Exit]]="",DATEDIF(Table1[[#This Row],[Hire]],TODAY(),"Y"),DATEDIF(Table1[[#This Row],[Hire]],Table1[[#This Row],[Exit]],"Y"))</f>
        <v>5</v>
      </c>
      <c r="N378">
        <f>FLOOR(Table1[[#This Row],[Age]],10)</f>
        <v>30</v>
      </c>
      <c r="O378" t="str">
        <f>IF(Table1[[#This Row],[Age]]&lt;30,"20-29",IF(Table1[[#This Row],[Age]]&lt;40,"30-39",IF(Table1[[#This Row],[Age]]&lt;50,"40-49",IF(Table1[[#This Row],[Age]]&lt;60,"50-59","60+"))))</f>
        <v>30-39</v>
      </c>
    </row>
    <row r="379" spans="1:15" x14ac:dyDescent="0.25">
      <c r="A379" t="s">
        <v>773</v>
      </c>
      <c r="B379" t="s">
        <v>774</v>
      </c>
      <c r="C379" t="s">
        <v>14</v>
      </c>
      <c r="D379">
        <v>36</v>
      </c>
      <c r="E379" t="s">
        <v>31</v>
      </c>
      <c r="F379" t="s">
        <v>16</v>
      </c>
      <c r="G379" t="s">
        <v>53</v>
      </c>
      <c r="H379" s="1">
        <v>44815</v>
      </c>
      <c r="J379">
        <v>762000</v>
      </c>
      <c r="K379">
        <v>0</v>
      </c>
      <c r="L379" t="s">
        <v>24</v>
      </c>
      <c r="M379">
        <f ca="1">IF(Table1[[#This Row],[Exit]]="",DATEDIF(Table1[[#This Row],[Hire]],TODAY(),"Y"),DATEDIF(Table1[[#This Row],[Hire]],Table1[[#This Row],[Exit]],"Y"))</f>
        <v>3</v>
      </c>
      <c r="N379">
        <f>FLOOR(Table1[[#This Row],[Age]],10)</f>
        <v>30</v>
      </c>
      <c r="O379" t="str">
        <f>IF(Table1[[#This Row],[Age]]&lt;30,"20-29",IF(Table1[[#This Row],[Age]]&lt;40,"30-39",IF(Table1[[#This Row],[Age]]&lt;50,"40-49",IF(Table1[[#This Row],[Age]]&lt;60,"50-59","60+"))))</f>
        <v>30-39</v>
      </c>
    </row>
    <row r="380" spans="1:15" x14ac:dyDescent="0.25">
      <c r="A380" t="s">
        <v>775</v>
      </c>
      <c r="B380" t="s">
        <v>776</v>
      </c>
      <c r="C380" t="s">
        <v>21</v>
      </c>
      <c r="D380">
        <v>45</v>
      </c>
      <c r="E380" t="s">
        <v>81</v>
      </c>
      <c r="F380" t="s">
        <v>49</v>
      </c>
      <c r="G380" t="s">
        <v>34</v>
      </c>
      <c r="H380" s="1">
        <v>44857</v>
      </c>
      <c r="J380">
        <v>764000</v>
      </c>
      <c r="K380">
        <v>0</v>
      </c>
      <c r="L380" t="s">
        <v>24</v>
      </c>
      <c r="M380">
        <f ca="1">IF(Table1[[#This Row],[Exit]]="",DATEDIF(Table1[[#This Row],[Hire]],TODAY(),"Y"),DATEDIF(Table1[[#This Row],[Hire]],Table1[[#This Row],[Exit]],"Y"))</f>
        <v>3</v>
      </c>
      <c r="N380">
        <f>FLOOR(Table1[[#This Row],[Age]],10)</f>
        <v>40</v>
      </c>
      <c r="O380" t="str">
        <f>IF(Table1[[#This Row],[Age]]&lt;30,"20-29",IF(Table1[[#This Row],[Age]]&lt;40,"30-39",IF(Table1[[#This Row],[Age]]&lt;50,"40-49",IF(Table1[[#This Row],[Age]]&lt;60,"50-59","60+"))))</f>
        <v>40-49</v>
      </c>
    </row>
    <row r="381" spans="1:15" x14ac:dyDescent="0.25">
      <c r="A381" t="s">
        <v>777</v>
      </c>
      <c r="B381" t="s">
        <v>778</v>
      </c>
      <c r="C381" t="s">
        <v>41</v>
      </c>
      <c r="D381">
        <v>37</v>
      </c>
      <c r="E381" t="s">
        <v>92</v>
      </c>
      <c r="F381" t="s">
        <v>59</v>
      </c>
      <c r="G381" t="s">
        <v>53</v>
      </c>
      <c r="H381" s="1">
        <v>45527</v>
      </c>
      <c r="J381">
        <v>766000</v>
      </c>
      <c r="K381">
        <v>0</v>
      </c>
      <c r="L381" t="s">
        <v>24</v>
      </c>
      <c r="M381">
        <f ca="1">IF(Table1[[#This Row],[Exit]]="",DATEDIF(Table1[[#This Row],[Hire]],TODAY(),"Y"),DATEDIF(Table1[[#This Row],[Hire]],Table1[[#This Row],[Exit]],"Y"))</f>
        <v>1</v>
      </c>
      <c r="N381">
        <f>FLOOR(Table1[[#This Row],[Age]],10)</f>
        <v>30</v>
      </c>
      <c r="O381" t="str">
        <f>IF(Table1[[#This Row],[Age]]&lt;30,"20-29",IF(Table1[[#This Row],[Age]]&lt;40,"30-39",IF(Table1[[#This Row],[Age]]&lt;50,"40-49",IF(Table1[[#This Row],[Age]]&lt;60,"50-59","60+"))))</f>
        <v>30-39</v>
      </c>
    </row>
    <row r="382" spans="1:15" x14ac:dyDescent="0.25">
      <c r="A382" t="s">
        <v>779</v>
      </c>
      <c r="B382" t="s">
        <v>780</v>
      </c>
      <c r="C382" t="s">
        <v>14</v>
      </c>
      <c r="D382">
        <v>38</v>
      </c>
      <c r="E382" t="s">
        <v>81</v>
      </c>
      <c r="F382" t="s">
        <v>46</v>
      </c>
      <c r="G382" t="s">
        <v>23</v>
      </c>
      <c r="H382" s="1">
        <v>45237</v>
      </c>
      <c r="J382">
        <v>768000</v>
      </c>
      <c r="K382">
        <v>0</v>
      </c>
      <c r="L382" t="s">
        <v>24</v>
      </c>
      <c r="M382">
        <f ca="1">IF(Table1[[#This Row],[Exit]]="",DATEDIF(Table1[[#This Row],[Hire]],TODAY(),"Y"),DATEDIF(Table1[[#This Row],[Hire]],Table1[[#This Row],[Exit]],"Y"))</f>
        <v>2</v>
      </c>
      <c r="N382">
        <f>FLOOR(Table1[[#This Row],[Age]],10)</f>
        <v>30</v>
      </c>
      <c r="O382" t="str">
        <f>IF(Table1[[#This Row],[Age]]&lt;30,"20-29",IF(Table1[[#This Row],[Age]]&lt;40,"30-39",IF(Table1[[#This Row],[Age]]&lt;50,"40-49",IF(Table1[[#This Row],[Age]]&lt;60,"50-59","60+"))))</f>
        <v>30-39</v>
      </c>
    </row>
    <row r="383" spans="1:15" x14ac:dyDescent="0.25">
      <c r="A383" t="s">
        <v>781</v>
      </c>
      <c r="B383" t="s">
        <v>782</v>
      </c>
      <c r="C383" t="s">
        <v>21</v>
      </c>
      <c r="D383">
        <v>45</v>
      </c>
      <c r="E383" t="s">
        <v>22</v>
      </c>
      <c r="F383" t="s">
        <v>16</v>
      </c>
      <c r="G383" t="s">
        <v>34</v>
      </c>
      <c r="H383" s="1">
        <v>45206</v>
      </c>
      <c r="J383">
        <v>770000</v>
      </c>
      <c r="K383">
        <v>0</v>
      </c>
      <c r="L383" t="s">
        <v>24</v>
      </c>
      <c r="M383">
        <f ca="1">IF(Table1[[#This Row],[Exit]]="",DATEDIF(Table1[[#This Row],[Hire]],TODAY(),"Y"),DATEDIF(Table1[[#This Row],[Hire]],Table1[[#This Row],[Exit]],"Y"))</f>
        <v>2</v>
      </c>
      <c r="N383">
        <f>FLOOR(Table1[[#This Row],[Age]],10)</f>
        <v>40</v>
      </c>
      <c r="O383" t="str">
        <f>IF(Table1[[#This Row],[Age]]&lt;30,"20-29",IF(Table1[[#This Row],[Age]]&lt;40,"30-39",IF(Table1[[#This Row],[Age]]&lt;50,"40-49",IF(Table1[[#This Row],[Age]]&lt;60,"50-59","60+"))))</f>
        <v>40-49</v>
      </c>
    </row>
    <row r="384" spans="1:15" x14ac:dyDescent="0.25">
      <c r="A384" t="s">
        <v>783</v>
      </c>
      <c r="B384" t="s">
        <v>784</v>
      </c>
      <c r="C384" t="s">
        <v>14</v>
      </c>
      <c r="D384">
        <v>51</v>
      </c>
      <c r="E384" t="s">
        <v>92</v>
      </c>
      <c r="F384" t="s">
        <v>59</v>
      </c>
      <c r="G384" t="s">
        <v>34</v>
      </c>
      <c r="H384" s="1">
        <v>44677</v>
      </c>
      <c r="J384">
        <v>772000</v>
      </c>
      <c r="K384">
        <v>0</v>
      </c>
      <c r="L384" t="s">
        <v>24</v>
      </c>
      <c r="M384">
        <f ca="1">IF(Table1[[#This Row],[Exit]]="",DATEDIF(Table1[[#This Row],[Hire]],TODAY(),"Y"),DATEDIF(Table1[[#This Row],[Hire]],Table1[[#This Row],[Exit]],"Y"))</f>
        <v>3</v>
      </c>
      <c r="N384">
        <f>FLOOR(Table1[[#This Row],[Age]],10)</f>
        <v>50</v>
      </c>
      <c r="O384" t="str">
        <f>IF(Table1[[#This Row],[Age]]&lt;30,"20-29",IF(Table1[[#This Row],[Age]]&lt;40,"30-39",IF(Table1[[#This Row],[Age]]&lt;50,"40-49",IF(Table1[[#This Row],[Age]]&lt;60,"50-59","60+"))))</f>
        <v>50-59</v>
      </c>
    </row>
    <row r="385" spans="1:15" x14ac:dyDescent="0.25">
      <c r="A385" t="s">
        <v>785</v>
      </c>
      <c r="B385" t="s">
        <v>786</v>
      </c>
      <c r="C385" t="s">
        <v>14</v>
      </c>
      <c r="D385">
        <v>56</v>
      </c>
      <c r="E385" t="s">
        <v>31</v>
      </c>
      <c r="F385" t="s">
        <v>16</v>
      </c>
      <c r="G385" t="s">
        <v>17</v>
      </c>
      <c r="H385" s="1">
        <v>43889</v>
      </c>
      <c r="J385">
        <v>774000</v>
      </c>
      <c r="K385">
        <v>0</v>
      </c>
      <c r="L385" t="s">
        <v>24</v>
      </c>
      <c r="M385">
        <f ca="1">IF(Table1[[#This Row],[Exit]]="",DATEDIF(Table1[[#This Row],[Hire]],TODAY(),"Y"),DATEDIF(Table1[[#This Row],[Hire]],Table1[[#This Row],[Exit]],"Y"))</f>
        <v>5</v>
      </c>
      <c r="N385">
        <f>FLOOR(Table1[[#This Row],[Age]],10)</f>
        <v>50</v>
      </c>
      <c r="O385" t="str">
        <f>IF(Table1[[#This Row],[Age]]&lt;30,"20-29",IF(Table1[[#This Row],[Age]]&lt;40,"30-39",IF(Table1[[#This Row],[Age]]&lt;50,"40-49",IF(Table1[[#This Row],[Age]]&lt;60,"50-59","60+"))))</f>
        <v>50-59</v>
      </c>
    </row>
    <row r="386" spans="1:15" x14ac:dyDescent="0.25">
      <c r="A386" t="s">
        <v>787</v>
      </c>
      <c r="B386" t="s">
        <v>788</v>
      </c>
      <c r="C386" t="s">
        <v>14</v>
      </c>
      <c r="D386">
        <v>53</v>
      </c>
      <c r="E386" t="s">
        <v>15</v>
      </c>
      <c r="F386" t="s">
        <v>16</v>
      </c>
      <c r="G386" t="s">
        <v>17</v>
      </c>
      <c r="H386" s="1">
        <v>44116</v>
      </c>
      <c r="I386" s="1">
        <v>45440</v>
      </c>
      <c r="J386">
        <v>776000</v>
      </c>
      <c r="K386">
        <v>0.4</v>
      </c>
      <c r="L386" t="s">
        <v>18</v>
      </c>
      <c r="M386">
        <f ca="1">IF(Table1[[#This Row],[Exit]]="",DATEDIF(Table1[[#This Row],[Hire]],TODAY(),"Y"),DATEDIF(Table1[[#This Row],[Hire]],Table1[[#This Row],[Exit]],"Y"))</f>
        <v>3</v>
      </c>
      <c r="N386">
        <f>FLOOR(Table1[[#This Row],[Age]],10)</f>
        <v>50</v>
      </c>
      <c r="O386" t="str">
        <f>IF(Table1[[#This Row],[Age]]&lt;30,"20-29",IF(Table1[[#This Row],[Age]]&lt;40,"30-39",IF(Table1[[#This Row],[Age]]&lt;50,"40-49",IF(Table1[[#This Row],[Age]]&lt;60,"50-59","60+"))))</f>
        <v>50-59</v>
      </c>
    </row>
    <row r="387" spans="1:15" x14ac:dyDescent="0.25">
      <c r="A387" t="s">
        <v>39</v>
      </c>
      <c r="B387" t="s">
        <v>789</v>
      </c>
      <c r="C387" t="s">
        <v>14</v>
      </c>
      <c r="D387">
        <v>47</v>
      </c>
      <c r="E387" t="s">
        <v>22</v>
      </c>
      <c r="F387" t="s">
        <v>16</v>
      </c>
      <c r="G387" t="s">
        <v>23</v>
      </c>
      <c r="H387" s="1">
        <v>44588</v>
      </c>
      <c r="J387">
        <v>778000</v>
      </c>
      <c r="K387">
        <v>0</v>
      </c>
      <c r="L387" t="s">
        <v>24</v>
      </c>
      <c r="M387">
        <f ca="1">IF(Table1[[#This Row],[Exit]]="",DATEDIF(Table1[[#This Row],[Hire]],TODAY(),"Y"),DATEDIF(Table1[[#This Row],[Hire]],Table1[[#This Row],[Exit]],"Y"))</f>
        <v>4</v>
      </c>
      <c r="N387">
        <f>FLOOR(Table1[[#This Row],[Age]],10)</f>
        <v>40</v>
      </c>
      <c r="O387" t="str">
        <f>IF(Table1[[#This Row],[Age]]&lt;30,"20-29",IF(Table1[[#This Row],[Age]]&lt;40,"30-39",IF(Table1[[#This Row],[Age]]&lt;50,"40-49",IF(Table1[[#This Row],[Age]]&lt;60,"50-59","60+"))))</f>
        <v>40-49</v>
      </c>
    </row>
    <row r="388" spans="1:15" x14ac:dyDescent="0.25">
      <c r="A388" t="s">
        <v>790</v>
      </c>
      <c r="B388" t="s">
        <v>791</v>
      </c>
      <c r="C388" t="s">
        <v>21</v>
      </c>
      <c r="D388">
        <v>36</v>
      </c>
      <c r="E388" t="s">
        <v>27</v>
      </c>
      <c r="F388" t="s">
        <v>28</v>
      </c>
      <c r="G388" t="s">
        <v>17</v>
      </c>
      <c r="H388" s="1">
        <v>45337</v>
      </c>
      <c r="J388">
        <v>780000</v>
      </c>
      <c r="K388">
        <v>0.34</v>
      </c>
      <c r="L388" t="s">
        <v>24</v>
      </c>
      <c r="M388">
        <f ca="1">IF(Table1[[#This Row],[Exit]]="",DATEDIF(Table1[[#This Row],[Hire]],TODAY(),"Y"),DATEDIF(Table1[[#This Row],[Hire]],Table1[[#This Row],[Exit]],"Y"))</f>
        <v>1</v>
      </c>
      <c r="N388">
        <f>FLOOR(Table1[[#This Row],[Age]],10)</f>
        <v>30</v>
      </c>
      <c r="O388" t="str">
        <f>IF(Table1[[#This Row],[Age]]&lt;30,"20-29",IF(Table1[[#This Row],[Age]]&lt;40,"30-39",IF(Table1[[#This Row],[Age]]&lt;50,"40-49",IF(Table1[[#This Row],[Age]]&lt;60,"50-59","60+"))))</f>
        <v>30-39</v>
      </c>
    </row>
    <row r="389" spans="1:15" x14ac:dyDescent="0.25">
      <c r="A389" t="s">
        <v>792</v>
      </c>
      <c r="B389" t="s">
        <v>793</v>
      </c>
      <c r="C389" t="s">
        <v>14</v>
      </c>
      <c r="D389">
        <v>41</v>
      </c>
      <c r="E389" t="s">
        <v>31</v>
      </c>
      <c r="F389" t="s">
        <v>16</v>
      </c>
      <c r="G389" t="s">
        <v>23</v>
      </c>
      <c r="H389" s="1">
        <v>44602</v>
      </c>
      <c r="I389" s="1">
        <v>45440</v>
      </c>
      <c r="J389">
        <v>782000</v>
      </c>
      <c r="K389">
        <v>0</v>
      </c>
      <c r="L389" t="s">
        <v>18</v>
      </c>
      <c r="M389">
        <f ca="1">IF(Table1[[#This Row],[Exit]]="",DATEDIF(Table1[[#This Row],[Hire]],TODAY(),"Y"),DATEDIF(Table1[[#This Row],[Hire]],Table1[[#This Row],[Exit]],"Y"))</f>
        <v>2</v>
      </c>
      <c r="N389">
        <f>FLOOR(Table1[[#This Row],[Age]],10)</f>
        <v>40</v>
      </c>
      <c r="O389" t="str">
        <f>IF(Table1[[#This Row],[Age]]&lt;30,"20-29",IF(Table1[[#This Row],[Age]]&lt;40,"30-39",IF(Table1[[#This Row],[Age]]&lt;50,"40-49",IF(Table1[[#This Row],[Age]]&lt;60,"50-59","60+"))))</f>
        <v>40-49</v>
      </c>
    </row>
    <row r="390" spans="1:15" x14ac:dyDescent="0.25">
      <c r="A390" t="s">
        <v>794</v>
      </c>
      <c r="B390" t="s">
        <v>795</v>
      </c>
      <c r="C390" t="s">
        <v>14</v>
      </c>
      <c r="D390">
        <v>31</v>
      </c>
      <c r="E390" t="s">
        <v>27</v>
      </c>
      <c r="F390" t="s">
        <v>28</v>
      </c>
      <c r="G390" t="s">
        <v>34</v>
      </c>
      <c r="H390" s="1">
        <v>44183</v>
      </c>
      <c r="J390">
        <v>784000</v>
      </c>
      <c r="K390">
        <v>0</v>
      </c>
      <c r="L390" t="s">
        <v>24</v>
      </c>
      <c r="M390">
        <f ca="1">IF(Table1[[#This Row],[Exit]]="",DATEDIF(Table1[[#This Row],[Hire]],TODAY(),"Y"),DATEDIF(Table1[[#This Row],[Hire]],Table1[[#This Row],[Exit]],"Y"))</f>
        <v>5</v>
      </c>
      <c r="N390">
        <f>FLOOR(Table1[[#This Row],[Age]],10)</f>
        <v>30</v>
      </c>
      <c r="O390" t="str">
        <f>IF(Table1[[#This Row],[Age]]&lt;30,"20-29",IF(Table1[[#This Row],[Age]]&lt;40,"30-39",IF(Table1[[#This Row],[Age]]&lt;50,"40-49",IF(Table1[[#This Row],[Age]]&lt;60,"50-59","60+"))))</f>
        <v>30-39</v>
      </c>
    </row>
    <row r="391" spans="1:15" x14ac:dyDescent="0.25">
      <c r="A391" t="s">
        <v>39</v>
      </c>
      <c r="B391" t="s">
        <v>796</v>
      </c>
      <c r="C391" t="s">
        <v>14</v>
      </c>
      <c r="D391">
        <v>31</v>
      </c>
      <c r="E391" t="s">
        <v>15</v>
      </c>
      <c r="F391" t="s">
        <v>16</v>
      </c>
      <c r="G391" t="s">
        <v>23</v>
      </c>
      <c r="H391" s="1">
        <v>43837</v>
      </c>
      <c r="J391">
        <v>786000</v>
      </c>
      <c r="K391">
        <v>0.11</v>
      </c>
      <c r="L391" t="s">
        <v>24</v>
      </c>
      <c r="M391">
        <f ca="1">IF(Table1[[#This Row],[Exit]]="",DATEDIF(Table1[[#This Row],[Hire]],TODAY(),"Y"),DATEDIF(Table1[[#This Row],[Hire]],Table1[[#This Row],[Exit]],"Y"))</f>
        <v>6</v>
      </c>
      <c r="N391">
        <f>FLOOR(Table1[[#This Row],[Age]],10)</f>
        <v>30</v>
      </c>
      <c r="O391" t="str">
        <f>IF(Table1[[#This Row],[Age]]&lt;30,"20-29",IF(Table1[[#This Row],[Age]]&lt;40,"30-39",IF(Table1[[#This Row],[Age]]&lt;50,"40-49",IF(Table1[[#This Row],[Age]]&lt;60,"50-59","60+"))))</f>
        <v>30-39</v>
      </c>
    </row>
    <row r="392" spans="1:15" x14ac:dyDescent="0.25">
      <c r="A392" t="s">
        <v>44</v>
      </c>
      <c r="B392" t="s">
        <v>797</v>
      </c>
      <c r="C392" t="s">
        <v>14</v>
      </c>
      <c r="D392">
        <v>38</v>
      </c>
      <c r="E392" t="s">
        <v>15</v>
      </c>
      <c r="F392" t="s">
        <v>16</v>
      </c>
      <c r="G392" t="s">
        <v>34</v>
      </c>
      <c r="H392" s="1">
        <v>45206</v>
      </c>
      <c r="J392">
        <v>788000</v>
      </c>
      <c r="K392">
        <v>0.12</v>
      </c>
      <c r="L392" t="s">
        <v>24</v>
      </c>
      <c r="M392">
        <f ca="1">IF(Table1[[#This Row],[Exit]]="",DATEDIF(Table1[[#This Row],[Hire]],TODAY(),"Y"),DATEDIF(Table1[[#This Row],[Hire]],Table1[[#This Row],[Exit]],"Y"))</f>
        <v>2</v>
      </c>
      <c r="N392">
        <f>FLOOR(Table1[[#This Row],[Age]],10)</f>
        <v>30</v>
      </c>
      <c r="O392" t="str">
        <f>IF(Table1[[#This Row],[Age]]&lt;30,"20-29",IF(Table1[[#This Row],[Age]]&lt;40,"30-39",IF(Table1[[#This Row],[Age]]&lt;50,"40-49",IF(Table1[[#This Row],[Age]]&lt;60,"50-59","60+"))))</f>
        <v>30-39</v>
      </c>
    </row>
    <row r="393" spans="1:15" x14ac:dyDescent="0.25">
      <c r="A393" t="s">
        <v>798</v>
      </c>
      <c r="B393" t="s">
        <v>799</v>
      </c>
      <c r="C393" t="s">
        <v>14</v>
      </c>
      <c r="D393">
        <v>31</v>
      </c>
      <c r="E393" t="s">
        <v>42</v>
      </c>
      <c r="F393" t="s">
        <v>43</v>
      </c>
      <c r="G393" t="s">
        <v>34</v>
      </c>
      <c r="H393" s="1">
        <v>44487</v>
      </c>
      <c r="J393">
        <v>790000</v>
      </c>
      <c r="K393">
        <v>0.23</v>
      </c>
      <c r="L393" t="s">
        <v>24</v>
      </c>
      <c r="M393">
        <f ca="1">IF(Table1[[#This Row],[Exit]]="",DATEDIF(Table1[[#This Row],[Hire]],TODAY(),"Y"),DATEDIF(Table1[[#This Row],[Hire]],Table1[[#This Row],[Exit]],"Y"))</f>
        <v>4</v>
      </c>
      <c r="N393">
        <f>FLOOR(Table1[[#This Row],[Age]],10)</f>
        <v>30</v>
      </c>
      <c r="O393" t="str">
        <f>IF(Table1[[#This Row],[Age]]&lt;30,"20-29",IF(Table1[[#This Row],[Age]]&lt;40,"30-39",IF(Table1[[#This Row],[Age]]&lt;50,"40-49",IF(Table1[[#This Row],[Age]]&lt;60,"50-59","60+"))))</f>
        <v>30-39</v>
      </c>
    </row>
    <row r="394" spans="1:15" x14ac:dyDescent="0.25">
      <c r="A394" t="s">
        <v>494</v>
      </c>
      <c r="B394" t="s">
        <v>800</v>
      </c>
      <c r="C394" t="s">
        <v>14</v>
      </c>
      <c r="D394">
        <v>39</v>
      </c>
      <c r="E394" t="s">
        <v>42</v>
      </c>
      <c r="F394" t="s">
        <v>46</v>
      </c>
      <c r="G394" t="s">
        <v>23</v>
      </c>
      <c r="H394" s="1">
        <v>44791</v>
      </c>
      <c r="J394">
        <v>792000</v>
      </c>
      <c r="K394">
        <v>0</v>
      </c>
      <c r="L394" t="s">
        <v>24</v>
      </c>
      <c r="M394">
        <f ca="1">IF(Table1[[#This Row],[Exit]]="",DATEDIF(Table1[[#This Row],[Hire]],TODAY(),"Y"),DATEDIF(Table1[[#This Row],[Hire]],Table1[[#This Row],[Exit]],"Y"))</f>
        <v>3</v>
      </c>
      <c r="N394">
        <f>FLOOR(Table1[[#This Row],[Age]],10)</f>
        <v>30</v>
      </c>
      <c r="O394" t="str">
        <f>IF(Table1[[#This Row],[Age]]&lt;30,"20-29",IF(Table1[[#This Row],[Age]]&lt;40,"30-39",IF(Table1[[#This Row],[Age]]&lt;50,"40-49",IF(Table1[[#This Row],[Age]]&lt;60,"50-59","60+"))))</f>
        <v>30-39</v>
      </c>
    </row>
    <row r="395" spans="1:15" x14ac:dyDescent="0.25">
      <c r="A395" t="s">
        <v>801</v>
      </c>
      <c r="B395" t="s">
        <v>802</v>
      </c>
      <c r="C395" t="s">
        <v>21</v>
      </c>
      <c r="D395">
        <v>31</v>
      </c>
      <c r="E395" t="s">
        <v>42</v>
      </c>
      <c r="F395" t="s">
        <v>49</v>
      </c>
      <c r="G395" t="s">
        <v>17</v>
      </c>
      <c r="H395" s="1">
        <v>45440</v>
      </c>
      <c r="J395">
        <v>794000</v>
      </c>
      <c r="K395">
        <v>0.06</v>
      </c>
      <c r="L395" t="s">
        <v>24</v>
      </c>
      <c r="M395">
        <f ca="1">IF(Table1[[#This Row],[Exit]]="",DATEDIF(Table1[[#This Row],[Hire]],TODAY(),"Y"),DATEDIF(Table1[[#This Row],[Hire]],Table1[[#This Row],[Exit]],"Y"))</f>
        <v>1</v>
      </c>
      <c r="N395">
        <f>FLOOR(Table1[[#This Row],[Age]],10)</f>
        <v>30</v>
      </c>
      <c r="O395" t="str">
        <f>IF(Table1[[#This Row],[Age]]&lt;30,"20-29",IF(Table1[[#This Row],[Age]]&lt;40,"30-39",IF(Table1[[#This Row],[Age]]&lt;50,"40-49",IF(Table1[[#This Row],[Age]]&lt;60,"50-59","60+"))))</f>
        <v>30-39</v>
      </c>
    </row>
    <row r="396" spans="1:15" x14ac:dyDescent="0.25">
      <c r="A396" t="s">
        <v>803</v>
      </c>
      <c r="B396" t="s">
        <v>804</v>
      </c>
      <c r="C396" t="s">
        <v>14</v>
      </c>
      <c r="D396">
        <v>45</v>
      </c>
      <c r="E396" t="s">
        <v>52</v>
      </c>
      <c r="F396" t="s">
        <v>16</v>
      </c>
      <c r="G396" t="s">
        <v>53</v>
      </c>
      <c r="H396" s="1">
        <v>44811</v>
      </c>
      <c r="J396">
        <v>796000</v>
      </c>
      <c r="K396">
        <v>0</v>
      </c>
      <c r="L396" t="s">
        <v>24</v>
      </c>
      <c r="M396">
        <f ca="1">IF(Table1[[#This Row],[Exit]]="",DATEDIF(Table1[[#This Row],[Hire]],TODAY(),"Y"),DATEDIF(Table1[[#This Row],[Hire]],Table1[[#This Row],[Exit]],"Y"))</f>
        <v>3</v>
      </c>
      <c r="N396">
        <f>FLOOR(Table1[[#This Row],[Age]],10)</f>
        <v>40</v>
      </c>
      <c r="O396" t="str">
        <f>IF(Table1[[#This Row],[Age]]&lt;30,"20-29",IF(Table1[[#This Row],[Age]]&lt;40,"30-39",IF(Table1[[#This Row],[Age]]&lt;50,"40-49",IF(Table1[[#This Row],[Age]]&lt;60,"50-59","60+"))))</f>
        <v>40-49</v>
      </c>
    </row>
    <row r="397" spans="1:15" x14ac:dyDescent="0.25">
      <c r="A397" t="s">
        <v>805</v>
      </c>
      <c r="B397" t="s">
        <v>806</v>
      </c>
      <c r="C397" t="s">
        <v>21</v>
      </c>
      <c r="D397">
        <v>50</v>
      </c>
      <c r="E397" t="s">
        <v>42</v>
      </c>
      <c r="F397" t="s">
        <v>46</v>
      </c>
      <c r="G397" t="s">
        <v>53</v>
      </c>
      <c r="H397" s="1">
        <v>45294</v>
      </c>
      <c r="J397">
        <v>798000</v>
      </c>
      <c r="K397">
        <v>0</v>
      </c>
      <c r="L397" t="s">
        <v>24</v>
      </c>
      <c r="M397">
        <f ca="1">IF(Table1[[#This Row],[Exit]]="",DATEDIF(Table1[[#This Row],[Hire]],TODAY(),"Y"),DATEDIF(Table1[[#This Row],[Hire]],Table1[[#This Row],[Exit]],"Y"))</f>
        <v>2</v>
      </c>
      <c r="N397">
        <f>FLOOR(Table1[[#This Row],[Age]],10)</f>
        <v>50</v>
      </c>
      <c r="O397" t="str">
        <f>IF(Table1[[#This Row],[Age]]&lt;30,"20-29",IF(Table1[[#This Row],[Age]]&lt;40,"30-39",IF(Table1[[#This Row],[Age]]&lt;50,"40-49",IF(Table1[[#This Row],[Age]]&lt;60,"50-59","60+"))))</f>
        <v>50-59</v>
      </c>
    </row>
    <row r="398" spans="1:15" x14ac:dyDescent="0.25">
      <c r="A398" t="s">
        <v>807</v>
      </c>
      <c r="B398" t="s">
        <v>808</v>
      </c>
      <c r="C398" t="s">
        <v>21</v>
      </c>
      <c r="D398">
        <v>36</v>
      </c>
      <c r="E398" t="s">
        <v>58</v>
      </c>
      <c r="F398" t="s">
        <v>59</v>
      </c>
      <c r="G398" t="s">
        <v>34</v>
      </c>
      <c r="H398" s="1">
        <v>45074</v>
      </c>
      <c r="J398">
        <v>800000</v>
      </c>
      <c r="K398">
        <v>0.27</v>
      </c>
      <c r="L398" t="s">
        <v>24</v>
      </c>
      <c r="M398">
        <f ca="1">IF(Table1[[#This Row],[Exit]]="",DATEDIF(Table1[[#This Row],[Hire]],TODAY(),"Y"),DATEDIF(Table1[[#This Row],[Hire]],Table1[[#This Row],[Exit]],"Y"))</f>
        <v>2</v>
      </c>
      <c r="N398">
        <f>FLOOR(Table1[[#This Row],[Age]],10)</f>
        <v>30</v>
      </c>
      <c r="O398" t="str">
        <f>IF(Table1[[#This Row],[Age]]&lt;30,"20-29",IF(Table1[[#This Row],[Age]]&lt;40,"30-39",IF(Table1[[#This Row],[Age]]&lt;50,"40-49",IF(Table1[[#This Row],[Age]]&lt;60,"50-59","60+"))))</f>
        <v>30-39</v>
      </c>
    </row>
    <row r="399" spans="1:15" x14ac:dyDescent="0.25">
      <c r="A399" t="s">
        <v>809</v>
      </c>
      <c r="B399" t="s">
        <v>810</v>
      </c>
      <c r="C399" t="s">
        <v>41</v>
      </c>
      <c r="D399">
        <v>45</v>
      </c>
      <c r="E399" t="s">
        <v>52</v>
      </c>
      <c r="F399" t="s">
        <v>16</v>
      </c>
      <c r="G399" t="s">
        <v>23</v>
      </c>
      <c r="H399" s="1">
        <v>45245</v>
      </c>
      <c r="J399">
        <v>802000</v>
      </c>
      <c r="K399">
        <v>0</v>
      </c>
      <c r="L399" t="s">
        <v>24</v>
      </c>
      <c r="M399">
        <f ca="1">IF(Table1[[#This Row],[Exit]]="",DATEDIF(Table1[[#This Row],[Hire]],TODAY(),"Y"),DATEDIF(Table1[[#This Row],[Hire]],Table1[[#This Row],[Exit]],"Y"))</f>
        <v>2</v>
      </c>
      <c r="N399">
        <f>FLOOR(Table1[[#This Row],[Age]],10)</f>
        <v>40</v>
      </c>
      <c r="O399" t="str">
        <f>IF(Table1[[#This Row],[Age]]&lt;30,"20-29",IF(Table1[[#This Row],[Age]]&lt;40,"30-39",IF(Table1[[#This Row],[Age]]&lt;50,"40-49",IF(Table1[[#This Row],[Age]]&lt;60,"50-59","60+"))))</f>
        <v>40-49</v>
      </c>
    </row>
    <row r="400" spans="1:15" x14ac:dyDescent="0.25">
      <c r="A400" t="s">
        <v>47</v>
      </c>
      <c r="B400" t="s">
        <v>811</v>
      </c>
      <c r="C400" t="s">
        <v>14</v>
      </c>
      <c r="D400">
        <v>31</v>
      </c>
      <c r="E400" t="s">
        <v>52</v>
      </c>
      <c r="F400" t="s">
        <v>16</v>
      </c>
      <c r="G400" t="s">
        <v>34</v>
      </c>
      <c r="H400" s="1">
        <v>43851</v>
      </c>
      <c r="J400">
        <v>804000</v>
      </c>
      <c r="K400">
        <v>0.12</v>
      </c>
      <c r="L400" t="s">
        <v>24</v>
      </c>
      <c r="M400">
        <f ca="1">IF(Table1[[#This Row],[Exit]]="",DATEDIF(Table1[[#This Row],[Hire]],TODAY(),"Y"),DATEDIF(Table1[[#This Row],[Hire]],Table1[[#This Row],[Exit]],"Y"))</f>
        <v>6</v>
      </c>
      <c r="N400">
        <f>FLOOR(Table1[[#This Row],[Age]],10)</f>
        <v>30</v>
      </c>
      <c r="O400" t="str">
        <f>IF(Table1[[#This Row],[Age]]&lt;30,"20-29",IF(Table1[[#This Row],[Age]]&lt;40,"30-39",IF(Table1[[#This Row],[Age]]&lt;50,"40-49",IF(Table1[[#This Row],[Age]]&lt;60,"50-59","60+"))))</f>
        <v>30-39</v>
      </c>
    </row>
    <row r="401" spans="1:15" x14ac:dyDescent="0.25">
      <c r="A401" t="s">
        <v>812</v>
      </c>
      <c r="B401" t="s">
        <v>813</v>
      </c>
      <c r="C401" t="s">
        <v>41</v>
      </c>
      <c r="D401">
        <v>41</v>
      </c>
      <c r="E401" t="s">
        <v>66</v>
      </c>
      <c r="F401" t="s">
        <v>16</v>
      </c>
      <c r="G401" t="s">
        <v>17</v>
      </c>
      <c r="H401" s="1">
        <v>45206</v>
      </c>
      <c r="J401">
        <v>806000</v>
      </c>
      <c r="K401">
        <v>0.15</v>
      </c>
      <c r="L401" t="s">
        <v>24</v>
      </c>
      <c r="M401">
        <f ca="1">IF(Table1[[#This Row],[Exit]]="",DATEDIF(Table1[[#This Row],[Hire]],TODAY(),"Y"),DATEDIF(Table1[[#This Row],[Hire]],Table1[[#This Row],[Exit]],"Y"))</f>
        <v>2</v>
      </c>
      <c r="N401">
        <f>FLOOR(Table1[[#This Row],[Age]],10)</f>
        <v>40</v>
      </c>
      <c r="O401" t="str">
        <f>IF(Table1[[#This Row],[Age]]&lt;30,"20-29",IF(Table1[[#This Row],[Age]]&lt;40,"30-39",IF(Table1[[#This Row],[Age]]&lt;50,"40-49",IF(Table1[[#This Row],[Age]]&lt;60,"50-59","60+"))))</f>
        <v>40-49</v>
      </c>
    </row>
    <row r="402" spans="1:15" x14ac:dyDescent="0.25">
      <c r="A402" t="s">
        <v>814</v>
      </c>
      <c r="B402" t="s">
        <v>815</v>
      </c>
      <c r="C402" t="s">
        <v>14</v>
      </c>
      <c r="D402">
        <v>47</v>
      </c>
      <c r="E402" t="s">
        <v>58</v>
      </c>
      <c r="F402" t="s">
        <v>59</v>
      </c>
      <c r="G402" t="s">
        <v>23</v>
      </c>
      <c r="H402" s="1">
        <v>45401</v>
      </c>
      <c r="J402">
        <v>808000</v>
      </c>
      <c r="K402">
        <v>0.08</v>
      </c>
      <c r="L402" t="s">
        <v>24</v>
      </c>
      <c r="M402">
        <f ca="1">IF(Table1[[#This Row],[Exit]]="",DATEDIF(Table1[[#This Row],[Hire]],TODAY(),"Y"),DATEDIF(Table1[[#This Row],[Hire]],Table1[[#This Row],[Exit]],"Y"))</f>
        <v>1</v>
      </c>
      <c r="N402">
        <f>FLOOR(Table1[[#This Row],[Age]],10)</f>
        <v>40</v>
      </c>
      <c r="O402" t="str">
        <f>IF(Table1[[#This Row],[Age]]&lt;30,"20-29",IF(Table1[[#This Row],[Age]]&lt;40,"30-39",IF(Table1[[#This Row],[Age]]&lt;50,"40-49",IF(Table1[[#This Row],[Age]]&lt;60,"50-59","60+"))))</f>
        <v>40-49</v>
      </c>
    </row>
    <row r="403" spans="1:15" x14ac:dyDescent="0.25">
      <c r="A403" t="s">
        <v>816</v>
      </c>
      <c r="B403" t="s">
        <v>817</v>
      </c>
      <c r="C403" t="s">
        <v>21</v>
      </c>
      <c r="D403">
        <v>38</v>
      </c>
      <c r="E403" t="s">
        <v>66</v>
      </c>
      <c r="F403" t="s">
        <v>16</v>
      </c>
      <c r="G403" t="s">
        <v>34</v>
      </c>
      <c r="H403" s="1">
        <v>44083</v>
      </c>
      <c r="J403">
        <v>810000</v>
      </c>
      <c r="K403">
        <v>0</v>
      </c>
      <c r="L403" t="s">
        <v>24</v>
      </c>
      <c r="M403">
        <f ca="1">IF(Table1[[#This Row],[Exit]]="",DATEDIF(Table1[[#This Row],[Hire]],TODAY(),"Y"),DATEDIF(Table1[[#This Row],[Hire]],Table1[[#This Row],[Exit]],"Y"))</f>
        <v>5</v>
      </c>
      <c r="N403">
        <f>FLOOR(Table1[[#This Row],[Age]],10)</f>
        <v>30</v>
      </c>
      <c r="O403" t="str">
        <f>IF(Table1[[#This Row],[Age]]&lt;30,"20-29",IF(Table1[[#This Row],[Age]]&lt;40,"30-39",IF(Table1[[#This Row],[Age]]&lt;50,"40-49",IF(Table1[[#This Row],[Age]]&lt;60,"50-59","60+"))))</f>
        <v>30-39</v>
      </c>
    </row>
    <row r="404" spans="1:15" x14ac:dyDescent="0.25">
      <c r="A404" t="s">
        <v>818</v>
      </c>
      <c r="B404" t="s">
        <v>819</v>
      </c>
      <c r="C404" t="s">
        <v>21</v>
      </c>
      <c r="D404">
        <v>40</v>
      </c>
      <c r="E404" t="s">
        <v>66</v>
      </c>
      <c r="F404" t="s">
        <v>16</v>
      </c>
      <c r="G404" t="s">
        <v>53</v>
      </c>
      <c r="H404" s="1">
        <v>45233</v>
      </c>
      <c r="J404">
        <v>812000</v>
      </c>
      <c r="K404">
        <v>0</v>
      </c>
      <c r="L404" t="s">
        <v>24</v>
      </c>
      <c r="M404">
        <f ca="1">IF(Table1[[#This Row],[Exit]]="",DATEDIF(Table1[[#This Row],[Hire]],TODAY(),"Y"),DATEDIF(Table1[[#This Row],[Hire]],Table1[[#This Row],[Exit]],"Y"))</f>
        <v>2</v>
      </c>
      <c r="N404">
        <f>FLOOR(Table1[[#This Row],[Age]],10)</f>
        <v>40</v>
      </c>
      <c r="O404" t="str">
        <f>IF(Table1[[#This Row],[Age]]&lt;30,"20-29",IF(Table1[[#This Row],[Age]]&lt;40,"30-39",IF(Table1[[#This Row],[Age]]&lt;50,"40-49",IF(Table1[[#This Row],[Age]]&lt;60,"50-59","60+"))))</f>
        <v>40-49</v>
      </c>
    </row>
    <row r="405" spans="1:15" x14ac:dyDescent="0.25">
      <c r="A405" t="s">
        <v>820</v>
      </c>
      <c r="B405" t="s">
        <v>821</v>
      </c>
      <c r="C405" t="s">
        <v>21</v>
      </c>
      <c r="D405">
        <v>45</v>
      </c>
      <c r="E405" t="s">
        <v>58</v>
      </c>
      <c r="F405" t="s">
        <v>59</v>
      </c>
      <c r="G405" t="s">
        <v>53</v>
      </c>
      <c r="H405" s="1">
        <v>44681</v>
      </c>
      <c r="I405" s="1">
        <v>45237</v>
      </c>
      <c r="J405">
        <v>814000</v>
      </c>
      <c r="K405">
        <v>0.12</v>
      </c>
      <c r="L405" t="s">
        <v>18</v>
      </c>
      <c r="M405">
        <f ca="1">IF(Table1[[#This Row],[Exit]]="",DATEDIF(Table1[[#This Row],[Hire]],TODAY(),"Y"),DATEDIF(Table1[[#This Row],[Hire]],Table1[[#This Row],[Exit]],"Y"))</f>
        <v>1</v>
      </c>
      <c r="N405">
        <f>FLOOR(Table1[[#This Row],[Age]],10)</f>
        <v>40</v>
      </c>
      <c r="O405" t="str">
        <f>IF(Table1[[#This Row],[Age]]&lt;30,"20-29",IF(Table1[[#This Row],[Age]]&lt;40,"30-39",IF(Table1[[#This Row],[Age]]&lt;50,"40-49",IF(Table1[[#This Row],[Age]]&lt;60,"50-59","60+"))))</f>
        <v>40-49</v>
      </c>
    </row>
    <row r="406" spans="1:15" x14ac:dyDescent="0.25">
      <c r="A406" t="s">
        <v>822</v>
      </c>
      <c r="B406" t="s">
        <v>823</v>
      </c>
      <c r="C406" t="s">
        <v>14</v>
      </c>
      <c r="D406">
        <v>31</v>
      </c>
      <c r="E406" t="s">
        <v>15</v>
      </c>
      <c r="F406" t="s">
        <v>16</v>
      </c>
      <c r="G406" t="s">
        <v>53</v>
      </c>
      <c r="H406" s="1">
        <v>43887</v>
      </c>
      <c r="J406">
        <v>816000</v>
      </c>
      <c r="K406">
        <v>0.14000000000000001</v>
      </c>
      <c r="L406" t="s">
        <v>24</v>
      </c>
      <c r="M406">
        <f ca="1">IF(Table1[[#This Row],[Exit]]="",DATEDIF(Table1[[#This Row],[Hire]],TODAY(),"Y"),DATEDIF(Table1[[#This Row],[Hire]],Table1[[#This Row],[Exit]],"Y"))</f>
        <v>5</v>
      </c>
      <c r="N406">
        <f>FLOOR(Table1[[#This Row],[Age]],10)</f>
        <v>30</v>
      </c>
      <c r="O406" t="str">
        <f>IF(Table1[[#This Row],[Age]]&lt;30,"20-29",IF(Table1[[#This Row],[Age]]&lt;40,"30-39",IF(Table1[[#This Row],[Age]]&lt;50,"40-49",IF(Table1[[#This Row],[Age]]&lt;60,"50-59","60+"))))</f>
        <v>30-39</v>
      </c>
    </row>
    <row r="407" spans="1:15" x14ac:dyDescent="0.25">
      <c r="A407" t="s">
        <v>824</v>
      </c>
      <c r="B407" t="s">
        <v>825</v>
      </c>
      <c r="C407" t="s">
        <v>21</v>
      </c>
      <c r="D407">
        <v>35</v>
      </c>
      <c r="E407" t="s">
        <v>22</v>
      </c>
      <c r="F407" t="s">
        <v>16</v>
      </c>
      <c r="G407" t="s">
        <v>53</v>
      </c>
      <c r="H407" s="1">
        <v>44815</v>
      </c>
      <c r="J407">
        <v>818000</v>
      </c>
      <c r="K407">
        <v>0</v>
      </c>
      <c r="L407" t="s">
        <v>24</v>
      </c>
      <c r="M407">
        <f ca="1">IF(Table1[[#This Row],[Exit]]="",DATEDIF(Table1[[#This Row],[Hire]],TODAY(),"Y"),DATEDIF(Table1[[#This Row],[Hire]],Table1[[#This Row],[Exit]],"Y"))</f>
        <v>3</v>
      </c>
      <c r="N407">
        <f>FLOOR(Table1[[#This Row],[Age]],10)</f>
        <v>30</v>
      </c>
      <c r="O407" t="str">
        <f>IF(Table1[[#This Row],[Age]]&lt;30,"20-29",IF(Table1[[#This Row],[Age]]&lt;40,"30-39",IF(Table1[[#This Row],[Age]]&lt;50,"40-49",IF(Table1[[#This Row],[Age]]&lt;60,"50-59","60+"))))</f>
        <v>30-39</v>
      </c>
    </row>
    <row r="408" spans="1:15" x14ac:dyDescent="0.25">
      <c r="A408" t="s">
        <v>826</v>
      </c>
      <c r="B408" t="s">
        <v>827</v>
      </c>
      <c r="C408" t="s">
        <v>14</v>
      </c>
      <c r="D408">
        <v>31</v>
      </c>
      <c r="E408" t="s">
        <v>81</v>
      </c>
      <c r="F408" t="s">
        <v>43</v>
      </c>
      <c r="G408" t="s">
        <v>53</v>
      </c>
      <c r="H408" s="1">
        <v>45430</v>
      </c>
      <c r="J408">
        <v>820000</v>
      </c>
      <c r="K408">
        <v>0</v>
      </c>
      <c r="L408" t="s">
        <v>24</v>
      </c>
      <c r="M408">
        <f ca="1">IF(Table1[[#This Row],[Exit]]="",DATEDIF(Table1[[#This Row],[Hire]],TODAY(),"Y"),DATEDIF(Table1[[#This Row],[Hire]],Table1[[#This Row],[Exit]],"Y"))</f>
        <v>1</v>
      </c>
      <c r="N408">
        <f>FLOOR(Table1[[#This Row],[Age]],10)</f>
        <v>30</v>
      </c>
      <c r="O408" t="str">
        <f>IF(Table1[[#This Row],[Age]]&lt;30,"20-29",IF(Table1[[#This Row],[Age]]&lt;40,"30-39",IF(Table1[[#This Row],[Age]]&lt;50,"40-49",IF(Table1[[#This Row],[Age]]&lt;60,"50-59","60+"))))</f>
        <v>30-39</v>
      </c>
    </row>
    <row r="409" spans="1:15" x14ac:dyDescent="0.25">
      <c r="A409" t="s">
        <v>828</v>
      </c>
      <c r="B409" t="s">
        <v>829</v>
      </c>
      <c r="C409" t="s">
        <v>14</v>
      </c>
      <c r="D409">
        <v>35</v>
      </c>
      <c r="E409" t="s">
        <v>52</v>
      </c>
      <c r="F409" t="s">
        <v>16</v>
      </c>
      <c r="G409" t="s">
        <v>17</v>
      </c>
      <c r="H409" s="1">
        <v>44509</v>
      </c>
      <c r="J409">
        <v>822000</v>
      </c>
      <c r="K409">
        <v>0</v>
      </c>
      <c r="L409" t="s">
        <v>24</v>
      </c>
      <c r="M409">
        <f ca="1">IF(Table1[[#This Row],[Exit]]="",DATEDIF(Table1[[#This Row],[Hire]],TODAY(),"Y"),DATEDIF(Table1[[#This Row],[Hire]],Table1[[#This Row],[Exit]],"Y"))</f>
        <v>4</v>
      </c>
      <c r="N409">
        <f>FLOOR(Table1[[#This Row],[Age]],10)</f>
        <v>30</v>
      </c>
      <c r="O409" t="str">
        <f>IF(Table1[[#This Row],[Age]]&lt;30,"20-29",IF(Table1[[#This Row],[Age]]&lt;40,"30-39",IF(Table1[[#This Row],[Age]]&lt;50,"40-49",IF(Table1[[#This Row],[Age]]&lt;60,"50-59","60+"))))</f>
        <v>30-39</v>
      </c>
    </row>
    <row r="410" spans="1:15" x14ac:dyDescent="0.25">
      <c r="A410" t="s">
        <v>830</v>
      </c>
      <c r="B410" t="s">
        <v>831</v>
      </c>
      <c r="C410" t="s">
        <v>14</v>
      </c>
      <c r="D410">
        <v>31</v>
      </c>
      <c r="E410" t="s">
        <v>66</v>
      </c>
      <c r="F410" t="s">
        <v>16</v>
      </c>
      <c r="G410" t="s">
        <v>23</v>
      </c>
      <c r="H410" s="1">
        <v>43963</v>
      </c>
      <c r="J410">
        <v>824000</v>
      </c>
      <c r="K410">
        <v>0</v>
      </c>
      <c r="L410" t="s">
        <v>24</v>
      </c>
      <c r="M410">
        <f ca="1">IF(Table1[[#This Row],[Exit]]="",DATEDIF(Table1[[#This Row],[Hire]],TODAY(),"Y"),DATEDIF(Table1[[#This Row],[Hire]],Table1[[#This Row],[Exit]],"Y"))</f>
        <v>5</v>
      </c>
      <c r="N410">
        <f>FLOOR(Table1[[#This Row],[Age]],10)</f>
        <v>30</v>
      </c>
      <c r="O410" t="str">
        <f>IF(Table1[[#This Row],[Age]]&lt;30,"20-29",IF(Table1[[#This Row],[Age]]&lt;40,"30-39",IF(Table1[[#This Row],[Age]]&lt;50,"40-49",IF(Table1[[#This Row],[Age]]&lt;60,"50-59","60+"))))</f>
        <v>30-39</v>
      </c>
    </row>
    <row r="411" spans="1:15" x14ac:dyDescent="0.25">
      <c r="A411" t="s">
        <v>832</v>
      </c>
      <c r="B411" t="s">
        <v>833</v>
      </c>
      <c r="C411" t="s">
        <v>14</v>
      </c>
      <c r="D411">
        <v>31</v>
      </c>
      <c r="E411" t="s">
        <v>31</v>
      </c>
      <c r="F411" t="s">
        <v>16</v>
      </c>
      <c r="G411" t="s">
        <v>53</v>
      </c>
      <c r="H411" s="1">
        <v>44815</v>
      </c>
      <c r="J411">
        <v>826000</v>
      </c>
      <c r="K411">
        <v>0.23</v>
      </c>
      <c r="L411" t="s">
        <v>24</v>
      </c>
      <c r="M411">
        <f ca="1">IF(Table1[[#This Row],[Exit]]="",DATEDIF(Table1[[#This Row],[Hire]],TODAY(),"Y"),DATEDIF(Table1[[#This Row],[Hire]],Table1[[#This Row],[Exit]],"Y"))</f>
        <v>3</v>
      </c>
      <c r="N411">
        <f>FLOOR(Table1[[#This Row],[Age]],10)</f>
        <v>30</v>
      </c>
      <c r="O411" t="str">
        <f>IF(Table1[[#This Row],[Age]]&lt;30,"20-29",IF(Table1[[#This Row],[Age]]&lt;40,"30-39",IF(Table1[[#This Row],[Age]]&lt;50,"40-49",IF(Table1[[#This Row],[Age]]&lt;60,"50-59","60+"))))</f>
        <v>30-39</v>
      </c>
    </row>
    <row r="412" spans="1:15" x14ac:dyDescent="0.25">
      <c r="A412" t="s">
        <v>834</v>
      </c>
      <c r="B412" t="s">
        <v>835</v>
      </c>
      <c r="C412" t="s">
        <v>14</v>
      </c>
      <c r="D412">
        <v>31</v>
      </c>
      <c r="E412" t="s">
        <v>81</v>
      </c>
      <c r="F412" t="s">
        <v>49</v>
      </c>
      <c r="G412" t="s">
        <v>34</v>
      </c>
      <c r="H412" s="1">
        <v>44857</v>
      </c>
      <c r="J412">
        <v>828000</v>
      </c>
      <c r="K412">
        <v>0.36</v>
      </c>
      <c r="L412" t="s">
        <v>24</v>
      </c>
      <c r="M412">
        <f ca="1">IF(Table1[[#This Row],[Exit]]="",DATEDIF(Table1[[#This Row],[Hire]],TODAY(),"Y"),DATEDIF(Table1[[#This Row],[Hire]],Table1[[#This Row],[Exit]],"Y"))</f>
        <v>3</v>
      </c>
      <c r="N412">
        <f>FLOOR(Table1[[#This Row],[Age]],10)</f>
        <v>30</v>
      </c>
      <c r="O412" t="str">
        <f>IF(Table1[[#This Row],[Age]]&lt;30,"20-29",IF(Table1[[#This Row],[Age]]&lt;40,"30-39",IF(Table1[[#This Row],[Age]]&lt;50,"40-49",IF(Table1[[#This Row],[Age]]&lt;60,"50-59","60+"))))</f>
        <v>30-39</v>
      </c>
    </row>
    <row r="413" spans="1:15" x14ac:dyDescent="0.25">
      <c r="A413" t="s">
        <v>836</v>
      </c>
      <c r="B413" t="s">
        <v>837</v>
      </c>
      <c r="C413" t="s">
        <v>14</v>
      </c>
      <c r="D413">
        <v>31</v>
      </c>
      <c r="E413" t="s">
        <v>92</v>
      </c>
      <c r="F413" t="s">
        <v>59</v>
      </c>
      <c r="G413" t="s">
        <v>53</v>
      </c>
      <c r="H413" s="1">
        <v>45527</v>
      </c>
      <c r="J413">
        <v>830000</v>
      </c>
      <c r="K413">
        <v>0</v>
      </c>
      <c r="L413" t="s">
        <v>24</v>
      </c>
      <c r="M413">
        <f ca="1">IF(Table1[[#This Row],[Exit]]="",DATEDIF(Table1[[#This Row],[Hire]],TODAY(),"Y"),DATEDIF(Table1[[#This Row],[Hire]],Table1[[#This Row],[Exit]],"Y"))</f>
        <v>1</v>
      </c>
      <c r="N413">
        <f>FLOOR(Table1[[#This Row],[Age]],10)</f>
        <v>30</v>
      </c>
      <c r="O413" t="str">
        <f>IF(Table1[[#This Row],[Age]]&lt;30,"20-29",IF(Table1[[#This Row],[Age]]&lt;40,"30-39",IF(Table1[[#This Row],[Age]]&lt;50,"40-49",IF(Table1[[#This Row],[Age]]&lt;60,"50-59","60+"))))</f>
        <v>30-39</v>
      </c>
    </row>
    <row r="414" spans="1:15" x14ac:dyDescent="0.25">
      <c r="A414" t="s">
        <v>838</v>
      </c>
      <c r="B414" t="s">
        <v>839</v>
      </c>
      <c r="C414" t="s">
        <v>14</v>
      </c>
      <c r="D414">
        <v>36</v>
      </c>
      <c r="E414" t="s">
        <v>81</v>
      </c>
      <c r="F414" t="s">
        <v>46</v>
      </c>
      <c r="G414" t="s">
        <v>23</v>
      </c>
      <c r="H414" s="1">
        <v>45237</v>
      </c>
      <c r="J414">
        <v>832000</v>
      </c>
      <c r="K414">
        <v>0</v>
      </c>
      <c r="L414" t="s">
        <v>24</v>
      </c>
      <c r="M414">
        <f ca="1">IF(Table1[[#This Row],[Exit]]="",DATEDIF(Table1[[#This Row],[Hire]],TODAY(),"Y"),DATEDIF(Table1[[#This Row],[Hire]],Table1[[#This Row],[Exit]],"Y"))</f>
        <v>2</v>
      </c>
      <c r="N414">
        <f>FLOOR(Table1[[#This Row],[Age]],10)</f>
        <v>30</v>
      </c>
      <c r="O414" t="str">
        <f>IF(Table1[[#This Row],[Age]]&lt;30,"20-29",IF(Table1[[#This Row],[Age]]&lt;40,"30-39",IF(Table1[[#This Row],[Age]]&lt;50,"40-49",IF(Table1[[#This Row],[Age]]&lt;60,"50-59","60+"))))</f>
        <v>30-39</v>
      </c>
    </row>
    <row r="415" spans="1:15" x14ac:dyDescent="0.25">
      <c r="A415" t="s">
        <v>840</v>
      </c>
      <c r="B415" t="s">
        <v>841</v>
      </c>
      <c r="C415" t="s">
        <v>21</v>
      </c>
      <c r="D415">
        <v>45</v>
      </c>
      <c r="E415" t="s">
        <v>22</v>
      </c>
      <c r="F415" t="s">
        <v>16</v>
      </c>
      <c r="G415" t="s">
        <v>34</v>
      </c>
      <c r="H415" s="1">
        <v>45206</v>
      </c>
      <c r="J415">
        <v>834000</v>
      </c>
      <c r="K415">
        <v>0.09</v>
      </c>
      <c r="L415" t="s">
        <v>24</v>
      </c>
      <c r="M415">
        <f ca="1">IF(Table1[[#This Row],[Exit]]="",DATEDIF(Table1[[#This Row],[Hire]],TODAY(),"Y"),DATEDIF(Table1[[#This Row],[Hire]],Table1[[#This Row],[Exit]],"Y"))</f>
        <v>2</v>
      </c>
      <c r="N415">
        <f>FLOOR(Table1[[#This Row],[Age]],10)</f>
        <v>40</v>
      </c>
      <c r="O415" t="str">
        <f>IF(Table1[[#This Row],[Age]]&lt;30,"20-29",IF(Table1[[#This Row],[Age]]&lt;40,"30-39",IF(Table1[[#This Row],[Age]]&lt;50,"40-49",IF(Table1[[#This Row],[Age]]&lt;60,"50-59","60+"))))</f>
        <v>40-49</v>
      </c>
    </row>
    <row r="416" spans="1:15" x14ac:dyDescent="0.25">
      <c r="A416" t="s">
        <v>842</v>
      </c>
      <c r="B416" t="s">
        <v>843</v>
      </c>
      <c r="C416" t="s">
        <v>21</v>
      </c>
      <c r="D416">
        <v>37</v>
      </c>
      <c r="E416" t="s">
        <v>92</v>
      </c>
      <c r="F416" t="s">
        <v>59</v>
      </c>
      <c r="G416" t="s">
        <v>34</v>
      </c>
      <c r="H416" s="1">
        <v>44677</v>
      </c>
      <c r="J416">
        <v>836000</v>
      </c>
      <c r="K416">
        <v>0.09</v>
      </c>
      <c r="L416" t="s">
        <v>24</v>
      </c>
      <c r="M416">
        <f ca="1">IF(Table1[[#This Row],[Exit]]="",DATEDIF(Table1[[#This Row],[Hire]],TODAY(),"Y"),DATEDIF(Table1[[#This Row],[Hire]],Table1[[#This Row],[Exit]],"Y"))</f>
        <v>3</v>
      </c>
      <c r="N416">
        <f>FLOOR(Table1[[#This Row],[Age]],10)</f>
        <v>30</v>
      </c>
      <c r="O416" t="str">
        <f>IF(Table1[[#This Row],[Age]]&lt;30,"20-29",IF(Table1[[#This Row],[Age]]&lt;40,"30-39",IF(Table1[[#This Row],[Age]]&lt;50,"40-49",IF(Table1[[#This Row],[Age]]&lt;60,"50-59","60+"))))</f>
        <v>30-39</v>
      </c>
    </row>
    <row r="417" spans="1:15" x14ac:dyDescent="0.25">
      <c r="A417" t="s">
        <v>844</v>
      </c>
      <c r="B417" t="s">
        <v>845</v>
      </c>
      <c r="C417" t="s">
        <v>21</v>
      </c>
      <c r="D417">
        <v>38</v>
      </c>
      <c r="E417" t="s">
        <v>31</v>
      </c>
      <c r="F417" t="s">
        <v>16</v>
      </c>
      <c r="G417" t="s">
        <v>17</v>
      </c>
      <c r="H417" s="1">
        <v>43889</v>
      </c>
      <c r="J417">
        <v>838000</v>
      </c>
      <c r="K417">
        <v>0</v>
      </c>
      <c r="L417" t="s">
        <v>24</v>
      </c>
      <c r="M417">
        <f ca="1">IF(Table1[[#This Row],[Exit]]="",DATEDIF(Table1[[#This Row],[Hire]],TODAY(),"Y"),DATEDIF(Table1[[#This Row],[Hire]],Table1[[#This Row],[Exit]],"Y"))</f>
        <v>5</v>
      </c>
      <c r="N417">
        <f>FLOOR(Table1[[#This Row],[Age]],10)</f>
        <v>30</v>
      </c>
      <c r="O417" t="str">
        <f>IF(Table1[[#This Row],[Age]]&lt;30,"20-29",IF(Table1[[#This Row],[Age]]&lt;40,"30-39",IF(Table1[[#This Row],[Age]]&lt;50,"40-49",IF(Table1[[#This Row],[Age]]&lt;60,"50-59","60+"))))</f>
        <v>30-39</v>
      </c>
    </row>
    <row r="418" spans="1:15" x14ac:dyDescent="0.25">
      <c r="A418" t="s">
        <v>846</v>
      </c>
      <c r="B418" t="s">
        <v>847</v>
      </c>
      <c r="C418" t="s">
        <v>21</v>
      </c>
      <c r="D418">
        <v>45</v>
      </c>
      <c r="E418" t="s">
        <v>15</v>
      </c>
      <c r="F418" t="s">
        <v>16</v>
      </c>
      <c r="G418" t="s">
        <v>17</v>
      </c>
      <c r="H418" s="1">
        <v>44116</v>
      </c>
      <c r="J418">
        <v>840000</v>
      </c>
      <c r="K418">
        <v>0</v>
      </c>
      <c r="L418" t="s">
        <v>24</v>
      </c>
      <c r="M418">
        <f ca="1">IF(Table1[[#This Row],[Exit]]="",DATEDIF(Table1[[#This Row],[Hire]],TODAY(),"Y"),DATEDIF(Table1[[#This Row],[Hire]],Table1[[#This Row],[Exit]],"Y"))</f>
        <v>5</v>
      </c>
      <c r="N418">
        <f>FLOOR(Table1[[#This Row],[Age]],10)</f>
        <v>40</v>
      </c>
      <c r="O418" t="str">
        <f>IF(Table1[[#This Row],[Age]]&lt;30,"20-29",IF(Table1[[#This Row],[Age]]&lt;40,"30-39",IF(Table1[[#This Row],[Age]]&lt;50,"40-49",IF(Table1[[#This Row],[Age]]&lt;60,"50-59","60+"))))</f>
        <v>40-49</v>
      </c>
    </row>
    <row r="419" spans="1:15" x14ac:dyDescent="0.25">
      <c r="A419" t="s">
        <v>848</v>
      </c>
      <c r="B419" t="s">
        <v>849</v>
      </c>
      <c r="C419" t="s">
        <v>14</v>
      </c>
      <c r="D419">
        <v>51</v>
      </c>
      <c r="E419" t="s">
        <v>22</v>
      </c>
      <c r="F419" t="s">
        <v>16</v>
      </c>
      <c r="G419" t="s">
        <v>23</v>
      </c>
      <c r="H419" s="1">
        <v>44588</v>
      </c>
      <c r="J419">
        <v>842000</v>
      </c>
      <c r="K419">
        <v>0.36</v>
      </c>
      <c r="L419" t="s">
        <v>24</v>
      </c>
      <c r="M419">
        <f ca="1">IF(Table1[[#This Row],[Exit]]="",DATEDIF(Table1[[#This Row],[Hire]],TODAY(),"Y"),DATEDIF(Table1[[#This Row],[Hire]],Table1[[#This Row],[Exit]],"Y"))</f>
        <v>4</v>
      </c>
      <c r="N419">
        <f>FLOOR(Table1[[#This Row],[Age]],10)</f>
        <v>50</v>
      </c>
      <c r="O419" t="str">
        <f>IF(Table1[[#This Row],[Age]]&lt;30,"20-29",IF(Table1[[#This Row],[Age]]&lt;40,"30-39",IF(Table1[[#This Row],[Age]]&lt;50,"40-49",IF(Table1[[#This Row],[Age]]&lt;60,"50-59","60+"))))</f>
        <v>50-59</v>
      </c>
    </row>
    <row r="420" spans="1:15" x14ac:dyDescent="0.25">
      <c r="A420" t="s">
        <v>850</v>
      </c>
      <c r="B420" t="s">
        <v>851</v>
      </c>
      <c r="C420" t="s">
        <v>14</v>
      </c>
      <c r="D420">
        <v>56</v>
      </c>
      <c r="E420" t="s">
        <v>27</v>
      </c>
      <c r="F420" t="s">
        <v>28</v>
      </c>
      <c r="G420" t="s">
        <v>17</v>
      </c>
      <c r="H420" s="1">
        <v>45337</v>
      </c>
      <c r="J420">
        <v>844000</v>
      </c>
      <c r="K420">
        <v>0</v>
      </c>
      <c r="L420" t="s">
        <v>24</v>
      </c>
      <c r="M420">
        <f ca="1">IF(Table1[[#This Row],[Exit]]="",DATEDIF(Table1[[#This Row],[Hire]],TODAY(),"Y"),DATEDIF(Table1[[#This Row],[Hire]],Table1[[#This Row],[Exit]],"Y"))</f>
        <v>1</v>
      </c>
      <c r="N420">
        <f>FLOOR(Table1[[#This Row],[Age]],10)</f>
        <v>50</v>
      </c>
      <c r="O420" t="str">
        <f>IF(Table1[[#This Row],[Age]]&lt;30,"20-29",IF(Table1[[#This Row],[Age]]&lt;40,"30-39",IF(Table1[[#This Row],[Age]]&lt;50,"40-49",IF(Table1[[#This Row],[Age]]&lt;60,"50-59","60+"))))</f>
        <v>50-59</v>
      </c>
    </row>
    <row r="421" spans="1:15" x14ac:dyDescent="0.25">
      <c r="A421" t="s">
        <v>852</v>
      </c>
      <c r="B421" t="s">
        <v>853</v>
      </c>
      <c r="C421" t="s">
        <v>14</v>
      </c>
      <c r="D421">
        <v>53</v>
      </c>
      <c r="E421" t="s">
        <v>31</v>
      </c>
      <c r="F421" t="s">
        <v>16</v>
      </c>
      <c r="G421" t="s">
        <v>23</v>
      </c>
      <c r="H421" s="1">
        <v>45332</v>
      </c>
      <c r="J421">
        <v>846000</v>
      </c>
      <c r="K421">
        <v>0</v>
      </c>
      <c r="L421" t="s">
        <v>24</v>
      </c>
      <c r="M421">
        <f ca="1">IF(Table1[[#This Row],[Exit]]="",DATEDIF(Table1[[#This Row],[Hire]],TODAY(),"Y"),DATEDIF(Table1[[#This Row],[Hire]],Table1[[#This Row],[Exit]],"Y"))</f>
        <v>1</v>
      </c>
      <c r="N421">
        <f>FLOOR(Table1[[#This Row],[Age]],10)</f>
        <v>50</v>
      </c>
      <c r="O421" t="str">
        <f>IF(Table1[[#This Row],[Age]]&lt;30,"20-29",IF(Table1[[#This Row],[Age]]&lt;40,"30-39",IF(Table1[[#This Row],[Age]]&lt;50,"40-49",IF(Table1[[#This Row],[Age]]&lt;60,"50-59","60+"))))</f>
        <v>50-59</v>
      </c>
    </row>
    <row r="422" spans="1:15" x14ac:dyDescent="0.25">
      <c r="A422" t="s">
        <v>854</v>
      </c>
      <c r="B422" t="s">
        <v>855</v>
      </c>
      <c r="C422" t="s">
        <v>14</v>
      </c>
      <c r="D422">
        <v>47</v>
      </c>
      <c r="E422" t="s">
        <v>27</v>
      </c>
      <c r="F422" t="s">
        <v>28</v>
      </c>
      <c r="G422" t="s">
        <v>34</v>
      </c>
      <c r="H422" s="1">
        <v>44183</v>
      </c>
      <c r="J422">
        <v>848000</v>
      </c>
      <c r="K422">
        <v>0</v>
      </c>
      <c r="L422" t="s">
        <v>24</v>
      </c>
      <c r="M422">
        <f ca="1">IF(Table1[[#This Row],[Exit]]="",DATEDIF(Table1[[#This Row],[Hire]],TODAY(),"Y"),DATEDIF(Table1[[#This Row],[Hire]],Table1[[#This Row],[Exit]],"Y"))</f>
        <v>5</v>
      </c>
      <c r="N422">
        <f>FLOOR(Table1[[#This Row],[Age]],10)</f>
        <v>40</v>
      </c>
      <c r="O422" t="str">
        <f>IF(Table1[[#This Row],[Age]]&lt;30,"20-29",IF(Table1[[#This Row],[Age]]&lt;40,"30-39",IF(Table1[[#This Row],[Age]]&lt;50,"40-49",IF(Table1[[#This Row],[Age]]&lt;60,"50-59","60+"))))</f>
        <v>40-49</v>
      </c>
    </row>
    <row r="423" spans="1:15" x14ac:dyDescent="0.25">
      <c r="A423" t="s">
        <v>856</v>
      </c>
      <c r="B423" t="s">
        <v>857</v>
      </c>
      <c r="C423" t="s">
        <v>14</v>
      </c>
      <c r="D423">
        <v>36</v>
      </c>
      <c r="E423" t="s">
        <v>15</v>
      </c>
      <c r="F423" t="s">
        <v>16</v>
      </c>
      <c r="G423" t="s">
        <v>23</v>
      </c>
      <c r="H423" s="1">
        <v>43837</v>
      </c>
      <c r="J423">
        <v>850000</v>
      </c>
      <c r="K423">
        <v>0</v>
      </c>
      <c r="L423" t="s">
        <v>24</v>
      </c>
      <c r="M423">
        <f ca="1">IF(Table1[[#This Row],[Exit]]="",DATEDIF(Table1[[#This Row],[Hire]],TODAY(),"Y"),DATEDIF(Table1[[#This Row],[Hire]],Table1[[#This Row],[Exit]],"Y"))</f>
        <v>6</v>
      </c>
      <c r="N423">
        <f>FLOOR(Table1[[#This Row],[Age]],10)</f>
        <v>30</v>
      </c>
      <c r="O423" t="str">
        <f>IF(Table1[[#This Row],[Age]]&lt;30,"20-29",IF(Table1[[#This Row],[Age]]&lt;40,"30-39",IF(Table1[[#This Row],[Age]]&lt;50,"40-49",IF(Table1[[#This Row],[Age]]&lt;60,"50-59","60+"))))</f>
        <v>30-39</v>
      </c>
    </row>
    <row r="424" spans="1:15" x14ac:dyDescent="0.25">
      <c r="A424" t="s">
        <v>858</v>
      </c>
      <c r="B424" t="s">
        <v>859</v>
      </c>
      <c r="C424" t="s">
        <v>355</v>
      </c>
      <c r="D424">
        <v>41</v>
      </c>
      <c r="E424" t="s">
        <v>15</v>
      </c>
      <c r="F424" t="s">
        <v>16</v>
      </c>
      <c r="G424" t="s">
        <v>34</v>
      </c>
      <c r="H424" s="1">
        <v>45206</v>
      </c>
      <c r="J424">
        <v>852000</v>
      </c>
      <c r="K424">
        <v>0.38</v>
      </c>
      <c r="L424" t="s">
        <v>24</v>
      </c>
      <c r="M424">
        <f ca="1">IF(Table1[[#This Row],[Exit]]="",DATEDIF(Table1[[#This Row],[Hire]],TODAY(),"Y"),DATEDIF(Table1[[#This Row],[Hire]],Table1[[#This Row],[Exit]],"Y"))</f>
        <v>2</v>
      </c>
      <c r="N424">
        <f>FLOOR(Table1[[#This Row],[Age]],10)</f>
        <v>40</v>
      </c>
      <c r="O424" t="str">
        <f>IF(Table1[[#This Row],[Age]]&lt;30,"20-29",IF(Table1[[#This Row],[Age]]&lt;40,"30-39",IF(Table1[[#This Row],[Age]]&lt;50,"40-49",IF(Table1[[#This Row],[Age]]&lt;60,"50-59","60+"))))</f>
        <v>40-49</v>
      </c>
    </row>
    <row r="425" spans="1:15" x14ac:dyDescent="0.25">
      <c r="A425" t="s">
        <v>860</v>
      </c>
      <c r="B425" t="s">
        <v>861</v>
      </c>
      <c r="C425" t="s">
        <v>14</v>
      </c>
      <c r="D425">
        <v>31</v>
      </c>
      <c r="E425" t="s">
        <v>42</v>
      </c>
      <c r="F425" t="s">
        <v>43</v>
      </c>
      <c r="G425" t="s">
        <v>34</v>
      </c>
      <c r="H425" s="1">
        <v>44487</v>
      </c>
      <c r="J425">
        <v>854000</v>
      </c>
      <c r="K425">
        <v>0.15</v>
      </c>
      <c r="L425" t="s">
        <v>24</v>
      </c>
      <c r="M425">
        <f ca="1">IF(Table1[[#This Row],[Exit]]="",DATEDIF(Table1[[#This Row],[Hire]],TODAY(),"Y"),DATEDIF(Table1[[#This Row],[Hire]],Table1[[#This Row],[Exit]],"Y"))</f>
        <v>4</v>
      </c>
      <c r="N425">
        <f>FLOOR(Table1[[#This Row],[Age]],10)</f>
        <v>30</v>
      </c>
      <c r="O425" t="str">
        <f>IF(Table1[[#This Row],[Age]]&lt;30,"20-29",IF(Table1[[#This Row],[Age]]&lt;40,"30-39",IF(Table1[[#This Row],[Age]]&lt;50,"40-49",IF(Table1[[#This Row],[Age]]&lt;60,"50-59","60+"))))</f>
        <v>30-39</v>
      </c>
    </row>
    <row r="426" spans="1:15" x14ac:dyDescent="0.25">
      <c r="A426" t="s">
        <v>862</v>
      </c>
      <c r="B426" t="s">
        <v>863</v>
      </c>
      <c r="C426" t="s">
        <v>14</v>
      </c>
      <c r="D426">
        <v>31</v>
      </c>
      <c r="E426" t="s">
        <v>42</v>
      </c>
      <c r="F426" t="s">
        <v>46</v>
      </c>
      <c r="G426" t="s">
        <v>23</v>
      </c>
      <c r="H426" s="1">
        <v>44791</v>
      </c>
      <c r="J426">
        <v>856000</v>
      </c>
      <c r="K426">
        <v>0.1</v>
      </c>
      <c r="L426" t="s">
        <v>24</v>
      </c>
      <c r="M426">
        <f ca="1">IF(Table1[[#This Row],[Exit]]="",DATEDIF(Table1[[#This Row],[Hire]],TODAY(),"Y"),DATEDIF(Table1[[#This Row],[Hire]],Table1[[#This Row],[Exit]],"Y"))</f>
        <v>3</v>
      </c>
      <c r="N426">
        <f>FLOOR(Table1[[#This Row],[Age]],10)</f>
        <v>30</v>
      </c>
      <c r="O426" t="str">
        <f>IF(Table1[[#This Row],[Age]]&lt;30,"20-29",IF(Table1[[#This Row],[Age]]&lt;40,"30-39",IF(Table1[[#This Row],[Age]]&lt;50,"40-49",IF(Table1[[#This Row],[Age]]&lt;60,"50-59","60+"))))</f>
        <v>30-39</v>
      </c>
    </row>
    <row r="427" spans="1:15" x14ac:dyDescent="0.25">
      <c r="A427" t="s">
        <v>864</v>
      </c>
      <c r="B427" t="s">
        <v>865</v>
      </c>
      <c r="C427" t="s">
        <v>14</v>
      </c>
      <c r="D427">
        <v>38</v>
      </c>
      <c r="E427" t="s">
        <v>42</v>
      </c>
      <c r="F427" t="s">
        <v>49</v>
      </c>
      <c r="G427" t="s">
        <v>17</v>
      </c>
      <c r="H427" s="1">
        <v>45440</v>
      </c>
      <c r="J427">
        <v>858000</v>
      </c>
      <c r="K427">
        <v>0.15</v>
      </c>
      <c r="L427" t="s">
        <v>24</v>
      </c>
      <c r="M427">
        <f ca="1">IF(Table1[[#This Row],[Exit]]="",DATEDIF(Table1[[#This Row],[Hire]],TODAY(),"Y"),DATEDIF(Table1[[#This Row],[Hire]],Table1[[#This Row],[Exit]],"Y"))</f>
        <v>1</v>
      </c>
      <c r="N427">
        <f>FLOOR(Table1[[#This Row],[Age]],10)</f>
        <v>30</v>
      </c>
      <c r="O427" t="str">
        <f>IF(Table1[[#This Row],[Age]]&lt;30,"20-29",IF(Table1[[#This Row],[Age]]&lt;40,"30-39",IF(Table1[[#This Row],[Age]]&lt;50,"40-49",IF(Table1[[#This Row],[Age]]&lt;60,"50-59","60+"))))</f>
        <v>30-39</v>
      </c>
    </row>
    <row r="428" spans="1:15" x14ac:dyDescent="0.25">
      <c r="A428" t="s">
        <v>622</v>
      </c>
      <c r="B428" t="s">
        <v>866</v>
      </c>
      <c r="C428" t="s">
        <v>14</v>
      </c>
      <c r="D428">
        <v>28</v>
      </c>
      <c r="E428" t="s">
        <v>52</v>
      </c>
      <c r="F428" t="s">
        <v>16</v>
      </c>
      <c r="G428" t="s">
        <v>53</v>
      </c>
      <c r="H428" s="1">
        <v>44811</v>
      </c>
      <c r="I428" s="1">
        <v>45412</v>
      </c>
      <c r="J428">
        <v>860000</v>
      </c>
      <c r="K428">
        <v>0.05</v>
      </c>
      <c r="L428" t="s">
        <v>18</v>
      </c>
      <c r="M428">
        <f ca="1">IF(Table1[[#This Row],[Exit]]="",DATEDIF(Table1[[#This Row],[Hire]],TODAY(),"Y"),DATEDIF(Table1[[#This Row],[Hire]],Table1[[#This Row],[Exit]],"Y"))</f>
        <v>1</v>
      </c>
      <c r="N428">
        <f>FLOOR(Table1[[#This Row],[Age]],10)</f>
        <v>20</v>
      </c>
      <c r="O428" t="str">
        <f>IF(Table1[[#This Row],[Age]]&lt;30,"20-29",IF(Table1[[#This Row],[Age]]&lt;40,"30-39",IF(Table1[[#This Row],[Age]]&lt;50,"40-49",IF(Table1[[#This Row],[Age]]&lt;60,"50-59","60+"))))</f>
        <v>20-29</v>
      </c>
    </row>
    <row r="429" spans="1:15" x14ac:dyDescent="0.25">
      <c r="A429" t="s">
        <v>867</v>
      </c>
      <c r="B429" t="s">
        <v>868</v>
      </c>
      <c r="C429" t="s">
        <v>14</v>
      </c>
      <c r="D429">
        <v>39</v>
      </c>
      <c r="E429" t="s">
        <v>42</v>
      </c>
      <c r="F429" t="s">
        <v>46</v>
      </c>
      <c r="G429" t="s">
        <v>53</v>
      </c>
      <c r="H429" s="1">
        <v>45294</v>
      </c>
      <c r="J429">
        <v>862000</v>
      </c>
      <c r="K429">
        <v>0</v>
      </c>
      <c r="L429" t="s">
        <v>24</v>
      </c>
      <c r="M429">
        <f ca="1">IF(Table1[[#This Row],[Exit]]="",DATEDIF(Table1[[#This Row],[Hire]],TODAY(),"Y"),DATEDIF(Table1[[#This Row],[Hire]],Table1[[#This Row],[Exit]],"Y"))</f>
        <v>2</v>
      </c>
      <c r="N429">
        <f>FLOOR(Table1[[#This Row],[Age]],10)</f>
        <v>30</v>
      </c>
      <c r="O429" t="str">
        <f>IF(Table1[[#This Row],[Age]]&lt;30,"20-29",IF(Table1[[#This Row],[Age]]&lt;40,"30-39",IF(Table1[[#This Row],[Age]]&lt;50,"40-49",IF(Table1[[#This Row],[Age]]&lt;60,"50-59","60+"))))</f>
        <v>30-39</v>
      </c>
    </row>
    <row r="430" spans="1:15" x14ac:dyDescent="0.25">
      <c r="A430" t="s">
        <v>869</v>
      </c>
      <c r="B430" t="s">
        <v>870</v>
      </c>
      <c r="C430" t="s">
        <v>21</v>
      </c>
      <c r="D430">
        <v>31</v>
      </c>
      <c r="E430" t="s">
        <v>58</v>
      </c>
      <c r="F430" t="s">
        <v>59</v>
      </c>
      <c r="G430" t="s">
        <v>34</v>
      </c>
      <c r="H430" s="1">
        <v>45074</v>
      </c>
      <c r="J430">
        <v>864000</v>
      </c>
      <c r="K430">
        <v>0.18</v>
      </c>
      <c r="L430" t="s">
        <v>24</v>
      </c>
      <c r="M430">
        <f ca="1">IF(Table1[[#This Row],[Exit]]="",DATEDIF(Table1[[#This Row],[Hire]],TODAY(),"Y"),DATEDIF(Table1[[#This Row],[Hire]],Table1[[#This Row],[Exit]],"Y"))</f>
        <v>2</v>
      </c>
      <c r="N430">
        <f>FLOOR(Table1[[#This Row],[Age]],10)</f>
        <v>30</v>
      </c>
      <c r="O430" t="str">
        <f>IF(Table1[[#This Row],[Age]]&lt;30,"20-29",IF(Table1[[#This Row],[Age]]&lt;40,"30-39",IF(Table1[[#This Row],[Age]]&lt;50,"40-49",IF(Table1[[#This Row],[Age]]&lt;60,"50-59","60+"))))</f>
        <v>30-39</v>
      </c>
    </row>
    <row r="431" spans="1:15" x14ac:dyDescent="0.25">
      <c r="A431" t="s">
        <v>871</v>
      </c>
      <c r="B431" t="s">
        <v>872</v>
      </c>
      <c r="C431" t="s">
        <v>21</v>
      </c>
      <c r="D431">
        <v>45</v>
      </c>
      <c r="E431" t="s">
        <v>52</v>
      </c>
      <c r="F431" t="s">
        <v>16</v>
      </c>
      <c r="G431" t="s">
        <v>23</v>
      </c>
      <c r="H431" s="1">
        <v>45245</v>
      </c>
      <c r="J431">
        <v>866000</v>
      </c>
      <c r="K431">
        <v>0</v>
      </c>
      <c r="L431" t="s">
        <v>24</v>
      </c>
      <c r="M431">
        <f ca="1">IF(Table1[[#This Row],[Exit]]="",DATEDIF(Table1[[#This Row],[Hire]],TODAY(),"Y"),DATEDIF(Table1[[#This Row],[Hire]],Table1[[#This Row],[Exit]],"Y"))</f>
        <v>2</v>
      </c>
      <c r="N431">
        <f>FLOOR(Table1[[#This Row],[Age]],10)</f>
        <v>40</v>
      </c>
      <c r="O431" t="str">
        <f>IF(Table1[[#This Row],[Age]]&lt;30,"20-29",IF(Table1[[#This Row],[Age]]&lt;40,"30-39",IF(Table1[[#This Row],[Age]]&lt;50,"40-49",IF(Table1[[#This Row],[Age]]&lt;60,"50-59","60+"))))</f>
        <v>40-49</v>
      </c>
    </row>
    <row r="432" spans="1:15" x14ac:dyDescent="0.25">
      <c r="A432" t="s">
        <v>873</v>
      </c>
      <c r="B432" t="s">
        <v>874</v>
      </c>
      <c r="C432" t="s">
        <v>41</v>
      </c>
      <c r="D432">
        <v>50</v>
      </c>
      <c r="E432" t="s">
        <v>52</v>
      </c>
      <c r="F432" t="s">
        <v>16</v>
      </c>
      <c r="G432" t="s">
        <v>34</v>
      </c>
      <c r="H432" s="1">
        <v>43851</v>
      </c>
      <c r="J432">
        <v>868000</v>
      </c>
      <c r="K432">
        <v>0</v>
      </c>
      <c r="L432" t="s">
        <v>24</v>
      </c>
      <c r="M432">
        <f ca="1">IF(Table1[[#This Row],[Exit]]="",DATEDIF(Table1[[#This Row],[Hire]],TODAY(),"Y"),DATEDIF(Table1[[#This Row],[Hire]],Table1[[#This Row],[Exit]],"Y"))</f>
        <v>6</v>
      </c>
      <c r="N432">
        <f>FLOOR(Table1[[#This Row],[Age]],10)</f>
        <v>50</v>
      </c>
      <c r="O432" t="str">
        <f>IF(Table1[[#This Row],[Age]]&lt;30,"20-29",IF(Table1[[#This Row],[Age]]&lt;40,"30-39",IF(Table1[[#This Row],[Age]]&lt;50,"40-49",IF(Table1[[#This Row],[Age]]&lt;60,"50-59","60+"))))</f>
        <v>50-59</v>
      </c>
    </row>
    <row r="433" spans="1:15" x14ac:dyDescent="0.25">
      <c r="A433" t="s">
        <v>875</v>
      </c>
      <c r="B433" t="s">
        <v>876</v>
      </c>
      <c r="C433" t="s">
        <v>14</v>
      </c>
      <c r="D433">
        <v>36</v>
      </c>
      <c r="E433" t="s">
        <v>66</v>
      </c>
      <c r="F433" t="s">
        <v>16</v>
      </c>
      <c r="G433" t="s">
        <v>17</v>
      </c>
      <c r="H433" s="1">
        <v>45206</v>
      </c>
      <c r="J433">
        <v>870000</v>
      </c>
      <c r="K433">
        <v>0.24</v>
      </c>
      <c r="L433" t="s">
        <v>24</v>
      </c>
      <c r="M433">
        <f ca="1">IF(Table1[[#This Row],[Exit]]="",DATEDIF(Table1[[#This Row],[Hire]],TODAY(),"Y"),DATEDIF(Table1[[#This Row],[Hire]],Table1[[#This Row],[Exit]],"Y"))</f>
        <v>2</v>
      </c>
      <c r="N433">
        <f>FLOOR(Table1[[#This Row],[Age]],10)</f>
        <v>30</v>
      </c>
      <c r="O433" t="str">
        <f>IF(Table1[[#This Row],[Age]]&lt;30,"20-29",IF(Table1[[#This Row],[Age]]&lt;40,"30-39",IF(Table1[[#This Row],[Age]]&lt;50,"40-49",IF(Table1[[#This Row],[Age]]&lt;60,"50-59","60+"))))</f>
        <v>30-39</v>
      </c>
    </row>
    <row r="434" spans="1:15" x14ac:dyDescent="0.25">
      <c r="A434" t="s">
        <v>877</v>
      </c>
      <c r="B434" t="s">
        <v>878</v>
      </c>
      <c r="C434" t="s">
        <v>41</v>
      </c>
      <c r="D434">
        <v>45</v>
      </c>
      <c r="E434" t="s">
        <v>58</v>
      </c>
      <c r="F434" t="s">
        <v>59</v>
      </c>
      <c r="G434" t="s">
        <v>23</v>
      </c>
      <c r="H434" s="1">
        <v>43940</v>
      </c>
      <c r="I434" s="1">
        <v>45074</v>
      </c>
      <c r="J434">
        <v>872000</v>
      </c>
      <c r="K434">
        <v>0</v>
      </c>
      <c r="L434" t="s">
        <v>18</v>
      </c>
      <c r="M434">
        <f ca="1">IF(Table1[[#This Row],[Exit]]="",DATEDIF(Table1[[#This Row],[Hire]],TODAY(),"Y"),DATEDIF(Table1[[#This Row],[Hire]],Table1[[#This Row],[Exit]],"Y"))</f>
        <v>3</v>
      </c>
      <c r="N434">
        <f>FLOOR(Table1[[#This Row],[Age]],10)</f>
        <v>40</v>
      </c>
      <c r="O434" t="str">
        <f>IF(Table1[[#This Row],[Age]]&lt;30,"20-29",IF(Table1[[#This Row],[Age]]&lt;40,"30-39",IF(Table1[[#This Row],[Age]]&lt;50,"40-49",IF(Table1[[#This Row],[Age]]&lt;60,"50-59","60+"))))</f>
        <v>40-49</v>
      </c>
    </row>
    <row r="435" spans="1:15" x14ac:dyDescent="0.25">
      <c r="A435" t="s">
        <v>879</v>
      </c>
      <c r="B435" t="s">
        <v>880</v>
      </c>
      <c r="C435" t="s">
        <v>14</v>
      </c>
      <c r="D435">
        <v>31</v>
      </c>
      <c r="E435" t="s">
        <v>66</v>
      </c>
      <c r="F435" t="s">
        <v>16</v>
      </c>
      <c r="G435" t="s">
        <v>34</v>
      </c>
      <c r="H435" s="1">
        <v>44083</v>
      </c>
      <c r="J435">
        <v>874000</v>
      </c>
      <c r="K435">
        <v>0.15</v>
      </c>
      <c r="L435" t="s">
        <v>24</v>
      </c>
      <c r="M435">
        <f ca="1">IF(Table1[[#This Row],[Exit]]="",DATEDIF(Table1[[#This Row],[Hire]],TODAY(),"Y"),DATEDIF(Table1[[#This Row],[Hire]],Table1[[#This Row],[Exit]],"Y"))</f>
        <v>5</v>
      </c>
      <c r="N435">
        <f>FLOOR(Table1[[#This Row],[Age]],10)</f>
        <v>30</v>
      </c>
      <c r="O435" t="str">
        <f>IF(Table1[[#This Row],[Age]]&lt;30,"20-29",IF(Table1[[#This Row],[Age]]&lt;40,"30-39",IF(Table1[[#This Row],[Age]]&lt;50,"40-49",IF(Table1[[#This Row],[Age]]&lt;60,"50-59","60+"))))</f>
        <v>30-39</v>
      </c>
    </row>
    <row r="436" spans="1:15" x14ac:dyDescent="0.25">
      <c r="A436" t="s">
        <v>881</v>
      </c>
      <c r="B436" t="s">
        <v>882</v>
      </c>
      <c r="C436" t="s">
        <v>21</v>
      </c>
      <c r="D436">
        <v>41</v>
      </c>
      <c r="E436" t="s">
        <v>66</v>
      </c>
      <c r="F436" t="s">
        <v>16</v>
      </c>
      <c r="G436" t="s">
        <v>53</v>
      </c>
      <c r="H436" s="1">
        <v>45233</v>
      </c>
      <c r="J436">
        <v>876000</v>
      </c>
      <c r="K436">
        <v>0</v>
      </c>
      <c r="L436" t="s">
        <v>24</v>
      </c>
      <c r="M436">
        <f ca="1">IF(Table1[[#This Row],[Exit]]="",DATEDIF(Table1[[#This Row],[Hire]],TODAY(),"Y"),DATEDIF(Table1[[#This Row],[Hire]],Table1[[#This Row],[Exit]],"Y"))</f>
        <v>2</v>
      </c>
      <c r="N436">
        <f>FLOOR(Table1[[#This Row],[Age]],10)</f>
        <v>40</v>
      </c>
      <c r="O436" t="str">
        <f>IF(Table1[[#This Row],[Age]]&lt;30,"20-29",IF(Table1[[#This Row],[Age]]&lt;40,"30-39",IF(Table1[[#This Row],[Age]]&lt;50,"40-49",IF(Table1[[#This Row],[Age]]&lt;60,"50-59","60+"))))</f>
        <v>40-49</v>
      </c>
    </row>
    <row r="437" spans="1:15" x14ac:dyDescent="0.25">
      <c r="A437" t="s">
        <v>883</v>
      </c>
      <c r="B437" t="s">
        <v>884</v>
      </c>
      <c r="C437" t="s">
        <v>21</v>
      </c>
      <c r="D437">
        <v>47</v>
      </c>
      <c r="E437" t="s">
        <v>58</v>
      </c>
      <c r="F437" t="s">
        <v>59</v>
      </c>
      <c r="G437" t="s">
        <v>53</v>
      </c>
      <c r="H437" s="1">
        <v>45412</v>
      </c>
      <c r="J437">
        <v>878000</v>
      </c>
      <c r="K437">
        <v>0.38</v>
      </c>
      <c r="L437" t="s">
        <v>24</v>
      </c>
      <c r="M437">
        <f ca="1">IF(Table1[[#This Row],[Exit]]="",DATEDIF(Table1[[#This Row],[Hire]],TODAY(),"Y"),DATEDIF(Table1[[#This Row],[Hire]],Table1[[#This Row],[Exit]],"Y"))</f>
        <v>1</v>
      </c>
      <c r="N437">
        <f>FLOOR(Table1[[#This Row],[Age]],10)</f>
        <v>40</v>
      </c>
      <c r="O437" t="str">
        <f>IF(Table1[[#This Row],[Age]]&lt;30,"20-29",IF(Table1[[#This Row],[Age]]&lt;40,"30-39",IF(Table1[[#This Row],[Age]]&lt;50,"40-49",IF(Table1[[#This Row],[Age]]&lt;60,"50-59","60+"))))</f>
        <v>40-49</v>
      </c>
    </row>
    <row r="438" spans="1:15" x14ac:dyDescent="0.25">
      <c r="A438" t="s">
        <v>885</v>
      </c>
      <c r="B438" t="s">
        <v>886</v>
      </c>
      <c r="C438" t="s">
        <v>21</v>
      </c>
      <c r="D438">
        <v>38</v>
      </c>
      <c r="E438" t="s">
        <v>15</v>
      </c>
      <c r="F438" t="s">
        <v>16</v>
      </c>
      <c r="G438" t="s">
        <v>53</v>
      </c>
      <c r="H438" s="1">
        <v>43887</v>
      </c>
      <c r="J438">
        <v>880000</v>
      </c>
      <c r="K438">
        <v>0.3</v>
      </c>
      <c r="L438" t="s">
        <v>24</v>
      </c>
      <c r="M438">
        <f ca="1">IF(Table1[[#This Row],[Exit]]="",DATEDIF(Table1[[#This Row],[Hire]],TODAY(),"Y"),DATEDIF(Table1[[#This Row],[Hire]],Table1[[#This Row],[Exit]],"Y"))</f>
        <v>5</v>
      </c>
      <c r="N438">
        <f>FLOOR(Table1[[#This Row],[Age]],10)</f>
        <v>30</v>
      </c>
      <c r="O438" t="str">
        <f>IF(Table1[[#This Row],[Age]]&lt;30,"20-29",IF(Table1[[#This Row],[Age]]&lt;40,"30-39",IF(Table1[[#This Row],[Age]]&lt;50,"40-49",IF(Table1[[#This Row],[Age]]&lt;60,"50-59","60+"))))</f>
        <v>30-39</v>
      </c>
    </row>
    <row r="439" spans="1:15" x14ac:dyDescent="0.25">
      <c r="A439" t="s">
        <v>887</v>
      </c>
      <c r="B439" t="s">
        <v>888</v>
      </c>
      <c r="C439" t="s">
        <v>21</v>
      </c>
      <c r="D439">
        <v>40</v>
      </c>
      <c r="E439" t="s">
        <v>22</v>
      </c>
      <c r="F439" t="s">
        <v>16</v>
      </c>
      <c r="G439" t="s">
        <v>53</v>
      </c>
      <c r="H439" s="1">
        <v>44815</v>
      </c>
      <c r="J439">
        <v>882000</v>
      </c>
      <c r="K439">
        <v>0.23</v>
      </c>
      <c r="L439" t="s">
        <v>24</v>
      </c>
      <c r="M439">
        <f ca="1">IF(Table1[[#This Row],[Exit]]="",DATEDIF(Table1[[#This Row],[Hire]],TODAY(),"Y"),DATEDIF(Table1[[#This Row],[Hire]],Table1[[#This Row],[Exit]],"Y"))</f>
        <v>3</v>
      </c>
      <c r="N439">
        <f>FLOOR(Table1[[#This Row],[Age]],10)</f>
        <v>40</v>
      </c>
      <c r="O439" t="str">
        <f>IF(Table1[[#This Row],[Age]]&lt;30,"20-29",IF(Table1[[#This Row],[Age]]&lt;40,"30-39",IF(Table1[[#This Row],[Age]]&lt;50,"40-49",IF(Table1[[#This Row],[Age]]&lt;60,"50-59","60+"))))</f>
        <v>40-49</v>
      </c>
    </row>
    <row r="440" spans="1:15" x14ac:dyDescent="0.25">
      <c r="A440" t="s">
        <v>889</v>
      </c>
      <c r="B440" t="s">
        <v>890</v>
      </c>
      <c r="C440" t="s">
        <v>21</v>
      </c>
      <c r="D440">
        <v>45</v>
      </c>
      <c r="E440" t="s">
        <v>81</v>
      </c>
      <c r="F440" t="s">
        <v>43</v>
      </c>
      <c r="G440" t="s">
        <v>53</v>
      </c>
      <c r="H440" s="1">
        <v>45430</v>
      </c>
      <c r="J440">
        <v>884000</v>
      </c>
      <c r="K440">
        <v>0</v>
      </c>
      <c r="L440" t="s">
        <v>24</v>
      </c>
      <c r="M440">
        <f ca="1">IF(Table1[[#This Row],[Exit]]="",DATEDIF(Table1[[#This Row],[Hire]],TODAY(),"Y"),DATEDIF(Table1[[#This Row],[Hire]],Table1[[#This Row],[Exit]],"Y"))</f>
        <v>1</v>
      </c>
      <c r="N440">
        <f>FLOOR(Table1[[#This Row],[Age]],10)</f>
        <v>40</v>
      </c>
      <c r="O440" t="str">
        <f>IF(Table1[[#This Row],[Age]]&lt;30,"20-29",IF(Table1[[#This Row],[Age]]&lt;40,"30-39",IF(Table1[[#This Row],[Age]]&lt;50,"40-49",IF(Table1[[#This Row],[Age]]&lt;60,"50-59","60+"))))</f>
        <v>40-49</v>
      </c>
    </row>
    <row r="441" spans="1:15" x14ac:dyDescent="0.25">
      <c r="A441" t="s">
        <v>891</v>
      </c>
      <c r="B441" t="s">
        <v>892</v>
      </c>
      <c r="C441" t="s">
        <v>14</v>
      </c>
      <c r="D441">
        <v>31</v>
      </c>
      <c r="E441" t="s">
        <v>52</v>
      </c>
      <c r="F441" t="s">
        <v>16</v>
      </c>
      <c r="G441" t="s">
        <v>17</v>
      </c>
      <c r="H441" s="1">
        <v>44509</v>
      </c>
      <c r="J441">
        <v>886000</v>
      </c>
      <c r="K441">
        <v>0</v>
      </c>
      <c r="L441" t="s">
        <v>24</v>
      </c>
      <c r="M441">
        <f ca="1">IF(Table1[[#This Row],[Exit]]="",DATEDIF(Table1[[#This Row],[Hire]],TODAY(),"Y"),DATEDIF(Table1[[#This Row],[Hire]],Table1[[#This Row],[Exit]],"Y"))</f>
        <v>4</v>
      </c>
      <c r="N441">
        <f>FLOOR(Table1[[#This Row],[Age]],10)</f>
        <v>30</v>
      </c>
      <c r="O441" t="str">
        <f>IF(Table1[[#This Row],[Age]]&lt;30,"20-29",IF(Table1[[#This Row],[Age]]&lt;40,"30-39",IF(Table1[[#This Row],[Age]]&lt;50,"40-49",IF(Table1[[#This Row],[Age]]&lt;60,"50-59","60+"))))</f>
        <v>30-39</v>
      </c>
    </row>
    <row r="442" spans="1:15" x14ac:dyDescent="0.25">
      <c r="A442" t="s">
        <v>893</v>
      </c>
      <c r="B442" t="s">
        <v>894</v>
      </c>
      <c r="C442" t="s">
        <v>14</v>
      </c>
      <c r="D442">
        <v>35</v>
      </c>
      <c r="E442" t="s">
        <v>66</v>
      </c>
      <c r="F442" t="s">
        <v>16</v>
      </c>
      <c r="G442" t="s">
        <v>23</v>
      </c>
      <c r="H442" s="1">
        <v>43963</v>
      </c>
      <c r="J442">
        <v>888000</v>
      </c>
      <c r="K442">
        <v>0.24</v>
      </c>
      <c r="L442" t="s">
        <v>24</v>
      </c>
      <c r="M442">
        <f ca="1">IF(Table1[[#This Row],[Exit]]="",DATEDIF(Table1[[#This Row],[Hire]],TODAY(),"Y"),DATEDIF(Table1[[#This Row],[Hire]],Table1[[#This Row],[Exit]],"Y"))</f>
        <v>5</v>
      </c>
      <c r="N442">
        <f>FLOOR(Table1[[#This Row],[Age]],10)</f>
        <v>30</v>
      </c>
      <c r="O442" t="str">
        <f>IF(Table1[[#This Row],[Age]]&lt;30,"20-29",IF(Table1[[#This Row],[Age]]&lt;40,"30-39",IF(Table1[[#This Row],[Age]]&lt;50,"40-49",IF(Table1[[#This Row],[Age]]&lt;60,"50-59","60+"))))</f>
        <v>30-39</v>
      </c>
    </row>
    <row r="443" spans="1:15" x14ac:dyDescent="0.25">
      <c r="A443" t="s">
        <v>895</v>
      </c>
      <c r="B443" t="s">
        <v>896</v>
      </c>
      <c r="C443" t="s">
        <v>41</v>
      </c>
      <c r="D443">
        <v>31</v>
      </c>
      <c r="E443" t="s">
        <v>31</v>
      </c>
      <c r="F443" t="s">
        <v>16</v>
      </c>
      <c r="G443" t="s">
        <v>53</v>
      </c>
      <c r="H443" s="1">
        <v>44815</v>
      </c>
      <c r="J443">
        <v>890000</v>
      </c>
      <c r="K443">
        <v>0</v>
      </c>
      <c r="L443" t="s">
        <v>24</v>
      </c>
      <c r="M443">
        <f ca="1">IF(Table1[[#This Row],[Exit]]="",DATEDIF(Table1[[#This Row],[Hire]],TODAY(),"Y"),DATEDIF(Table1[[#This Row],[Hire]],Table1[[#This Row],[Exit]],"Y"))</f>
        <v>3</v>
      </c>
      <c r="N443">
        <f>FLOOR(Table1[[#This Row],[Age]],10)</f>
        <v>30</v>
      </c>
      <c r="O443" t="str">
        <f>IF(Table1[[#This Row],[Age]]&lt;30,"20-29",IF(Table1[[#This Row],[Age]]&lt;40,"30-39",IF(Table1[[#This Row],[Age]]&lt;50,"40-49",IF(Table1[[#This Row],[Age]]&lt;60,"50-59","60+"))))</f>
        <v>30-39</v>
      </c>
    </row>
    <row r="444" spans="1:15" x14ac:dyDescent="0.25">
      <c r="A444" t="s">
        <v>897</v>
      </c>
      <c r="B444" t="s">
        <v>898</v>
      </c>
      <c r="C444" t="s">
        <v>14</v>
      </c>
      <c r="D444">
        <v>35</v>
      </c>
      <c r="E444" t="s">
        <v>81</v>
      </c>
      <c r="F444" t="s">
        <v>49</v>
      </c>
      <c r="G444" t="s">
        <v>34</v>
      </c>
      <c r="H444" s="1">
        <v>44857</v>
      </c>
      <c r="J444">
        <v>892000</v>
      </c>
      <c r="K444">
        <v>0.08</v>
      </c>
      <c r="L444" t="s">
        <v>24</v>
      </c>
      <c r="M444">
        <f ca="1">IF(Table1[[#This Row],[Exit]]="",DATEDIF(Table1[[#This Row],[Hire]],TODAY(),"Y"),DATEDIF(Table1[[#This Row],[Hire]],Table1[[#This Row],[Exit]],"Y"))</f>
        <v>3</v>
      </c>
      <c r="N444">
        <f>FLOOR(Table1[[#This Row],[Age]],10)</f>
        <v>30</v>
      </c>
      <c r="O444" t="str">
        <f>IF(Table1[[#This Row],[Age]]&lt;30,"20-29",IF(Table1[[#This Row],[Age]]&lt;40,"30-39",IF(Table1[[#This Row],[Age]]&lt;50,"40-49",IF(Table1[[#This Row],[Age]]&lt;60,"50-59","60+"))))</f>
        <v>30-39</v>
      </c>
    </row>
    <row r="445" spans="1:15" x14ac:dyDescent="0.25">
      <c r="A445" t="s">
        <v>50</v>
      </c>
      <c r="B445" t="s">
        <v>899</v>
      </c>
      <c r="C445" t="s">
        <v>21</v>
      </c>
      <c r="D445">
        <v>31</v>
      </c>
      <c r="E445" t="s">
        <v>92</v>
      </c>
      <c r="F445" t="s">
        <v>59</v>
      </c>
      <c r="G445" t="s">
        <v>53</v>
      </c>
      <c r="H445" s="1">
        <v>45527</v>
      </c>
      <c r="J445">
        <v>894000</v>
      </c>
      <c r="K445">
        <v>0</v>
      </c>
      <c r="L445" t="s">
        <v>24</v>
      </c>
      <c r="M445">
        <f ca="1">IF(Table1[[#This Row],[Exit]]="",DATEDIF(Table1[[#This Row],[Hire]],TODAY(),"Y"),DATEDIF(Table1[[#This Row],[Hire]],Table1[[#This Row],[Exit]],"Y"))</f>
        <v>1</v>
      </c>
      <c r="N445">
        <f>FLOOR(Table1[[#This Row],[Age]],10)</f>
        <v>30</v>
      </c>
      <c r="O445" t="str">
        <f>IF(Table1[[#This Row],[Age]]&lt;30,"20-29",IF(Table1[[#This Row],[Age]]&lt;40,"30-39",IF(Table1[[#This Row],[Age]]&lt;50,"40-49",IF(Table1[[#This Row],[Age]]&lt;60,"50-59","60+"))))</f>
        <v>30-39</v>
      </c>
    </row>
    <row r="446" spans="1:15" x14ac:dyDescent="0.25">
      <c r="A446" t="s">
        <v>900</v>
      </c>
      <c r="B446" t="s">
        <v>901</v>
      </c>
      <c r="C446" t="s">
        <v>41</v>
      </c>
      <c r="D446">
        <v>31</v>
      </c>
      <c r="E446" t="s">
        <v>81</v>
      </c>
      <c r="F446" t="s">
        <v>46</v>
      </c>
      <c r="G446" t="s">
        <v>23</v>
      </c>
      <c r="H446" s="1">
        <v>45237</v>
      </c>
      <c r="J446">
        <v>896000</v>
      </c>
      <c r="K446">
        <v>0.12</v>
      </c>
      <c r="L446" t="s">
        <v>24</v>
      </c>
      <c r="M446">
        <f ca="1">IF(Table1[[#This Row],[Exit]]="",DATEDIF(Table1[[#This Row],[Hire]],TODAY(),"Y"),DATEDIF(Table1[[#This Row],[Hire]],Table1[[#This Row],[Exit]],"Y"))</f>
        <v>2</v>
      </c>
      <c r="N446">
        <f>FLOOR(Table1[[#This Row],[Age]],10)</f>
        <v>30</v>
      </c>
      <c r="O446" t="str">
        <f>IF(Table1[[#This Row],[Age]]&lt;30,"20-29",IF(Table1[[#This Row],[Age]]&lt;40,"30-39",IF(Table1[[#This Row],[Age]]&lt;50,"40-49",IF(Table1[[#This Row],[Age]]&lt;60,"50-59","60+"))))</f>
        <v>30-39</v>
      </c>
    </row>
    <row r="447" spans="1:15" x14ac:dyDescent="0.25">
      <c r="A447" t="s">
        <v>902</v>
      </c>
      <c r="B447" t="s">
        <v>903</v>
      </c>
      <c r="C447" t="s">
        <v>14</v>
      </c>
      <c r="D447">
        <v>31</v>
      </c>
      <c r="E447" t="s">
        <v>22</v>
      </c>
      <c r="F447" t="s">
        <v>16</v>
      </c>
      <c r="G447" t="s">
        <v>34</v>
      </c>
      <c r="H447" s="1">
        <v>45206</v>
      </c>
      <c r="J447">
        <v>898000</v>
      </c>
      <c r="K447">
        <v>0</v>
      </c>
      <c r="L447" t="s">
        <v>24</v>
      </c>
      <c r="M447">
        <f ca="1">IF(Table1[[#This Row],[Exit]]="",DATEDIF(Table1[[#This Row],[Hire]],TODAY(),"Y"),DATEDIF(Table1[[#This Row],[Hire]],Table1[[#This Row],[Exit]],"Y"))</f>
        <v>2</v>
      </c>
      <c r="N447">
        <f>FLOOR(Table1[[#This Row],[Age]],10)</f>
        <v>30</v>
      </c>
      <c r="O447" t="str">
        <f>IF(Table1[[#This Row],[Age]]&lt;30,"20-29",IF(Table1[[#This Row],[Age]]&lt;40,"30-39",IF(Table1[[#This Row],[Age]]&lt;50,"40-49",IF(Table1[[#This Row],[Age]]&lt;60,"50-59","60+"))))</f>
        <v>30-39</v>
      </c>
    </row>
    <row r="448" spans="1:15" x14ac:dyDescent="0.25">
      <c r="A448" t="s">
        <v>904</v>
      </c>
      <c r="B448" t="s">
        <v>905</v>
      </c>
      <c r="C448" t="s">
        <v>21</v>
      </c>
      <c r="D448">
        <v>31</v>
      </c>
      <c r="E448" t="s">
        <v>92</v>
      </c>
      <c r="F448" t="s">
        <v>59</v>
      </c>
      <c r="G448" t="s">
        <v>34</v>
      </c>
      <c r="H448" s="1">
        <v>44677</v>
      </c>
      <c r="J448">
        <v>900000</v>
      </c>
      <c r="K448">
        <v>0</v>
      </c>
      <c r="L448" t="s">
        <v>24</v>
      </c>
      <c r="M448">
        <f ca="1">IF(Table1[[#This Row],[Exit]]="",DATEDIF(Table1[[#This Row],[Hire]],TODAY(),"Y"),DATEDIF(Table1[[#This Row],[Hire]],Table1[[#This Row],[Exit]],"Y"))</f>
        <v>3</v>
      </c>
      <c r="N448">
        <f>FLOOR(Table1[[#This Row],[Age]],10)</f>
        <v>30</v>
      </c>
      <c r="O448" t="str">
        <f>IF(Table1[[#This Row],[Age]]&lt;30,"20-29",IF(Table1[[#This Row],[Age]]&lt;40,"30-39",IF(Table1[[#This Row],[Age]]&lt;50,"40-49",IF(Table1[[#This Row],[Age]]&lt;60,"50-59","60+"))))</f>
        <v>30-39</v>
      </c>
    </row>
    <row r="449" spans="1:15" x14ac:dyDescent="0.25">
      <c r="A449" t="s">
        <v>906</v>
      </c>
      <c r="B449" t="s">
        <v>907</v>
      </c>
      <c r="C449" t="s">
        <v>21</v>
      </c>
      <c r="D449">
        <v>36</v>
      </c>
      <c r="E449" t="s">
        <v>31</v>
      </c>
      <c r="F449" t="s">
        <v>16</v>
      </c>
      <c r="G449" t="s">
        <v>17</v>
      </c>
      <c r="H449" s="1">
        <v>43889</v>
      </c>
      <c r="J449">
        <v>902000</v>
      </c>
      <c r="K449">
        <v>0</v>
      </c>
      <c r="L449" t="s">
        <v>24</v>
      </c>
      <c r="M449">
        <f ca="1">IF(Table1[[#This Row],[Exit]]="",DATEDIF(Table1[[#This Row],[Hire]],TODAY(),"Y"),DATEDIF(Table1[[#This Row],[Hire]],Table1[[#This Row],[Exit]],"Y"))</f>
        <v>5</v>
      </c>
      <c r="N449">
        <f>FLOOR(Table1[[#This Row],[Age]],10)</f>
        <v>30</v>
      </c>
      <c r="O449" t="str">
        <f>IF(Table1[[#This Row],[Age]]&lt;30,"20-29",IF(Table1[[#This Row],[Age]]&lt;40,"30-39",IF(Table1[[#This Row],[Age]]&lt;50,"40-49",IF(Table1[[#This Row],[Age]]&lt;60,"50-59","60+"))))</f>
        <v>30-39</v>
      </c>
    </row>
    <row r="450" spans="1:15" x14ac:dyDescent="0.25">
      <c r="A450" t="s">
        <v>908</v>
      </c>
      <c r="B450" t="s">
        <v>909</v>
      </c>
      <c r="C450" t="s">
        <v>21</v>
      </c>
      <c r="D450">
        <v>45</v>
      </c>
      <c r="E450" t="s">
        <v>15</v>
      </c>
      <c r="F450" t="s">
        <v>16</v>
      </c>
      <c r="G450" t="s">
        <v>17</v>
      </c>
      <c r="H450" s="1">
        <v>44116</v>
      </c>
      <c r="J450">
        <v>904000</v>
      </c>
      <c r="K450">
        <v>0</v>
      </c>
      <c r="L450" t="s">
        <v>24</v>
      </c>
      <c r="M450">
        <f ca="1">IF(Table1[[#This Row],[Exit]]="",DATEDIF(Table1[[#This Row],[Hire]],TODAY(),"Y"),DATEDIF(Table1[[#This Row],[Hire]],Table1[[#This Row],[Exit]],"Y"))</f>
        <v>5</v>
      </c>
      <c r="N450">
        <f>FLOOR(Table1[[#This Row],[Age]],10)</f>
        <v>40</v>
      </c>
      <c r="O450" t="str">
        <f>IF(Table1[[#This Row],[Age]]&lt;30,"20-29",IF(Table1[[#This Row],[Age]]&lt;40,"30-39",IF(Table1[[#This Row],[Age]]&lt;50,"40-49",IF(Table1[[#This Row],[Age]]&lt;60,"50-59","60+"))))</f>
        <v>40-49</v>
      </c>
    </row>
    <row r="451" spans="1:15" x14ac:dyDescent="0.25">
      <c r="A451" t="s">
        <v>910</v>
      </c>
      <c r="B451" t="s">
        <v>911</v>
      </c>
      <c r="C451" t="s">
        <v>21</v>
      </c>
      <c r="D451">
        <v>37</v>
      </c>
      <c r="E451" t="s">
        <v>22</v>
      </c>
      <c r="F451" t="s">
        <v>16</v>
      </c>
      <c r="G451" t="s">
        <v>23</v>
      </c>
      <c r="H451" s="1">
        <v>44588</v>
      </c>
      <c r="J451">
        <v>906000</v>
      </c>
      <c r="K451">
        <v>0.26</v>
      </c>
      <c r="L451" t="s">
        <v>24</v>
      </c>
      <c r="M451">
        <f ca="1">IF(Table1[[#This Row],[Exit]]="",DATEDIF(Table1[[#This Row],[Hire]],TODAY(),"Y"),DATEDIF(Table1[[#This Row],[Hire]],Table1[[#This Row],[Exit]],"Y"))</f>
        <v>4</v>
      </c>
      <c r="N451">
        <f>FLOOR(Table1[[#This Row],[Age]],10)</f>
        <v>30</v>
      </c>
      <c r="O451" t="str">
        <f>IF(Table1[[#This Row],[Age]]&lt;30,"20-29",IF(Table1[[#This Row],[Age]]&lt;40,"30-39",IF(Table1[[#This Row],[Age]]&lt;50,"40-49",IF(Table1[[#This Row],[Age]]&lt;60,"50-59","60+"))))</f>
        <v>30-39</v>
      </c>
    </row>
    <row r="452" spans="1:15" x14ac:dyDescent="0.25">
      <c r="A452" t="s">
        <v>912</v>
      </c>
      <c r="B452" t="s">
        <v>913</v>
      </c>
      <c r="C452" t="s">
        <v>14</v>
      </c>
      <c r="D452">
        <v>38</v>
      </c>
      <c r="E452" t="s">
        <v>27</v>
      </c>
      <c r="F452" t="s">
        <v>28</v>
      </c>
      <c r="G452" t="s">
        <v>17</v>
      </c>
      <c r="H452" s="1">
        <v>45337</v>
      </c>
      <c r="J452">
        <v>908000</v>
      </c>
      <c r="K452">
        <v>0</v>
      </c>
      <c r="L452" t="s">
        <v>24</v>
      </c>
      <c r="M452">
        <f ca="1">IF(Table1[[#This Row],[Exit]]="",DATEDIF(Table1[[#This Row],[Hire]],TODAY(),"Y"),DATEDIF(Table1[[#This Row],[Hire]],Table1[[#This Row],[Exit]],"Y"))</f>
        <v>1</v>
      </c>
      <c r="N452">
        <f>FLOOR(Table1[[#This Row],[Age]],10)</f>
        <v>30</v>
      </c>
      <c r="O452" t="str">
        <f>IF(Table1[[#This Row],[Age]]&lt;30,"20-29",IF(Table1[[#This Row],[Age]]&lt;40,"30-39",IF(Table1[[#This Row],[Age]]&lt;50,"40-49",IF(Table1[[#This Row],[Age]]&lt;60,"50-59","60+"))))</f>
        <v>30-39</v>
      </c>
    </row>
    <row r="453" spans="1:15" x14ac:dyDescent="0.25">
      <c r="A453" t="s">
        <v>914</v>
      </c>
      <c r="B453" t="s">
        <v>915</v>
      </c>
      <c r="C453" t="s">
        <v>21</v>
      </c>
      <c r="D453">
        <v>45</v>
      </c>
      <c r="E453" t="s">
        <v>31</v>
      </c>
      <c r="F453" t="s">
        <v>16</v>
      </c>
      <c r="G453" t="s">
        <v>23</v>
      </c>
      <c r="H453" s="1">
        <v>44237</v>
      </c>
      <c r="I453" s="1">
        <v>45245</v>
      </c>
      <c r="J453">
        <v>910000</v>
      </c>
      <c r="K453">
        <v>0.09</v>
      </c>
      <c r="L453" t="s">
        <v>18</v>
      </c>
      <c r="M453">
        <f ca="1">IF(Table1[[#This Row],[Exit]]="",DATEDIF(Table1[[#This Row],[Hire]],TODAY(),"Y"),DATEDIF(Table1[[#This Row],[Hire]],Table1[[#This Row],[Exit]],"Y"))</f>
        <v>2</v>
      </c>
      <c r="N453">
        <f>FLOOR(Table1[[#This Row],[Age]],10)</f>
        <v>40</v>
      </c>
      <c r="O453" t="str">
        <f>IF(Table1[[#This Row],[Age]]&lt;30,"20-29",IF(Table1[[#This Row],[Age]]&lt;40,"30-39",IF(Table1[[#This Row],[Age]]&lt;50,"40-49",IF(Table1[[#This Row],[Age]]&lt;60,"50-59","60+"))))</f>
        <v>40-49</v>
      </c>
    </row>
    <row r="454" spans="1:15" x14ac:dyDescent="0.25">
      <c r="A454" t="s">
        <v>916</v>
      </c>
      <c r="B454" t="s">
        <v>917</v>
      </c>
      <c r="C454" t="s">
        <v>14</v>
      </c>
      <c r="D454">
        <v>51</v>
      </c>
      <c r="E454" t="s">
        <v>27</v>
      </c>
      <c r="F454" t="s">
        <v>28</v>
      </c>
      <c r="G454" t="s">
        <v>34</v>
      </c>
      <c r="H454" s="1">
        <v>44183</v>
      </c>
      <c r="J454">
        <v>912000</v>
      </c>
      <c r="K454">
        <v>0</v>
      </c>
      <c r="L454" t="s">
        <v>24</v>
      </c>
      <c r="M454">
        <f ca="1">IF(Table1[[#This Row],[Exit]]="",DATEDIF(Table1[[#This Row],[Hire]],TODAY(),"Y"),DATEDIF(Table1[[#This Row],[Hire]],Table1[[#This Row],[Exit]],"Y"))</f>
        <v>5</v>
      </c>
      <c r="N454">
        <f>FLOOR(Table1[[#This Row],[Age]],10)</f>
        <v>50</v>
      </c>
      <c r="O454" t="str">
        <f>IF(Table1[[#This Row],[Age]]&lt;30,"20-29",IF(Table1[[#This Row],[Age]]&lt;40,"30-39",IF(Table1[[#This Row],[Age]]&lt;50,"40-49",IF(Table1[[#This Row],[Age]]&lt;60,"50-59","60+"))))</f>
        <v>50-59</v>
      </c>
    </row>
    <row r="455" spans="1:15" x14ac:dyDescent="0.25">
      <c r="A455" t="s">
        <v>918</v>
      </c>
      <c r="B455" t="s">
        <v>919</v>
      </c>
      <c r="C455" t="s">
        <v>14</v>
      </c>
      <c r="D455">
        <v>56</v>
      </c>
      <c r="E455" t="s">
        <v>15</v>
      </c>
      <c r="F455" t="s">
        <v>16</v>
      </c>
      <c r="G455" t="s">
        <v>23</v>
      </c>
      <c r="H455" s="1">
        <v>43837</v>
      </c>
      <c r="J455">
        <v>914000</v>
      </c>
      <c r="K455">
        <v>0</v>
      </c>
      <c r="L455" t="s">
        <v>24</v>
      </c>
      <c r="M455">
        <f ca="1">IF(Table1[[#This Row],[Exit]]="",DATEDIF(Table1[[#This Row],[Hire]],TODAY(),"Y"),DATEDIF(Table1[[#This Row],[Hire]],Table1[[#This Row],[Exit]],"Y"))</f>
        <v>6</v>
      </c>
      <c r="N455">
        <f>FLOOR(Table1[[#This Row],[Age]],10)</f>
        <v>50</v>
      </c>
      <c r="O455" t="str">
        <f>IF(Table1[[#This Row],[Age]]&lt;30,"20-29",IF(Table1[[#This Row],[Age]]&lt;40,"30-39",IF(Table1[[#This Row],[Age]]&lt;50,"40-49",IF(Table1[[#This Row],[Age]]&lt;60,"50-59","60+"))))</f>
        <v>50-59</v>
      </c>
    </row>
    <row r="456" spans="1:15" x14ac:dyDescent="0.25">
      <c r="A456" t="s">
        <v>920</v>
      </c>
      <c r="B456" t="s">
        <v>921</v>
      </c>
      <c r="C456" t="s">
        <v>14</v>
      </c>
      <c r="D456">
        <v>53</v>
      </c>
      <c r="E456" t="s">
        <v>15</v>
      </c>
      <c r="F456" t="s">
        <v>16</v>
      </c>
      <c r="G456" t="s">
        <v>34</v>
      </c>
      <c r="H456" s="1">
        <v>45206</v>
      </c>
      <c r="J456">
        <v>916000</v>
      </c>
      <c r="K456">
        <v>0.31</v>
      </c>
      <c r="L456" t="s">
        <v>24</v>
      </c>
      <c r="M456">
        <f ca="1">IF(Table1[[#This Row],[Exit]]="",DATEDIF(Table1[[#This Row],[Hire]],TODAY(),"Y"),DATEDIF(Table1[[#This Row],[Hire]],Table1[[#This Row],[Exit]],"Y"))</f>
        <v>2</v>
      </c>
      <c r="N456">
        <f>FLOOR(Table1[[#This Row],[Age]],10)</f>
        <v>50</v>
      </c>
      <c r="O456" t="str">
        <f>IF(Table1[[#This Row],[Age]]&lt;30,"20-29",IF(Table1[[#This Row],[Age]]&lt;40,"30-39",IF(Table1[[#This Row],[Age]]&lt;50,"40-49",IF(Table1[[#This Row],[Age]]&lt;60,"50-59","60+"))))</f>
        <v>50-59</v>
      </c>
    </row>
    <row r="457" spans="1:15" x14ac:dyDescent="0.25">
      <c r="A457" t="s">
        <v>922</v>
      </c>
      <c r="B457" t="s">
        <v>923</v>
      </c>
      <c r="C457" t="s">
        <v>14</v>
      </c>
      <c r="D457">
        <v>47</v>
      </c>
      <c r="E457" t="s">
        <v>42</v>
      </c>
      <c r="F457" t="s">
        <v>43</v>
      </c>
      <c r="G457" t="s">
        <v>34</v>
      </c>
      <c r="H457" s="1">
        <v>44487</v>
      </c>
      <c r="J457">
        <v>918000</v>
      </c>
      <c r="K457">
        <v>0</v>
      </c>
      <c r="L457" t="s">
        <v>24</v>
      </c>
      <c r="M457">
        <f ca="1">IF(Table1[[#This Row],[Exit]]="",DATEDIF(Table1[[#This Row],[Hire]],TODAY(),"Y"),DATEDIF(Table1[[#This Row],[Hire]],Table1[[#This Row],[Exit]],"Y"))</f>
        <v>4</v>
      </c>
      <c r="N457">
        <f>FLOOR(Table1[[#This Row],[Age]],10)</f>
        <v>40</v>
      </c>
      <c r="O457" t="str">
        <f>IF(Table1[[#This Row],[Age]]&lt;30,"20-29",IF(Table1[[#This Row],[Age]]&lt;40,"30-39",IF(Table1[[#This Row],[Age]]&lt;50,"40-49",IF(Table1[[#This Row],[Age]]&lt;60,"50-59","60+"))))</f>
        <v>40-49</v>
      </c>
    </row>
    <row r="458" spans="1:15" x14ac:dyDescent="0.25">
      <c r="A458" t="s">
        <v>442</v>
      </c>
      <c r="B458" t="s">
        <v>924</v>
      </c>
      <c r="C458" t="s">
        <v>21</v>
      </c>
      <c r="D458">
        <v>36</v>
      </c>
      <c r="E458" t="s">
        <v>42</v>
      </c>
      <c r="F458" t="s">
        <v>46</v>
      </c>
      <c r="G458" t="s">
        <v>23</v>
      </c>
      <c r="H458" s="1">
        <v>44791</v>
      </c>
      <c r="J458">
        <v>920000</v>
      </c>
      <c r="K458">
        <v>0.34</v>
      </c>
      <c r="L458" t="s">
        <v>24</v>
      </c>
      <c r="M458">
        <f ca="1">IF(Table1[[#This Row],[Exit]]="",DATEDIF(Table1[[#This Row],[Hire]],TODAY(),"Y"),DATEDIF(Table1[[#This Row],[Hire]],Table1[[#This Row],[Exit]],"Y"))</f>
        <v>3</v>
      </c>
      <c r="N458">
        <f>FLOOR(Table1[[#This Row],[Age]],10)</f>
        <v>30</v>
      </c>
      <c r="O458" t="str">
        <f>IF(Table1[[#This Row],[Age]]&lt;30,"20-29",IF(Table1[[#This Row],[Age]]&lt;40,"30-39",IF(Table1[[#This Row],[Age]]&lt;50,"40-49",IF(Table1[[#This Row],[Age]]&lt;60,"50-59","60+"))))</f>
        <v>30-39</v>
      </c>
    </row>
    <row r="459" spans="1:15" x14ac:dyDescent="0.25">
      <c r="A459" t="s">
        <v>54</v>
      </c>
      <c r="B459" t="s">
        <v>925</v>
      </c>
      <c r="C459" t="s">
        <v>14</v>
      </c>
      <c r="D459">
        <v>41</v>
      </c>
      <c r="E459" t="s">
        <v>42</v>
      </c>
      <c r="F459" t="s">
        <v>49</v>
      </c>
      <c r="G459" t="s">
        <v>17</v>
      </c>
      <c r="H459" s="1">
        <v>45440</v>
      </c>
      <c r="J459">
        <v>922000</v>
      </c>
      <c r="K459">
        <v>0.15</v>
      </c>
      <c r="L459" t="s">
        <v>24</v>
      </c>
      <c r="M459">
        <f ca="1">IF(Table1[[#This Row],[Exit]]="",DATEDIF(Table1[[#This Row],[Hire]],TODAY(),"Y"),DATEDIF(Table1[[#This Row],[Hire]],Table1[[#This Row],[Exit]],"Y"))</f>
        <v>1</v>
      </c>
      <c r="N459">
        <f>FLOOR(Table1[[#This Row],[Age]],10)</f>
        <v>40</v>
      </c>
      <c r="O459" t="str">
        <f>IF(Table1[[#This Row],[Age]]&lt;30,"20-29",IF(Table1[[#This Row],[Age]]&lt;40,"30-39",IF(Table1[[#This Row],[Age]]&lt;50,"40-49",IF(Table1[[#This Row],[Age]]&lt;60,"50-59","60+"))))</f>
        <v>40-49</v>
      </c>
    </row>
    <row r="460" spans="1:15" x14ac:dyDescent="0.25">
      <c r="A460" t="s">
        <v>926</v>
      </c>
      <c r="B460" t="s">
        <v>927</v>
      </c>
      <c r="C460" t="s">
        <v>21</v>
      </c>
      <c r="D460">
        <v>31</v>
      </c>
      <c r="E460" t="s">
        <v>52</v>
      </c>
      <c r="F460" t="s">
        <v>16</v>
      </c>
      <c r="G460" t="s">
        <v>53</v>
      </c>
      <c r="H460" s="1">
        <v>44811</v>
      </c>
      <c r="J460">
        <v>924000</v>
      </c>
      <c r="K460">
        <v>0</v>
      </c>
      <c r="L460" t="s">
        <v>24</v>
      </c>
      <c r="M460">
        <f ca="1">IF(Table1[[#This Row],[Exit]]="",DATEDIF(Table1[[#This Row],[Hire]],TODAY(),"Y"),DATEDIF(Table1[[#This Row],[Hire]],Table1[[#This Row],[Exit]],"Y"))</f>
        <v>3</v>
      </c>
      <c r="N460">
        <f>FLOOR(Table1[[#This Row],[Age]],10)</f>
        <v>30</v>
      </c>
      <c r="O460" t="str">
        <f>IF(Table1[[#This Row],[Age]]&lt;30,"20-29",IF(Table1[[#This Row],[Age]]&lt;40,"30-39",IF(Table1[[#This Row],[Age]]&lt;50,"40-49",IF(Table1[[#This Row],[Age]]&lt;60,"50-59","60+"))))</f>
        <v>30-39</v>
      </c>
    </row>
    <row r="461" spans="1:15" x14ac:dyDescent="0.25">
      <c r="A461" t="s">
        <v>928</v>
      </c>
      <c r="B461" t="s">
        <v>929</v>
      </c>
      <c r="C461" t="s">
        <v>14</v>
      </c>
      <c r="D461">
        <v>31</v>
      </c>
      <c r="E461" t="s">
        <v>42</v>
      </c>
      <c r="F461" t="s">
        <v>46</v>
      </c>
      <c r="G461" t="s">
        <v>53</v>
      </c>
      <c r="H461" s="1">
        <v>45294</v>
      </c>
      <c r="J461">
        <v>926000</v>
      </c>
      <c r="K461">
        <v>0</v>
      </c>
      <c r="L461" t="s">
        <v>24</v>
      </c>
      <c r="M461">
        <f ca="1">IF(Table1[[#This Row],[Exit]]="",DATEDIF(Table1[[#This Row],[Hire]],TODAY(),"Y"),DATEDIF(Table1[[#This Row],[Hire]],Table1[[#This Row],[Exit]],"Y"))</f>
        <v>2</v>
      </c>
      <c r="N461">
        <f>FLOOR(Table1[[#This Row],[Age]],10)</f>
        <v>30</v>
      </c>
      <c r="O461" t="str">
        <f>IF(Table1[[#This Row],[Age]]&lt;30,"20-29",IF(Table1[[#This Row],[Age]]&lt;40,"30-39",IF(Table1[[#This Row],[Age]]&lt;50,"40-49",IF(Table1[[#This Row],[Age]]&lt;60,"50-59","60+"))))</f>
        <v>30-39</v>
      </c>
    </row>
    <row r="462" spans="1:15" x14ac:dyDescent="0.25">
      <c r="A462" t="s">
        <v>930</v>
      </c>
      <c r="B462" t="s">
        <v>931</v>
      </c>
      <c r="C462" t="s">
        <v>21</v>
      </c>
      <c r="D462">
        <v>38</v>
      </c>
      <c r="E462" t="s">
        <v>58</v>
      </c>
      <c r="F462" t="s">
        <v>59</v>
      </c>
      <c r="G462" t="s">
        <v>34</v>
      </c>
      <c r="H462" s="1">
        <v>45074</v>
      </c>
      <c r="I462" s="1">
        <v>45412</v>
      </c>
      <c r="J462">
        <v>928000</v>
      </c>
      <c r="K462">
        <v>0</v>
      </c>
      <c r="L462" t="s">
        <v>18</v>
      </c>
      <c r="M462">
        <f ca="1">IF(Table1[[#This Row],[Exit]]="",DATEDIF(Table1[[#This Row],[Hire]],TODAY(),"Y"),DATEDIF(Table1[[#This Row],[Hire]],Table1[[#This Row],[Exit]],"Y"))</f>
        <v>0</v>
      </c>
      <c r="N462">
        <f>FLOOR(Table1[[#This Row],[Age]],10)</f>
        <v>30</v>
      </c>
      <c r="O462" t="str">
        <f>IF(Table1[[#This Row],[Age]]&lt;30,"20-29",IF(Table1[[#This Row],[Age]]&lt;40,"30-39",IF(Table1[[#This Row],[Age]]&lt;50,"40-49",IF(Table1[[#This Row],[Age]]&lt;60,"50-59","60+"))))</f>
        <v>30-39</v>
      </c>
    </row>
    <row r="463" spans="1:15" x14ac:dyDescent="0.25">
      <c r="A463" t="s">
        <v>932</v>
      </c>
      <c r="B463" t="s">
        <v>933</v>
      </c>
      <c r="C463" t="s">
        <v>14</v>
      </c>
      <c r="D463">
        <v>31</v>
      </c>
      <c r="E463" t="s">
        <v>52</v>
      </c>
      <c r="F463" t="s">
        <v>16</v>
      </c>
      <c r="G463" t="s">
        <v>23</v>
      </c>
      <c r="H463" s="1">
        <v>45245</v>
      </c>
      <c r="J463">
        <v>930000</v>
      </c>
      <c r="K463">
        <v>0</v>
      </c>
      <c r="L463" t="s">
        <v>24</v>
      </c>
      <c r="M463">
        <f ca="1">IF(Table1[[#This Row],[Exit]]="",DATEDIF(Table1[[#This Row],[Hire]],TODAY(),"Y"),DATEDIF(Table1[[#This Row],[Hire]],Table1[[#This Row],[Exit]],"Y"))</f>
        <v>2</v>
      </c>
      <c r="N463">
        <f>FLOOR(Table1[[#This Row],[Age]],10)</f>
        <v>30</v>
      </c>
      <c r="O463" t="str">
        <f>IF(Table1[[#This Row],[Age]]&lt;30,"20-29",IF(Table1[[#This Row],[Age]]&lt;40,"30-39",IF(Table1[[#This Row],[Age]]&lt;50,"40-49",IF(Table1[[#This Row],[Age]]&lt;60,"50-59","60+"))))</f>
        <v>30-39</v>
      </c>
    </row>
    <row r="464" spans="1:15" x14ac:dyDescent="0.25">
      <c r="A464" t="s">
        <v>934</v>
      </c>
      <c r="B464" t="s">
        <v>935</v>
      </c>
      <c r="C464" t="s">
        <v>41</v>
      </c>
      <c r="D464">
        <v>39</v>
      </c>
      <c r="E464" t="s">
        <v>52</v>
      </c>
      <c r="F464" t="s">
        <v>16</v>
      </c>
      <c r="G464" t="s">
        <v>34</v>
      </c>
      <c r="H464" s="1">
        <v>43851</v>
      </c>
      <c r="J464">
        <v>932000</v>
      </c>
      <c r="K464">
        <v>0.39</v>
      </c>
      <c r="L464" t="s">
        <v>24</v>
      </c>
      <c r="M464">
        <f ca="1">IF(Table1[[#This Row],[Exit]]="",DATEDIF(Table1[[#This Row],[Hire]],TODAY(),"Y"),DATEDIF(Table1[[#This Row],[Hire]],Table1[[#This Row],[Exit]],"Y"))</f>
        <v>6</v>
      </c>
      <c r="N464">
        <f>FLOOR(Table1[[#This Row],[Age]],10)</f>
        <v>30</v>
      </c>
      <c r="O464" t="str">
        <f>IF(Table1[[#This Row],[Age]]&lt;30,"20-29",IF(Table1[[#This Row],[Age]]&lt;40,"30-39",IF(Table1[[#This Row],[Age]]&lt;50,"40-49",IF(Table1[[#This Row],[Age]]&lt;60,"50-59","60+"))))</f>
        <v>30-39</v>
      </c>
    </row>
    <row r="465" spans="1:15" x14ac:dyDescent="0.25">
      <c r="A465" t="s">
        <v>936</v>
      </c>
      <c r="B465" t="s">
        <v>937</v>
      </c>
      <c r="C465" t="s">
        <v>14</v>
      </c>
      <c r="D465">
        <v>31</v>
      </c>
      <c r="E465" t="s">
        <v>66</v>
      </c>
      <c r="F465" t="s">
        <v>16</v>
      </c>
      <c r="G465" t="s">
        <v>17</v>
      </c>
      <c r="H465" s="1">
        <v>45206</v>
      </c>
      <c r="J465">
        <v>934000</v>
      </c>
      <c r="K465">
        <v>0</v>
      </c>
      <c r="L465" t="s">
        <v>24</v>
      </c>
      <c r="M465">
        <f ca="1">IF(Table1[[#This Row],[Exit]]="",DATEDIF(Table1[[#This Row],[Hire]],TODAY(),"Y"),DATEDIF(Table1[[#This Row],[Hire]],Table1[[#This Row],[Exit]],"Y"))</f>
        <v>2</v>
      </c>
      <c r="N465">
        <f>FLOOR(Table1[[#This Row],[Age]],10)</f>
        <v>30</v>
      </c>
      <c r="O465" t="str">
        <f>IF(Table1[[#This Row],[Age]]&lt;30,"20-29",IF(Table1[[#This Row],[Age]]&lt;40,"30-39",IF(Table1[[#This Row],[Age]]&lt;50,"40-49",IF(Table1[[#This Row],[Age]]&lt;60,"50-59","60+"))))</f>
        <v>30-39</v>
      </c>
    </row>
    <row r="466" spans="1:15" x14ac:dyDescent="0.25">
      <c r="A466" t="s">
        <v>115</v>
      </c>
      <c r="B466" t="s">
        <v>938</v>
      </c>
      <c r="C466" t="s">
        <v>41</v>
      </c>
      <c r="D466">
        <v>45</v>
      </c>
      <c r="E466" t="s">
        <v>58</v>
      </c>
      <c r="F466" t="s">
        <v>59</v>
      </c>
      <c r="G466" t="s">
        <v>23</v>
      </c>
      <c r="H466" s="1">
        <v>45401</v>
      </c>
      <c r="J466">
        <v>936000</v>
      </c>
      <c r="K466">
        <v>0.09</v>
      </c>
      <c r="L466" t="s">
        <v>24</v>
      </c>
      <c r="M466">
        <f ca="1">IF(Table1[[#This Row],[Exit]]="",DATEDIF(Table1[[#This Row],[Hire]],TODAY(),"Y"),DATEDIF(Table1[[#This Row],[Hire]],Table1[[#This Row],[Exit]],"Y"))</f>
        <v>1</v>
      </c>
      <c r="N466">
        <f>FLOOR(Table1[[#This Row],[Age]],10)</f>
        <v>40</v>
      </c>
      <c r="O466" t="str">
        <f>IF(Table1[[#This Row],[Age]]&lt;30,"20-29",IF(Table1[[#This Row],[Age]]&lt;40,"30-39",IF(Table1[[#This Row],[Age]]&lt;50,"40-49",IF(Table1[[#This Row],[Age]]&lt;60,"50-59","60+"))))</f>
        <v>40-49</v>
      </c>
    </row>
    <row r="467" spans="1:15" x14ac:dyDescent="0.25">
      <c r="A467" t="s">
        <v>939</v>
      </c>
      <c r="B467" t="s">
        <v>940</v>
      </c>
      <c r="C467" t="s">
        <v>14</v>
      </c>
      <c r="D467">
        <v>50</v>
      </c>
      <c r="E467" t="s">
        <v>66</v>
      </c>
      <c r="F467" t="s">
        <v>16</v>
      </c>
      <c r="G467" t="s">
        <v>34</v>
      </c>
      <c r="H467" s="1">
        <v>44083</v>
      </c>
      <c r="J467">
        <v>938000</v>
      </c>
      <c r="K467">
        <v>0</v>
      </c>
      <c r="L467" t="s">
        <v>24</v>
      </c>
      <c r="M467">
        <f ca="1">IF(Table1[[#This Row],[Exit]]="",DATEDIF(Table1[[#This Row],[Hire]],TODAY(),"Y"),DATEDIF(Table1[[#This Row],[Hire]],Table1[[#This Row],[Exit]],"Y"))</f>
        <v>5</v>
      </c>
      <c r="N467">
        <f>FLOOR(Table1[[#This Row],[Age]],10)</f>
        <v>50</v>
      </c>
      <c r="O467" t="str">
        <f>IF(Table1[[#This Row],[Age]]&lt;30,"20-29",IF(Table1[[#This Row],[Age]]&lt;40,"30-39",IF(Table1[[#This Row],[Age]]&lt;50,"40-49",IF(Table1[[#This Row],[Age]]&lt;60,"50-59","60+"))))</f>
        <v>50-59</v>
      </c>
    </row>
    <row r="468" spans="1:15" x14ac:dyDescent="0.25">
      <c r="A468" t="s">
        <v>941</v>
      </c>
      <c r="B468" t="s">
        <v>942</v>
      </c>
      <c r="C468" t="s">
        <v>21</v>
      </c>
      <c r="D468">
        <v>36</v>
      </c>
      <c r="E468" t="s">
        <v>66</v>
      </c>
      <c r="F468" t="s">
        <v>16</v>
      </c>
      <c r="G468" t="s">
        <v>53</v>
      </c>
      <c r="H468" s="1">
        <v>45233</v>
      </c>
      <c r="J468">
        <v>940000</v>
      </c>
      <c r="K468">
        <v>0.11</v>
      </c>
      <c r="L468" t="s">
        <v>24</v>
      </c>
      <c r="M468">
        <f ca="1">IF(Table1[[#This Row],[Exit]]="",DATEDIF(Table1[[#This Row],[Hire]],TODAY(),"Y"),DATEDIF(Table1[[#This Row],[Hire]],Table1[[#This Row],[Exit]],"Y"))</f>
        <v>2</v>
      </c>
      <c r="N468">
        <f>FLOOR(Table1[[#This Row],[Age]],10)</f>
        <v>30</v>
      </c>
      <c r="O468" t="str">
        <f>IF(Table1[[#This Row],[Age]]&lt;30,"20-29",IF(Table1[[#This Row],[Age]]&lt;40,"30-39",IF(Table1[[#This Row],[Age]]&lt;50,"40-49",IF(Table1[[#This Row],[Age]]&lt;60,"50-59","60+"))))</f>
        <v>30-39</v>
      </c>
    </row>
    <row r="469" spans="1:15" x14ac:dyDescent="0.25">
      <c r="A469" t="s">
        <v>943</v>
      </c>
      <c r="B469" t="s">
        <v>944</v>
      </c>
      <c r="C469" t="s">
        <v>21</v>
      </c>
      <c r="D469">
        <v>45</v>
      </c>
      <c r="E469" t="s">
        <v>58</v>
      </c>
      <c r="F469" t="s">
        <v>59</v>
      </c>
      <c r="G469" t="s">
        <v>53</v>
      </c>
      <c r="H469" s="1">
        <v>45412</v>
      </c>
      <c r="J469">
        <v>942000</v>
      </c>
      <c r="K469">
        <v>0</v>
      </c>
      <c r="L469" t="s">
        <v>24</v>
      </c>
      <c r="M469">
        <f ca="1">IF(Table1[[#This Row],[Exit]]="",DATEDIF(Table1[[#This Row],[Hire]],TODAY(),"Y"),DATEDIF(Table1[[#This Row],[Hire]],Table1[[#This Row],[Exit]],"Y"))</f>
        <v>1</v>
      </c>
      <c r="N469">
        <f>FLOOR(Table1[[#This Row],[Age]],10)</f>
        <v>40</v>
      </c>
      <c r="O469" t="str">
        <f>IF(Table1[[#This Row],[Age]]&lt;30,"20-29",IF(Table1[[#This Row],[Age]]&lt;40,"30-39",IF(Table1[[#This Row],[Age]]&lt;50,"40-49",IF(Table1[[#This Row],[Age]]&lt;60,"50-59","60+"))))</f>
        <v>40-49</v>
      </c>
    </row>
    <row r="470" spans="1:15" x14ac:dyDescent="0.25">
      <c r="A470" t="s">
        <v>945</v>
      </c>
      <c r="B470" t="s">
        <v>946</v>
      </c>
      <c r="C470" t="s">
        <v>14</v>
      </c>
      <c r="D470">
        <v>31</v>
      </c>
      <c r="E470" t="s">
        <v>15</v>
      </c>
      <c r="F470" t="s">
        <v>16</v>
      </c>
      <c r="G470" t="s">
        <v>53</v>
      </c>
      <c r="H470" s="1">
        <v>43887</v>
      </c>
      <c r="J470">
        <v>944000</v>
      </c>
      <c r="K470">
        <v>0.24</v>
      </c>
      <c r="L470" t="s">
        <v>24</v>
      </c>
      <c r="M470">
        <f ca="1">IF(Table1[[#This Row],[Exit]]="",DATEDIF(Table1[[#This Row],[Hire]],TODAY(),"Y"),DATEDIF(Table1[[#This Row],[Hire]],Table1[[#This Row],[Exit]],"Y"))</f>
        <v>5</v>
      </c>
      <c r="N470">
        <f>FLOOR(Table1[[#This Row],[Age]],10)</f>
        <v>30</v>
      </c>
      <c r="O470" t="str">
        <f>IF(Table1[[#This Row],[Age]]&lt;30,"20-29",IF(Table1[[#This Row],[Age]]&lt;40,"30-39",IF(Table1[[#This Row],[Age]]&lt;50,"40-49",IF(Table1[[#This Row],[Age]]&lt;60,"50-59","60+"))))</f>
        <v>30-39</v>
      </c>
    </row>
    <row r="471" spans="1:15" x14ac:dyDescent="0.25">
      <c r="A471" t="s">
        <v>947</v>
      </c>
      <c r="B471" t="s">
        <v>948</v>
      </c>
      <c r="C471" t="s">
        <v>21</v>
      </c>
      <c r="D471">
        <v>41</v>
      </c>
      <c r="E471" t="s">
        <v>22</v>
      </c>
      <c r="F471" t="s">
        <v>16</v>
      </c>
      <c r="G471" t="s">
        <v>53</v>
      </c>
      <c r="H471" s="1">
        <v>44815</v>
      </c>
      <c r="J471">
        <v>946000</v>
      </c>
      <c r="K471">
        <v>0.1</v>
      </c>
      <c r="L471" t="s">
        <v>24</v>
      </c>
      <c r="M471">
        <f ca="1">IF(Table1[[#This Row],[Exit]]="",DATEDIF(Table1[[#This Row],[Hire]],TODAY(),"Y"),DATEDIF(Table1[[#This Row],[Hire]],Table1[[#This Row],[Exit]],"Y"))</f>
        <v>3</v>
      </c>
      <c r="N471">
        <f>FLOOR(Table1[[#This Row],[Age]],10)</f>
        <v>40</v>
      </c>
      <c r="O471" t="str">
        <f>IF(Table1[[#This Row],[Age]]&lt;30,"20-29",IF(Table1[[#This Row],[Age]]&lt;40,"30-39",IF(Table1[[#This Row],[Age]]&lt;50,"40-49",IF(Table1[[#This Row],[Age]]&lt;60,"50-59","60+"))))</f>
        <v>40-49</v>
      </c>
    </row>
    <row r="472" spans="1:15" x14ac:dyDescent="0.25">
      <c r="A472" t="s">
        <v>949</v>
      </c>
      <c r="B472" t="s">
        <v>950</v>
      </c>
      <c r="C472" t="s">
        <v>21</v>
      </c>
      <c r="D472">
        <v>47</v>
      </c>
      <c r="E472" t="s">
        <v>81</v>
      </c>
      <c r="F472" t="s">
        <v>43</v>
      </c>
      <c r="G472" t="s">
        <v>53</v>
      </c>
      <c r="H472" s="1">
        <v>45430</v>
      </c>
      <c r="J472">
        <v>948000</v>
      </c>
      <c r="K472">
        <v>0.1</v>
      </c>
      <c r="L472" t="s">
        <v>24</v>
      </c>
      <c r="M472">
        <f ca="1">IF(Table1[[#This Row],[Exit]]="",DATEDIF(Table1[[#This Row],[Hire]],TODAY(),"Y"),DATEDIF(Table1[[#This Row],[Hire]],Table1[[#This Row],[Exit]],"Y"))</f>
        <v>1</v>
      </c>
      <c r="N472">
        <f>FLOOR(Table1[[#This Row],[Age]],10)</f>
        <v>40</v>
      </c>
      <c r="O472" t="str">
        <f>IF(Table1[[#This Row],[Age]]&lt;30,"20-29",IF(Table1[[#This Row],[Age]]&lt;40,"30-39",IF(Table1[[#This Row],[Age]]&lt;50,"40-49",IF(Table1[[#This Row],[Age]]&lt;60,"50-59","60+"))))</f>
        <v>40-49</v>
      </c>
    </row>
    <row r="473" spans="1:15" x14ac:dyDescent="0.25">
      <c r="A473" t="s">
        <v>951</v>
      </c>
      <c r="B473" t="s">
        <v>952</v>
      </c>
      <c r="C473" t="s">
        <v>21</v>
      </c>
      <c r="D473">
        <v>38</v>
      </c>
      <c r="E473" t="s">
        <v>52</v>
      </c>
      <c r="F473" t="s">
        <v>16</v>
      </c>
      <c r="G473" t="s">
        <v>17</v>
      </c>
      <c r="H473" s="1">
        <v>44509</v>
      </c>
      <c r="J473">
        <v>950000</v>
      </c>
      <c r="K473">
        <v>0</v>
      </c>
      <c r="L473" t="s">
        <v>24</v>
      </c>
      <c r="M473">
        <f ca="1">IF(Table1[[#This Row],[Exit]]="",DATEDIF(Table1[[#This Row],[Hire]],TODAY(),"Y"),DATEDIF(Table1[[#This Row],[Hire]],Table1[[#This Row],[Exit]],"Y"))</f>
        <v>4</v>
      </c>
      <c r="N473">
        <f>FLOOR(Table1[[#This Row],[Age]],10)</f>
        <v>30</v>
      </c>
      <c r="O473" t="str">
        <f>IF(Table1[[#This Row],[Age]]&lt;30,"20-29",IF(Table1[[#This Row],[Age]]&lt;40,"30-39",IF(Table1[[#This Row],[Age]]&lt;50,"40-49",IF(Table1[[#This Row],[Age]]&lt;60,"50-59","60+"))))</f>
        <v>30-39</v>
      </c>
    </row>
    <row r="474" spans="1:15" x14ac:dyDescent="0.25">
      <c r="A474" t="s">
        <v>953</v>
      </c>
      <c r="B474" t="s">
        <v>954</v>
      </c>
      <c r="C474" t="s">
        <v>14</v>
      </c>
      <c r="D474">
        <v>40</v>
      </c>
      <c r="E474" t="s">
        <v>66</v>
      </c>
      <c r="F474" t="s">
        <v>16</v>
      </c>
      <c r="G474" t="s">
        <v>23</v>
      </c>
      <c r="H474" s="1">
        <v>43963</v>
      </c>
      <c r="J474">
        <v>952000</v>
      </c>
      <c r="K474">
        <v>0</v>
      </c>
      <c r="L474" t="s">
        <v>24</v>
      </c>
      <c r="M474">
        <f ca="1">IF(Table1[[#This Row],[Exit]]="",DATEDIF(Table1[[#This Row],[Hire]],TODAY(),"Y"),DATEDIF(Table1[[#This Row],[Hire]],Table1[[#This Row],[Exit]],"Y"))</f>
        <v>5</v>
      </c>
      <c r="N474">
        <f>FLOOR(Table1[[#This Row],[Age]],10)</f>
        <v>40</v>
      </c>
      <c r="O474" t="str">
        <f>IF(Table1[[#This Row],[Age]]&lt;30,"20-29",IF(Table1[[#This Row],[Age]]&lt;40,"30-39",IF(Table1[[#This Row],[Age]]&lt;50,"40-49",IF(Table1[[#This Row],[Age]]&lt;60,"50-59","60+"))))</f>
        <v>40-49</v>
      </c>
    </row>
    <row r="475" spans="1:15" x14ac:dyDescent="0.25">
      <c r="A475" t="s">
        <v>955</v>
      </c>
      <c r="B475" t="s">
        <v>956</v>
      </c>
      <c r="C475" t="s">
        <v>41</v>
      </c>
      <c r="D475">
        <v>45</v>
      </c>
      <c r="E475" t="s">
        <v>31</v>
      </c>
      <c r="F475" t="s">
        <v>16</v>
      </c>
      <c r="G475" t="s">
        <v>53</v>
      </c>
      <c r="H475" s="1">
        <v>44815</v>
      </c>
      <c r="J475">
        <v>954000</v>
      </c>
      <c r="K475">
        <v>0</v>
      </c>
      <c r="L475" t="s">
        <v>24</v>
      </c>
      <c r="M475">
        <f ca="1">IF(Table1[[#This Row],[Exit]]="",DATEDIF(Table1[[#This Row],[Hire]],TODAY(),"Y"),DATEDIF(Table1[[#This Row],[Hire]],Table1[[#This Row],[Exit]],"Y"))</f>
        <v>3</v>
      </c>
      <c r="N475">
        <f>FLOOR(Table1[[#This Row],[Age]],10)</f>
        <v>40</v>
      </c>
      <c r="O475" t="str">
        <f>IF(Table1[[#This Row],[Age]]&lt;30,"20-29",IF(Table1[[#This Row],[Age]]&lt;40,"30-39",IF(Table1[[#This Row],[Age]]&lt;50,"40-49",IF(Table1[[#This Row],[Age]]&lt;60,"50-59","60+"))))</f>
        <v>40-49</v>
      </c>
    </row>
    <row r="476" spans="1:15" x14ac:dyDescent="0.25">
      <c r="A476" t="s">
        <v>957</v>
      </c>
      <c r="B476" t="s">
        <v>958</v>
      </c>
      <c r="C476" t="s">
        <v>14</v>
      </c>
      <c r="D476">
        <v>31</v>
      </c>
      <c r="E476" t="s">
        <v>81</v>
      </c>
      <c r="F476" t="s">
        <v>49</v>
      </c>
      <c r="G476" t="s">
        <v>34</v>
      </c>
      <c r="H476" s="1">
        <v>44857</v>
      </c>
      <c r="J476">
        <v>956000</v>
      </c>
      <c r="K476">
        <v>0</v>
      </c>
      <c r="L476" t="s">
        <v>24</v>
      </c>
      <c r="M476">
        <f ca="1">IF(Table1[[#This Row],[Exit]]="",DATEDIF(Table1[[#This Row],[Hire]],TODAY(),"Y"),DATEDIF(Table1[[#This Row],[Hire]],Table1[[#This Row],[Exit]],"Y"))</f>
        <v>3</v>
      </c>
      <c r="N476">
        <f>FLOOR(Table1[[#This Row],[Age]],10)</f>
        <v>30</v>
      </c>
      <c r="O476" t="str">
        <f>IF(Table1[[#This Row],[Age]]&lt;30,"20-29",IF(Table1[[#This Row],[Age]]&lt;40,"30-39",IF(Table1[[#This Row],[Age]]&lt;50,"40-49",IF(Table1[[#This Row],[Age]]&lt;60,"50-59","60+"))))</f>
        <v>30-39</v>
      </c>
    </row>
    <row r="477" spans="1:15" x14ac:dyDescent="0.25">
      <c r="A477" t="s">
        <v>959</v>
      </c>
      <c r="B477" t="s">
        <v>960</v>
      </c>
      <c r="C477" t="s">
        <v>21</v>
      </c>
      <c r="D477">
        <v>35</v>
      </c>
      <c r="E477" t="s">
        <v>92</v>
      </c>
      <c r="F477" t="s">
        <v>59</v>
      </c>
      <c r="G477" t="s">
        <v>53</v>
      </c>
      <c r="H477" s="1">
        <v>45527</v>
      </c>
      <c r="J477">
        <v>958000</v>
      </c>
      <c r="K477">
        <v>0.32</v>
      </c>
      <c r="L477" t="s">
        <v>24</v>
      </c>
      <c r="M477">
        <f ca="1">IF(Table1[[#This Row],[Exit]]="",DATEDIF(Table1[[#This Row],[Hire]],TODAY(),"Y"),DATEDIF(Table1[[#This Row],[Hire]],Table1[[#This Row],[Exit]],"Y"))</f>
        <v>1</v>
      </c>
      <c r="N477">
        <f>FLOOR(Table1[[#This Row],[Age]],10)</f>
        <v>30</v>
      </c>
      <c r="O477" t="str">
        <f>IF(Table1[[#This Row],[Age]]&lt;30,"20-29",IF(Table1[[#This Row],[Age]]&lt;40,"30-39",IF(Table1[[#This Row],[Age]]&lt;50,"40-49",IF(Table1[[#This Row],[Age]]&lt;60,"50-59","60+"))))</f>
        <v>30-39</v>
      </c>
    </row>
    <row r="478" spans="1:15" x14ac:dyDescent="0.25">
      <c r="A478" t="s">
        <v>961</v>
      </c>
      <c r="B478" t="s">
        <v>962</v>
      </c>
      <c r="C478" t="s">
        <v>14</v>
      </c>
      <c r="D478">
        <v>31</v>
      </c>
      <c r="E478" t="s">
        <v>81</v>
      </c>
      <c r="F478" t="s">
        <v>46</v>
      </c>
      <c r="G478" t="s">
        <v>23</v>
      </c>
      <c r="H478" s="1">
        <v>45237</v>
      </c>
      <c r="J478">
        <v>960000</v>
      </c>
      <c r="K478">
        <v>0</v>
      </c>
      <c r="L478" t="s">
        <v>24</v>
      </c>
      <c r="M478">
        <f ca="1">IF(Table1[[#This Row],[Exit]]="",DATEDIF(Table1[[#This Row],[Hire]],TODAY(),"Y"),DATEDIF(Table1[[#This Row],[Hire]],Table1[[#This Row],[Exit]],"Y"))</f>
        <v>2</v>
      </c>
      <c r="N478">
        <f>FLOOR(Table1[[#This Row],[Age]],10)</f>
        <v>30</v>
      </c>
      <c r="O478" t="str">
        <f>IF(Table1[[#This Row],[Age]]&lt;30,"20-29",IF(Table1[[#This Row],[Age]]&lt;40,"30-39",IF(Table1[[#This Row],[Age]]&lt;50,"40-49",IF(Table1[[#This Row],[Age]]&lt;60,"50-59","60+"))))</f>
        <v>30-39</v>
      </c>
    </row>
    <row r="479" spans="1:15" x14ac:dyDescent="0.25">
      <c r="A479" t="s">
        <v>963</v>
      </c>
      <c r="B479" t="s">
        <v>964</v>
      </c>
      <c r="C479" t="s">
        <v>14</v>
      </c>
      <c r="D479">
        <v>35</v>
      </c>
      <c r="E479" t="s">
        <v>22</v>
      </c>
      <c r="F479" t="s">
        <v>16</v>
      </c>
      <c r="G479" t="s">
        <v>34</v>
      </c>
      <c r="H479" s="1">
        <v>45206</v>
      </c>
      <c r="I479" s="1">
        <v>45337</v>
      </c>
      <c r="J479">
        <v>962000</v>
      </c>
      <c r="K479">
        <v>0</v>
      </c>
      <c r="L479" t="s">
        <v>18</v>
      </c>
      <c r="M479">
        <f ca="1">IF(Table1[[#This Row],[Exit]]="",DATEDIF(Table1[[#This Row],[Hire]],TODAY(),"Y"),DATEDIF(Table1[[#This Row],[Hire]],Table1[[#This Row],[Exit]],"Y"))</f>
        <v>0</v>
      </c>
      <c r="N479">
        <f>FLOOR(Table1[[#This Row],[Age]],10)</f>
        <v>30</v>
      </c>
      <c r="O479" t="str">
        <f>IF(Table1[[#This Row],[Age]]&lt;30,"20-29",IF(Table1[[#This Row],[Age]]&lt;40,"30-39",IF(Table1[[#This Row],[Age]]&lt;50,"40-49",IF(Table1[[#This Row],[Age]]&lt;60,"50-59","60+"))))</f>
        <v>30-39</v>
      </c>
    </row>
    <row r="480" spans="1:15" x14ac:dyDescent="0.25">
      <c r="A480" t="s">
        <v>965</v>
      </c>
      <c r="B480" t="s">
        <v>966</v>
      </c>
      <c r="C480" t="s">
        <v>14</v>
      </c>
      <c r="D480">
        <v>31</v>
      </c>
      <c r="E480" t="s">
        <v>92</v>
      </c>
      <c r="F480" t="s">
        <v>59</v>
      </c>
      <c r="G480" t="s">
        <v>34</v>
      </c>
      <c r="H480" s="1">
        <v>44677</v>
      </c>
      <c r="J480">
        <v>964000</v>
      </c>
      <c r="K480">
        <v>0.11</v>
      </c>
      <c r="L480" t="s">
        <v>24</v>
      </c>
      <c r="M480">
        <f ca="1">IF(Table1[[#This Row],[Exit]]="",DATEDIF(Table1[[#This Row],[Hire]],TODAY(),"Y"),DATEDIF(Table1[[#This Row],[Hire]],Table1[[#This Row],[Exit]],"Y"))</f>
        <v>3</v>
      </c>
      <c r="N480">
        <f>FLOOR(Table1[[#This Row],[Age]],10)</f>
        <v>30</v>
      </c>
      <c r="O480" t="str">
        <f>IF(Table1[[#This Row],[Age]]&lt;30,"20-29",IF(Table1[[#This Row],[Age]]&lt;40,"30-39",IF(Table1[[#This Row],[Age]]&lt;50,"40-49",IF(Table1[[#This Row],[Age]]&lt;60,"50-59","60+"))))</f>
        <v>30-39</v>
      </c>
    </row>
    <row r="481" spans="1:15" x14ac:dyDescent="0.25">
      <c r="A481" t="s">
        <v>967</v>
      </c>
      <c r="B481" t="s">
        <v>968</v>
      </c>
      <c r="C481" t="s">
        <v>14</v>
      </c>
      <c r="D481">
        <v>31</v>
      </c>
      <c r="E481" t="s">
        <v>31</v>
      </c>
      <c r="F481" t="s">
        <v>16</v>
      </c>
      <c r="G481" t="s">
        <v>17</v>
      </c>
      <c r="H481" s="1">
        <v>43889</v>
      </c>
      <c r="J481">
        <v>966000</v>
      </c>
      <c r="K481">
        <v>0</v>
      </c>
      <c r="L481" t="s">
        <v>24</v>
      </c>
      <c r="M481">
        <f ca="1">IF(Table1[[#This Row],[Exit]]="",DATEDIF(Table1[[#This Row],[Hire]],TODAY(),"Y"),DATEDIF(Table1[[#This Row],[Hire]],Table1[[#This Row],[Exit]],"Y"))</f>
        <v>5</v>
      </c>
      <c r="N481">
        <f>FLOOR(Table1[[#This Row],[Age]],10)</f>
        <v>30</v>
      </c>
      <c r="O481" t="str">
        <f>IF(Table1[[#This Row],[Age]]&lt;30,"20-29",IF(Table1[[#This Row],[Age]]&lt;40,"30-39",IF(Table1[[#This Row],[Age]]&lt;50,"40-49",IF(Table1[[#This Row],[Age]]&lt;60,"50-59","60+"))))</f>
        <v>30-39</v>
      </c>
    </row>
    <row r="482" spans="1:15" x14ac:dyDescent="0.25">
      <c r="A482" t="s">
        <v>969</v>
      </c>
      <c r="B482" t="s">
        <v>970</v>
      </c>
      <c r="C482" t="s">
        <v>14</v>
      </c>
      <c r="D482">
        <v>31</v>
      </c>
      <c r="E482" t="s">
        <v>15</v>
      </c>
      <c r="F482" t="s">
        <v>16</v>
      </c>
      <c r="G482" t="s">
        <v>17</v>
      </c>
      <c r="H482" s="1">
        <v>44116</v>
      </c>
      <c r="J482">
        <v>968000</v>
      </c>
      <c r="K482">
        <v>0.06</v>
      </c>
      <c r="L482" t="s">
        <v>24</v>
      </c>
      <c r="M482">
        <f ca="1">IF(Table1[[#This Row],[Exit]]="",DATEDIF(Table1[[#This Row],[Hire]],TODAY(),"Y"),DATEDIF(Table1[[#This Row],[Hire]],Table1[[#This Row],[Exit]],"Y"))</f>
        <v>5</v>
      </c>
      <c r="N482">
        <f>FLOOR(Table1[[#This Row],[Age]],10)</f>
        <v>30</v>
      </c>
      <c r="O482" t="str">
        <f>IF(Table1[[#This Row],[Age]]&lt;30,"20-29",IF(Table1[[#This Row],[Age]]&lt;40,"30-39",IF(Table1[[#This Row],[Age]]&lt;50,"40-49",IF(Table1[[#This Row],[Age]]&lt;60,"50-59","60+"))))</f>
        <v>30-39</v>
      </c>
    </row>
    <row r="483" spans="1:15" x14ac:dyDescent="0.25">
      <c r="A483" t="s">
        <v>971</v>
      </c>
      <c r="B483" t="s">
        <v>972</v>
      </c>
      <c r="C483" t="s">
        <v>14</v>
      </c>
      <c r="D483">
        <v>31</v>
      </c>
      <c r="E483" t="s">
        <v>22</v>
      </c>
      <c r="F483" t="s">
        <v>16</v>
      </c>
      <c r="G483" t="s">
        <v>23</v>
      </c>
      <c r="H483" s="1">
        <v>44588</v>
      </c>
      <c r="J483">
        <v>970000</v>
      </c>
      <c r="K483">
        <v>0</v>
      </c>
      <c r="L483" t="s">
        <v>24</v>
      </c>
      <c r="M483">
        <f ca="1">IF(Table1[[#This Row],[Exit]]="",DATEDIF(Table1[[#This Row],[Hire]],TODAY(),"Y"),DATEDIF(Table1[[#This Row],[Hire]],Table1[[#This Row],[Exit]],"Y"))</f>
        <v>4</v>
      </c>
      <c r="N483">
        <f>FLOOR(Table1[[#This Row],[Age]],10)</f>
        <v>30</v>
      </c>
      <c r="O483" t="str">
        <f>IF(Table1[[#This Row],[Age]]&lt;30,"20-29",IF(Table1[[#This Row],[Age]]&lt;40,"30-39",IF(Table1[[#This Row],[Age]]&lt;50,"40-49",IF(Table1[[#This Row],[Age]]&lt;60,"50-59","60+"))))</f>
        <v>30-39</v>
      </c>
    </row>
    <row r="484" spans="1:15" x14ac:dyDescent="0.25">
      <c r="A484" t="s">
        <v>56</v>
      </c>
      <c r="B484" t="s">
        <v>973</v>
      </c>
      <c r="C484" t="s">
        <v>14</v>
      </c>
      <c r="D484">
        <v>36</v>
      </c>
      <c r="E484" t="s">
        <v>27</v>
      </c>
      <c r="F484" t="s">
        <v>28</v>
      </c>
      <c r="G484" t="s">
        <v>17</v>
      </c>
      <c r="H484" s="1">
        <v>45337</v>
      </c>
      <c r="J484">
        <v>972000</v>
      </c>
      <c r="K484">
        <v>0</v>
      </c>
      <c r="L484" t="s">
        <v>24</v>
      </c>
      <c r="M484">
        <f ca="1">IF(Table1[[#This Row],[Exit]]="",DATEDIF(Table1[[#This Row],[Hire]],TODAY(),"Y"),DATEDIF(Table1[[#This Row],[Hire]],Table1[[#This Row],[Exit]],"Y"))</f>
        <v>1</v>
      </c>
      <c r="N484">
        <f>FLOOR(Table1[[#This Row],[Age]],10)</f>
        <v>30</v>
      </c>
      <c r="O484" t="str">
        <f>IF(Table1[[#This Row],[Age]]&lt;30,"20-29",IF(Table1[[#This Row],[Age]]&lt;40,"30-39",IF(Table1[[#This Row],[Age]]&lt;50,"40-49",IF(Table1[[#This Row],[Age]]&lt;60,"50-59","60+"))))</f>
        <v>30-39</v>
      </c>
    </row>
    <row r="485" spans="1:15" x14ac:dyDescent="0.25">
      <c r="A485" t="s">
        <v>974</v>
      </c>
      <c r="B485" t="s">
        <v>975</v>
      </c>
      <c r="C485" t="s">
        <v>21</v>
      </c>
      <c r="D485">
        <v>45</v>
      </c>
      <c r="E485" t="s">
        <v>31</v>
      </c>
      <c r="F485" t="s">
        <v>16</v>
      </c>
      <c r="G485" t="s">
        <v>23</v>
      </c>
      <c r="H485" s="1">
        <v>45332</v>
      </c>
      <c r="J485">
        <v>974000</v>
      </c>
      <c r="K485">
        <v>7.0000000000000007E-2</v>
      </c>
      <c r="L485" t="s">
        <v>24</v>
      </c>
      <c r="M485">
        <f ca="1">IF(Table1[[#This Row],[Exit]]="",DATEDIF(Table1[[#This Row],[Hire]],TODAY(),"Y"),DATEDIF(Table1[[#This Row],[Hire]],Table1[[#This Row],[Exit]],"Y"))</f>
        <v>1</v>
      </c>
      <c r="N485">
        <f>FLOOR(Table1[[#This Row],[Age]],10)</f>
        <v>40</v>
      </c>
      <c r="O485" t="str">
        <f>IF(Table1[[#This Row],[Age]]&lt;30,"20-29",IF(Table1[[#This Row],[Age]]&lt;40,"30-39",IF(Table1[[#This Row],[Age]]&lt;50,"40-49",IF(Table1[[#This Row],[Age]]&lt;60,"50-59","60+"))))</f>
        <v>40-49</v>
      </c>
    </row>
    <row r="486" spans="1:15" x14ac:dyDescent="0.25">
      <c r="A486" t="s">
        <v>976</v>
      </c>
      <c r="B486" t="s">
        <v>977</v>
      </c>
      <c r="C486" t="s">
        <v>14</v>
      </c>
      <c r="D486">
        <v>37</v>
      </c>
      <c r="E486" t="s">
        <v>27</v>
      </c>
      <c r="F486" t="s">
        <v>28</v>
      </c>
      <c r="G486" t="s">
        <v>34</v>
      </c>
      <c r="H486" s="1">
        <v>44183</v>
      </c>
      <c r="J486">
        <v>976000</v>
      </c>
      <c r="K486">
        <v>0</v>
      </c>
      <c r="L486" t="s">
        <v>24</v>
      </c>
      <c r="M486">
        <f ca="1">IF(Table1[[#This Row],[Exit]]="",DATEDIF(Table1[[#This Row],[Hire]],TODAY(),"Y"),DATEDIF(Table1[[#This Row],[Hire]],Table1[[#This Row],[Exit]],"Y"))</f>
        <v>5</v>
      </c>
      <c r="N486">
        <f>FLOOR(Table1[[#This Row],[Age]],10)</f>
        <v>30</v>
      </c>
      <c r="O486" t="str">
        <f>IF(Table1[[#This Row],[Age]]&lt;30,"20-29",IF(Table1[[#This Row],[Age]]&lt;40,"30-39",IF(Table1[[#This Row],[Age]]&lt;50,"40-49",IF(Table1[[#This Row],[Age]]&lt;60,"50-59","60+"))))</f>
        <v>30-39</v>
      </c>
    </row>
    <row r="487" spans="1:15" x14ac:dyDescent="0.25">
      <c r="A487" t="s">
        <v>978</v>
      </c>
      <c r="B487" t="s">
        <v>979</v>
      </c>
      <c r="C487" t="s">
        <v>14</v>
      </c>
      <c r="D487">
        <v>38</v>
      </c>
      <c r="E487" t="s">
        <v>15</v>
      </c>
      <c r="F487" t="s">
        <v>16</v>
      </c>
      <c r="G487" t="s">
        <v>23</v>
      </c>
      <c r="H487" s="1">
        <v>43837</v>
      </c>
      <c r="J487">
        <v>978000</v>
      </c>
      <c r="K487">
        <v>0.3</v>
      </c>
      <c r="L487" t="s">
        <v>24</v>
      </c>
      <c r="M487">
        <f ca="1">IF(Table1[[#This Row],[Exit]]="",DATEDIF(Table1[[#This Row],[Hire]],TODAY(),"Y"),DATEDIF(Table1[[#This Row],[Hire]],Table1[[#This Row],[Exit]],"Y"))</f>
        <v>6</v>
      </c>
      <c r="N487">
        <f>FLOOR(Table1[[#This Row],[Age]],10)</f>
        <v>30</v>
      </c>
      <c r="O487" t="str">
        <f>IF(Table1[[#This Row],[Age]]&lt;30,"20-29",IF(Table1[[#This Row],[Age]]&lt;40,"30-39",IF(Table1[[#This Row],[Age]]&lt;50,"40-49",IF(Table1[[#This Row],[Age]]&lt;60,"50-59","60+"))))</f>
        <v>30-39</v>
      </c>
    </row>
    <row r="488" spans="1:15" x14ac:dyDescent="0.25">
      <c r="A488" t="s">
        <v>980</v>
      </c>
      <c r="B488" t="s">
        <v>981</v>
      </c>
      <c r="C488" t="s">
        <v>14</v>
      </c>
      <c r="D488">
        <v>45</v>
      </c>
      <c r="E488" t="s">
        <v>15</v>
      </c>
      <c r="F488" t="s">
        <v>16</v>
      </c>
      <c r="G488" t="s">
        <v>34</v>
      </c>
      <c r="H488" s="1">
        <v>45206</v>
      </c>
      <c r="J488">
        <v>980000</v>
      </c>
      <c r="K488">
        <v>0</v>
      </c>
      <c r="L488" t="s">
        <v>24</v>
      </c>
      <c r="M488">
        <f ca="1">IF(Table1[[#This Row],[Exit]]="",DATEDIF(Table1[[#This Row],[Hire]],TODAY(),"Y"),DATEDIF(Table1[[#This Row],[Hire]],Table1[[#This Row],[Exit]],"Y"))</f>
        <v>2</v>
      </c>
      <c r="N488">
        <f>FLOOR(Table1[[#This Row],[Age]],10)</f>
        <v>40</v>
      </c>
      <c r="O488" t="str">
        <f>IF(Table1[[#This Row],[Age]]&lt;30,"20-29",IF(Table1[[#This Row],[Age]]&lt;40,"30-39",IF(Table1[[#This Row],[Age]]&lt;50,"40-49",IF(Table1[[#This Row],[Age]]&lt;60,"50-59","60+"))))</f>
        <v>40-49</v>
      </c>
    </row>
    <row r="489" spans="1:15" x14ac:dyDescent="0.25">
      <c r="A489" t="s">
        <v>982</v>
      </c>
      <c r="B489" t="s">
        <v>983</v>
      </c>
      <c r="C489" t="s">
        <v>14</v>
      </c>
      <c r="D489">
        <v>51</v>
      </c>
      <c r="E489" t="s">
        <v>42</v>
      </c>
      <c r="F489" t="s">
        <v>43</v>
      </c>
      <c r="G489" t="s">
        <v>34</v>
      </c>
      <c r="H489" s="1">
        <v>44487</v>
      </c>
      <c r="J489">
        <v>982000</v>
      </c>
      <c r="K489">
        <v>0</v>
      </c>
      <c r="L489" t="s">
        <v>24</v>
      </c>
      <c r="M489">
        <f ca="1">IF(Table1[[#This Row],[Exit]]="",DATEDIF(Table1[[#This Row],[Hire]],TODAY(),"Y"),DATEDIF(Table1[[#This Row],[Hire]],Table1[[#This Row],[Exit]],"Y"))</f>
        <v>4</v>
      </c>
      <c r="N489">
        <f>FLOOR(Table1[[#This Row],[Age]],10)</f>
        <v>50</v>
      </c>
      <c r="O489" t="str">
        <f>IF(Table1[[#This Row],[Age]]&lt;30,"20-29",IF(Table1[[#This Row],[Age]]&lt;40,"30-39",IF(Table1[[#This Row],[Age]]&lt;50,"40-49",IF(Table1[[#This Row],[Age]]&lt;60,"50-59","60+"))))</f>
        <v>50-59</v>
      </c>
    </row>
    <row r="490" spans="1:15" x14ac:dyDescent="0.25">
      <c r="A490" t="s">
        <v>984</v>
      </c>
      <c r="B490" t="s">
        <v>985</v>
      </c>
      <c r="C490" t="s">
        <v>21</v>
      </c>
      <c r="D490">
        <v>56</v>
      </c>
      <c r="E490" t="s">
        <v>42</v>
      </c>
      <c r="F490" t="s">
        <v>46</v>
      </c>
      <c r="G490" t="s">
        <v>23</v>
      </c>
      <c r="H490" s="1">
        <v>44791</v>
      </c>
      <c r="J490">
        <v>984000</v>
      </c>
      <c r="K490">
        <v>0.05</v>
      </c>
      <c r="L490" t="s">
        <v>24</v>
      </c>
      <c r="M490">
        <f ca="1">IF(Table1[[#This Row],[Exit]]="",DATEDIF(Table1[[#This Row],[Hire]],TODAY(),"Y"),DATEDIF(Table1[[#This Row],[Hire]],Table1[[#This Row],[Exit]],"Y"))</f>
        <v>3</v>
      </c>
      <c r="N490">
        <f>FLOOR(Table1[[#This Row],[Age]],10)</f>
        <v>50</v>
      </c>
      <c r="O490" t="str">
        <f>IF(Table1[[#This Row],[Age]]&lt;30,"20-29",IF(Table1[[#This Row],[Age]]&lt;40,"30-39",IF(Table1[[#This Row],[Age]]&lt;50,"40-49",IF(Table1[[#This Row],[Age]]&lt;60,"50-59","60+"))))</f>
        <v>50-59</v>
      </c>
    </row>
    <row r="491" spans="1:15" x14ac:dyDescent="0.25">
      <c r="A491" t="s">
        <v>986</v>
      </c>
      <c r="B491" t="s">
        <v>987</v>
      </c>
      <c r="C491" t="s">
        <v>21</v>
      </c>
      <c r="D491">
        <v>53</v>
      </c>
      <c r="E491" t="s">
        <v>42</v>
      </c>
      <c r="F491" t="s">
        <v>49</v>
      </c>
      <c r="G491" t="s">
        <v>17</v>
      </c>
      <c r="H491" s="1">
        <v>45440</v>
      </c>
      <c r="J491">
        <v>986000</v>
      </c>
      <c r="K491">
        <v>0.15</v>
      </c>
      <c r="L491" t="s">
        <v>24</v>
      </c>
      <c r="M491">
        <f ca="1">IF(Table1[[#This Row],[Exit]]="",DATEDIF(Table1[[#This Row],[Hire]],TODAY(),"Y"),DATEDIF(Table1[[#This Row],[Hire]],Table1[[#This Row],[Exit]],"Y"))</f>
        <v>1</v>
      </c>
      <c r="N491">
        <f>FLOOR(Table1[[#This Row],[Age]],10)</f>
        <v>50</v>
      </c>
      <c r="O491" t="str">
        <f>IF(Table1[[#This Row],[Age]]&lt;30,"20-29",IF(Table1[[#This Row],[Age]]&lt;40,"30-39",IF(Table1[[#This Row],[Age]]&lt;50,"40-49",IF(Table1[[#This Row],[Age]]&lt;60,"50-59","60+"))))</f>
        <v>50-59</v>
      </c>
    </row>
    <row r="492" spans="1:15" x14ac:dyDescent="0.25">
      <c r="A492" t="s">
        <v>988</v>
      </c>
      <c r="B492" t="s">
        <v>989</v>
      </c>
      <c r="C492" t="s">
        <v>14</v>
      </c>
      <c r="D492">
        <v>47</v>
      </c>
      <c r="E492" t="s">
        <v>52</v>
      </c>
      <c r="F492" t="s">
        <v>16</v>
      </c>
      <c r="G492" t="s">
        <v>53</v>
      </c>
      <c r="H492" s="1">
        <v>44811</v>
      </c>
      <c r="I492" s="1">
        <v>45294</v>
      </c>
      <c r="J492">
        <v>988000</v>
      </c>
      <c r="K492">
        <v>0</v>
      </c>
      <c r="L492" t="s">
        <v>18</v>
      </c>
      <c r="M492">
        <f ca="1">IF(Table1[[#This Row],[Exit]]="",DATEDIF(Table1[[#This Row],[Hire]],TODAY(),"Y"),DATEDIF(Table1[[#This Row],[Hire]],Table1[[#This Row],[Exit]],"Y"))</f>
        <v>1</v>
      </c>
      <c r="N492">
        <f>FLOOR(Table1[[#This Row],[Age]],10)</f>
        <v>40</v>
      </c>
      <c r="O492" t="str">
        <f>IF(Table1[[#This Row],[Age]]&lt;30,"20-29",IF(Table1[[#This Row],[Age]]&lt;40,"30-39",IF(Table1[[#This Row],[Age]]&lt;50,"40-49",IF(Table1[[#This Row],[Age]]&lt;60,"50-59","60+"))))</f>
        <v>40-49</v>
      </c>
    </row>
    <row r="493" spans="1:15" x14ac:dyDescent="0.25">
      <c r="A493" t="s">
        <v>990</v>
      </c>
      <c r="B493" t="s">
        <v>991</v>
      </c>
      <c r="C493" t="s">
        <v>21</v>
      </c>
      <c r="D493">
        <v>36</v>
      </c>
      <c r="E493" t="s">
        <v>42</v>
      </c>
      <c r="F493" t="s">
        <v>46</v>
      </c>
      <c r="G493" t="s">
        <v>53</v>
      </c>
      <c r="H493" s="1">
        <v>45294</v>
      </c>
      <c r="J493">
        <v>990000</v>
      </c>
      <c r="K493">
        <v>0.36</v>
      </c>
      <c r="L493" t="s">
        <v>24</v>
      </c>
      <c r="M493">
        <f ca="1">IF(Table1[[#This Row],[Exit]]="",DATEDIF(Table1[[#This Row],[Hire]],TODAY(),"Y"),DATEDIF(Table1[[#This Row],[Hire]],Table1[[#This Row],[Exit]],"Y"))</f>
        <v>2</v>
      </c>
      <c r="N493">
        <f>FLOOR(Table1[[#This Row],[Age]],10)</f>
        <v>30</v>
      </c>
      <c r="O493" t="str">
        <f>IF(Table1[[#This Row],[Age]]&lt;30,"20-29",IF(Table1[[#This Row],[Age]]&lt;40,"30-39",IF(Table1[[#This Row],[Age]]&lt;50,"40-49",IF(Table1[[#This Row],[Age]]&lt;60,"50-59","60+"))))</f>
        <v>30-39</v>
      </c>
    </row>
    <row r="494" spans="1:15" x14ac:dyDescent="0.25">
      <c r="A494" t="s">
        <v>992</v>
      </c>
      <c r="B494" t="s">
        <v>993</v>
      </c>
      <c r="C494" t="s">
        <v>14</v>
      </c>
      <c r="D494">
        <v>41</v>
      </c>
      <c r="E494" t="s">
        <v>58</v>
      </c>
      <c r="F494" t="s">
        <v>59</v>
      </c>
      <c r="G494" t="s">
        <v>34</v>
      </c>
      <c r="H494" s="1">
        <v>45074</v>
      </c>
      <c r="J494">
        <v>992000</v>
      </c>
      <c r="K494">
        <v>0</v>
      </c>
      <c r="L494" t="s">
        <v>24</v>
      </c>
      <c r="M494">
        <f ca="1">IF(Table1[[#This Row],[Exit]]="",DATEDIF(Table1[[#This Row],[Hire]],TODAY(),"Y"),DATEDIF(Table1[[#This Row],[Hire]],Table1[[#This Row],[Exit]],"Y"))</f>
        <v>2</v>
      </c>
      <c r="N494">
        <f>FLOOR(Table1[[#This Row],[Age]],10)</f>
        <v>40</v>
      </c>
      <c r="O494" t="str">
        <f>IF(Table1[[#This Row],[Age]]&lt;30,"20-29",IF(Table1[[#This Row],[Age]]&lt;40,"30-39",IF(Table1[[#This Row],[Age]]&lt;50,"40-49",IF(Table1[[#This Row],[Age]]&lt;60,"50-59","60+"))))</f>
        <v>40-49</v>
      </c>
    </row>
    <row r="495" spans="1:15" x14ac:dyDescent="0.25">
      <c r="A495" t="s">
        <v>60</v>
      </c>
      <c r="B495" t="s">
        <v>994</v>
      </c>
      <c r="C495" t="s">
        <v>14</v>
      </c>
      <c r="D495">
        <v>31</v>
      </c>
      <c r="E495" t="s">
        <v>52</v>
      </c>
      <c r="F495" t="s">
        <v>16</v>
      </c>
      <c r="G495" t="s">
        <v>23</v>
      </c>
      <c r="H495" s="1">
        <v>45245</v>
      </c>
      <c r="J495">
        <v>994000</v>
      </c>
      <c r="K495">
        <v>0</v>
      </c>
      <c r="L495" t="s">
        <v>24</v>
      </c>
      <c r="M495">
        <f ca="1">IF(Table1[[#This Row],[Exit]]="",DATEDIF(Table1[[#This Row],[Hire]],TODAY(),"Y"),DATEDIF(Table1[[#This Row],[Hire]],Table1[[#This Row],[Exit]],"Y"))</f>
        <v>2</v>
      </c>
      <c r="N495">
        <f>FLOOR(Table1[[#This Row],[Age]],10)</f>
        <v>30</v>
      </c>
      <c r="O495" t="str">
        <f>IF(Table1[[#This Row],[Age]]&lt;30,"20-29",IF(Table1[[#This Row],[Age]]&lt;40,"30-39",IF(Table1[[#This Row],[Age]]&lt;50,"40-49",IF(Table1[[#This Row],[Age]]&lt;60,"50-59","60+"))))</f>
        <v>30-39</v>
      </c>
    </row>
    <row r="496" spans="1:15" x14ac:dyDescent="0.25">
      <c r="A496" t="s">
        <v>995</v>
      </c>
      <c r="B496" t="s">
        <v>996</v>
      </c>
      <c r="C496" t="s">
        <v>14</v>
      </c>
      <c r="D496">
        <v>31</v>
      </c>
      <c r="E496" t="s">
        <v>52</v>
      </c>
      <c r="F496" t="s">
        <v>16</v>
      </c>
      <c r="G496" t="s">
        <v>34</v>
      </c>
      <c r="H496" s="1">
        <v>43851</v>
      </c>
      <c r="J496">
        <v>996000</v>
      </c>
      <c r="K496">
        <v>0.31</v>
      </c>
      <c r="L496" t="s">
        <v>24</v>
      </c>
      <c r="M496">
        <f ca="1">IF(Table1[[#This Row],[Exit]]="",DATEDIF(Table1[[#This Row],[Hire]],TODAY(),"Y"),DATEDIF(Table1[[#This Row],[Hire]],Table1[[#This Row],[Exit]],"Y"))</f>
        <v>6</v>
      </c>
      <c r="N496">
        <f>FLOOR(Table1[[#This Row],[Age]],10)</f>
        <v>30</v>
      </c>
      <c r="O496" t="str">
        <f>IF(Table1[[#This Row],[Age]]&lt;30,"20-29",IF(Table1[[#This Row],[Age]]&lt;40,"30-39",IF(Table1[[#This Row],[Age]]&lt;50,"40-49",IF(Table1[[#This Row],[Age]]&lt;60,"50-59","60+"))))</f>
        <v>30-39</v>
      </c>
    </row>
    <row r="497" spans="1:15" x14ac:dyDescent="0.25">
      <c r="A497" t="s">
        <v>125</v>
      </c>
      <c r="B497" t="s">
        <v>997</v>
      </c>
      <c r="C497" t="s">
        <v>41</v>
      </c>
      <c r="D497">
        <v>38</v>
      </c>
      <c r="E497" t="s">
        <v>66</v>
      </c>
      <c r="F497" t="s">
        <v>16</v>
      </c>
      <c r="G497" t="s">
        <v>17</v>
      </c>
      <c r="H497" s="1">
        <v>45206</v>
      </c>
      <c r="J497">
        <v>998000</v>
      </c>
      <c r="K497">
        <v>0.09</v>
      </c>
      <c r="L497" t="s">
        <v>24</v>
      </c>
      <c r="M497">
        <f ca="1">IF(Table1[[#This Row],[Exit]]="",DATEDIF(Table1[[#This Row],[Hire]],TODAY(),"Y"),DATEDIF(Table1[[#This Row],[Hire]],Table1[[#This Row],[Exit]],"Y"))</f>
        <v>2</v>
      </c>
      <c r="N497">
        <f>FLOOR(Table1[[#This Row],[Age]],10)</f>
        <v>30</v>
      </c>
      <c r="O497" t="str">
        <f>IF(Table1[[#This Row],[Age]]&lt;30,"20-29",IF(Table1[[#This Row],[Age]]&lt;40,"30-39",IF(Table1[[#This Row],[Age]]&lt;50,"40-49",IF(Table1[[#This Row],[Age]]&lt;60,"50-59","60+"))))</f>
        <v>30-39</v>
      </c>
    </row>
    <row r="498" spans="1:15" x14ac:dyDescent="0.25">
      <c r="A498" t="s">
        <v>998</v>
      </c>
      <c r="B498" t="s">
        <v>999</v>
      </c>
      <c r="C498" t="s">
        <v>14</v>
      </c>
      <c r="D498">
        <v>31</v>
      </c>
      <c r="E498" t="s">
        <v>58</v>
      </c>
      <c r="F498" t="s">
        <v>59</v>
      </c>
      <c r="G498" t="s">
        <v>23</v>
      </c>
      <c r="H498" s="1">
        <v>45401</v>
      </c>
      <c r="J498">
        <v>1000000</v>
      </c>
      <c r="K498">
        <v>0.1</v>
      </c>
      <c r="L498" t="s">
        <v>24</v>
      </c>
      <c r="M498">
        <f ca="1">IF(Table1[[#This Row],[Exit]]="",DATEDIF(Table1[[#This Row],[Hire]],TODAY(),"Y"),DATEDIF(Table1[[#This Row],[Hire]],Table1[[#This Row],[Exit]],"Y"))</f>
        <v>1</v>
      </c>
      <c r="N498">
        <f>FLOOR(Table1[[#This Row],[Age]],10)</f>
        <v>30</v>
      </c>
      <c r="O498" t="str">
        <f>IF(Table1[[#This Row],[Age]]&lt;30,"20-29",IF(Table1[[#This Row],[Age]]&lt;40,"30-39",IF(Table1[[#This Row],[Age]]&lt;50,"40-49",IF(Table1[[#This Row],[Age]]&lt;60,"50-59","60+"))))</f>
        <v>30-39</v>
      </c>
    </row>
    <row r="499" spans="1:15" x14ac:dyDescent="0.25">
      <c r="A499" t="s">
        <v>1000</v>
      </c>
      <c r="B499" t="s">
        <v>1001</v>
      </c>
      <c r="C499" t="s">
        <v>41</v>
      </c>
      <c r="D499">
        <v>39</v>
      </c>
      <c r="E499" t="s">
        <v>66</v>
      </c>
      <c r="F499" t="s">
        <v>16</v>
      </c>
      <c r="G499" t="s">
        <v>34</v>
      </c>
      <c r="H499" s="1">
        <v>44083</v>
      </c>
      <c r="J499">
        <v>1002000</v>
      </c>
      <c r="K499">
        <v>0</v>
      </c>
      <c r="L499" t="s">
        <v>24</v>
      </c>
      <c r="M499">
        <f ca="1">IF(Table1[[#This Row],[Exit]]="",DATEDIF(Table1[[#This Row],[Hire]],TODAY(),"Y"),DATEDIF(Table1[[#This Row],[Hire]],Table1[[#This Row],[Exit]],"Y"))</f>
        <v>5</v>
      </c>
      <c r="N499">
        <f>FLOOR(Table1[[#This Row],[Age]],10)</f>
        <v>30</v>
      </c>
      <c r="O499" t="str">
        <f>IF(Table1[[#This Row],[Age]]&lt;30,"20-29",IF(Table1[[#This Row],[Age]]&lt;40,"30-39",IF(Table1[[#This Row],[Age]]&lt;50,"40-49",IF(Table1[[#This Row],[Age]]&lt;60,"50-59","60+"))))</f>
        <v>30-39</v>
      </c>
    </row>
    <row r="500" spans="1:15" x14ac:dyDescent="0.25">
      <c r="A500" t="s">
        <v>1002</v>
      </c>
      <c r="B500" t="s">
        <v>1003</v>
      </c>
      <c r="C500" t="s">
        <v>14</v>
      </c>
      <c r="D500">
        <v>31</v>
      </c>
      <c r="E500" t="s">
        <v>66</v>
      </c>
      <c r="F500" t="s">
        <v>16</v>
      </c>
      <c r="G500" t="s">
        <v>53</v>
      </c>
      <c r="H500" s="1">
        <v>45233</v>
      </c>
      <c r="J500">
        <v>1004000</v>
      </c>
      <c r="K500">
        <v>0</v>
      </c>
      <c r="L500" t="s">
        <v>24</v>
      </c>
      <c r="M500">
        <f ca="1">IF(Table1[[#This Row],[Exit]]="",DATEDIF(Table1[[#This Row],[Hire]],TODAY(),"Y"),DATEDIF(Table1[[#This Row],[Hire]],Table1[[#This Row],[Exit]],"Y"))</f>
        <v>2</v>
      </c>
      <c r="N500">
        <f>FLOOR(Table1[[#This Row],[Age]],10)</f>
        <v>30</v>
      </c>
      <c r="O500" t="str">
        <f>IF(Table1[[#This Row],[Age]]&lt;30,"20-29",IF(Table1[[#This Row],[Age]]&lt;40,"30-39",IF(Table1[[#This Row],[Age]]&lt;50,"40-49",IF(Table1[[#This Row],[Age]]&lt;60,"50-59","60+"))))</f>
        <v>30-39</v>
      </c>
    </row>
    <row r="501" spans="1:15" x14ac:dyDescent="0.25">
      <c r="A501" t="s">
        <v>1004</v>
      </c>
      <c r="B501" t="s">
        <v>1005</v>
      </c>
      <c r="C501" t="s">
        <v>21</v>
      </c>
      <c r="D501">
        <v>45</v>
      </c>
      <c r="E501" t="s">
        <v>58</v>
      </c>
      <c r="F501" t="s">
        <v>59</v>
      </c>
      <c r="G501" t="s">
        <v>53</v>
      </c>
      <c r="H501" s="1">
        <v>45412</v>
      </c>
      <c r="J501">
        <v>1006000</v>
      </c>
      <c r="K501">
        <v>0.06</v>
      </c>
      <c r="L501" t="s">
        <v>24</v>
      </c>
      <c r="M501">
        <f ca="1">IF(Table1[[#This Row],[Exit]]="",DATEDIF(Table1[[#This Row],[Hire]],TODAY(),"Y"),DATEDIF(Table1[[#This Row],[Hire]],Table1[[#This Row],[Exit]],"Y"))</f>
        <v>1</v>
      </c>
      <c r="N501">
        <f>FLOOR(Table1[[#This Row],[Age]],10)</f>
        <v>40</v>
      </c>
      <c r="O501" t="str">
        <f>IF(Table1[[#This Row],[Age]]&lt;30,"20-29",IF(Table1[[#This Row],[Age]]&lt;40,"30-39",IF(Table1[[#This Row],[Age]]&lt;50,"40-49",IF(Table1[[#This Row],[Age]]&lt;60,"50-59","60+"))))</f>
        <v>40-49</v>
      </c>
    </row>
    <row r="502" spans="1:15" x14ac:dyDescent="0.25">
      <c r="A502" t="s">
        <v>1006</v>
      </c>
      <c r="B502" t="s">
        <v>1007</v>
      </c>
      <c r="C502" t="s">
        <v>21</v>
      </c>
      <c r="D502">
        <v>50</v>
      </c>
      <c r="E502" t="s">
        <v>15</v>
      </c>
      <c r="F502" t="s">
        <v>16</v>
      </c>
      <c r="G502" t="s">
        <v>53</v>
      </c>
      <c r="H502" s="1">
        <v>43887</v>
      </c>
      <c r="J502">
        <v>1008000</v>
      </c>
      <c r="K502">
        <v>0</v>
      </c>
      <c r="L502" t="s">
        <v>24</v>
      </c>
      <c r="M502">
        <f ca="1">IF(Table1[[#This Row],[Exit]]="",DATEDIF(Table1[[#This Row],[Hire]],TODAY(),"Y"),DATEDIF(Table1[[#This Row],[Hire]],Table1[[#This Row],[Exit]],"Y"))</f>
        <v>5</v>
      </c>
      <c r="N502">
        <f>FLOOR(Table1[[#This Row],[Age]],10)</f>
        <v>50</v>
      </c>
      <c r="O502" t="str">
        <f>IF(Table1[[#This Row],[Age]]&lt;30,"20-29",IF(Table1[[#This Row],[Age]]&lt;40,"30-39",IF(Table1[[#This Row],[Age]]&lt;50,"40-49",IF(Table1[[#This Row],[Age]]&lt;60,"50-59","60+"))))</f>
        <v>50-59</v>
      </c>
    </row>
    <row r="503" spans="1:15" x14ac:dyDescent="0.25">
      <c r="A503" t="s">
        <v>945</v>
      </c>
      <c r="B503" t="s">
        <v>1008</v>
      </c>
      <c r="C503" t="s">
        <v>21</v>
      </c>
      <c r="D503">
        <v>36</v>
      </c>
      <c r="E503" t="s">
        <v>22</v>
      </c>
      <c r="F503" t="s">
        <v>16</v>
      </c>
      <c r="G503" t="s">
        <v>53</v>
      </c>
      <c r="H503" s="1">
        <v>44815</v>
      </c>
      <c r="J503">
        <v>1010000</v>
      </c>
      <c r="K503">
        <v>0.09</v>
      </c>
      <c r="L503" t="s">
        <v>24</v>
      </c>
      <c r="M503">
        <f ca="1">IF(Table1[[#This Row],[Exit]]="",DATEDIF(Table1[[#This Row],[Hire]],TODAY(),"Y"),DATEDIF(Table1[[#This Row],[Hire]],Table1[[#This Row],[Exit]],"Y"))</f>
        <v>3</v>
      </c>
      <c r="N503">
        <f>FLOOR(Table1[[#This Row],[Age]],10)</f>
        <v>30</v>
      </c>
      <c r="O503" t="str">
        <f>IF(Table1[[#This Row],[Age]]&lt;30,"20-29",IF(Table1[[#This Row],[Age]]&lt;40,"30-39",IF(Table1[[#This Row],[Age]]&lt;50,"40-49",IF(Table1[[#This Row],[Age]]&lt;60,"50-59","60+"))))</f>
        <v>30-39</v>
      </c>
    </row>
    <row r="504" spans="1:15" x14ac:dyDescent="0.25">
      <c r="A504" t="s">
        <v>1009</v>
      </c>
      <c r="B504" t="s">
        <v>1010</v>
      </c>
      <c r="C504" t="s">
        <v>21</v>
      </c>
      <c r="D504">
        <v>45</v>
      </c>
      <c r="E504" t="s">
        <v>81</v>
      </c>
      <c r="F504" t="s">
        <v>43</v>
      </c>
      <c r="G504" t="s">
        <v>53</v>
      </c>
      <c r="H504" s="1">
        <v>45430</v>
      </c>
      <c r="J504">
        <v>1012000</v>
      </c>
      <c r="K504">
        <v>0</v>
      </c>
      <c r="L504" t="s">
        <v>24</v>
      </c>
      <c r="M504">
        <f ca="1">IF(Table1[[#This Row],[Exit]]="",DATEDIF(Table1[[#This Row],[Hire]],TODAY(),"Y"),DATEDIF(Table1[[#This Row],[Hire]],Table1[[#This Row],[Exit]],"Y"))</f>
        <v>1</v>
      </c>
      <c r="N504">
        <f>FLOOR(Table1[[#This Row],[Age]],10)</f>
        <v>40</v>
      </c>
      <c r="O504" t="str">
        <f>IF(Table1[[#This Row],[Age]]&lt;30,"20-29",IF(Table1[[#This Row],[Age]]&lt;40,"30-39",IF(Table1[[#This Row],[Age]]&lt;50,"40-49",IF(Table1[[#This Row],[Age]]&lt;60,"50-59","60+"))))</f>
        <v>40-49</v>
      </c>
    </row>
    <row r="505" spans="1:15" x14ac:dyDescent="0.25">
      <c r="A505" t="s">
        <v>1011</v>
      </c>
      <c r="B505" t="s">
        <v>1012</v>
      </c>
      <c r="C505" t="s">
        <v>14</v>
      </c>
      <c r="D505">
        <v>31</v>
      </c>
      <c r="E505" t="s">
        <v>52</v>
      </c>
      <c r="F505" t="s">
        <v>16</v>
      </c>
      <c r="G505" t="s">
        <v>17</v>
      </c>
      <c r="H505" s="1">
        <v>44509</v>
      </c>
      <c r="J505">
        <v>1014000</v>
      </c>
      <c r="K505">
        <v>0</v>
      </c>
      <c r="L505" t="s">
        <v>24</v>
      </c>
      <c r="M505">
        <f ca="1">IF(Table1[[#This Row],[Exit]]="",DATEDIF(Table1[[#This Row],[Hire]],TODAY(),"Y"),DATEDIF(Table1[[#This Row],[Hire]],Table1[[#This Row],[Exit]],"Y"))</f>
        <v>4</v>
      </c>
      <c r="N505">
        <f>FLOOR(Table1[[#This Row],[Age]],10)</f>
        <v>30</v>
      </c>
      <c r="O505" t="str">
        <f>IF(Table1[[#This Row],[Age]]&lt;30,"20-29",IF(Table1[[#This Row],[Age]]&lt;40,"30-39",IF(Table1[[#This Row],[Age]]&lt;50,"40-49",IF(Table1[[#This Row],[Age]]&lt;60,"50-59","60+"))))</f>
        <v>30-39</v>
      </c>
    </row>
    <row r="506" spans="1:15" x14ac:dyDescent="0.25">
      <c r="A506" t="s">
        <v>1013</v>
      </c>
      <c r="B506" t="s">
        <v>1014</v>
      </c>
      <c r="C506" t="s">
        <v>21</v>
      </c>
      <c r="D506">
        <v>41</v>
      </c>
      <c r="E506" t="s">
        <v>66</v>
      </c>
      <c r="F506" t="s">
        <v>16</v>
      </c>
      <c r="G506" t="s">
        <v>23</v>
      </c>
      <c r="H506" s="1">
        <v>43963</v>
      </c>
      <c r="J506">
        <v>1016000</v>
      </c>
      <c r="K506">
        <v>0.32</v>
      </c>
      <c r="L506" t="s">
        <v>24</v>
      </c>
      <c r="M506">
        <f ca="1">IF(Table1[[#This Row],[Exit]]="",DATEDIF(Table1[[#This Row],[Hire]],TODAY(),"Y"),DATEDIF(Table1[[#This Row],[Hire]],Table1[[#This Row],[Exit]],"Y"))</f>
        <v>5</v>
      </c>
      <c r="N506">
        <f>FLOOR(Table1[[#This Row],[Age]],10)</f>
        <v>40</v>
      </c>
      <c r="O506" t="str">
        <f>IF(Table1[[#This Row],[Age]]&lt;30,"20-29",IF(Table1[[#This Row],[Age]]&lt;40,"30-39",IF(Table1[[#This Row],[Age]]&lt;50,"40-49",IF(Table1[[#This Row],[Age]]&lt;60,"50-59","60+"))))</f>
        <v>40-49</v>
      </c>
    </row>
    <row r="507" spans="1:15" x14ac:dyDescent="0.25">
      <c r="A507" t="s">
        <v>1015</v>
      </c>
      <c r="B507" t="s">
        <v>1016</v>
      </c>
      <c r="C507" t="s">
        <v>14</v>
      </c>
      <c r="D507">
        <v>47</v>
      </c>
      <c r="E507" t="s">
        <v>31</v>
      </c>
      <c r="F507" t="s">
        <v>16</v>
      </c>
      <c r="G507" t="s">
        <v>53</v>
      </c>
      <c r="H507" s="1">
        <v>44815</v>
      </c>
      <c r="J507">
        <v>1018000</v>
      </c>
      <c r="K507">
        <v>0.11</v>
      </c>
      <c r="L507" t="s">
        <v>24</v>
      </c>
      <c r="M507">
        <f ca="1">IF(Table1[[#This Row],[Exit]]="",DATEDIF(Table1[[#This Row],[Hire]],TODAY(),"Y"),DATEDIF(Table1[[#This Row],[Hire]],Table1[[#This Row],[Exit]],"Y"))</f>
        <v>3</v>
      </c>
      <c r="N507">
        <f>FLOOR(Table1[[#This Row],[Age]],10)</f>
        <v>40</v>
      </c>
      <c r="O507" t="str">
        <f>IF(Table1[[#This Row],[Age]]&lt;30,"20-29",IF(Table1[[#This Row],[Age]]&lt;40,"30-39",IF(Table1[[#This Row],[Age]]&lt;50,"40-49",IF(Table1[[#This Row],[Age]]&lt;60,"50-59","60+"))))</f>
        <v>40-49</v>
      </c>
    </row>
    <row r="508" spans="1:15" x14ac:dyDescent="0.25">
      <c r="A508" t="s">
        <v>1017</v>
      </c>
      <c r="B508" t="s">
        <v>1018</v>
      </c>
      <c r="C508" t="s">
        <v>41</v>
      </c>
      <c r="D508">
        <v>38</v>
      </c>
      <c r="E508" t="s">
        <v>81</v>
      </c>
      <c r="F508" t="s">
        <v>49</v>
      </c>
      <c r="G508" t="s">
        <v>34</v>
      </c>
      <c r="H508" s="1">
        <v>44857</v>
      </c>
      <c r="J508">
        <v>1020000</v>
      </c>
      <c r="K508">
        <v>0.3</v>
      </c>
      <c r="L508" t="s">
        <v>24</v>
      </c>
      <c r="M508">
        <f ca="1">IF(Table1[[#This Row],[Exit]]="",DATEDIF(Table1[[#This Row],[Hire]],TODAY(),"Y"),DATEDIF(Table1[[#This Row],[Hire]],Table1[[#This Row],[Exit]],"Y"))</f>
        <v>3</v>
      </c>
      <c r="N508">
        <f>FLOOR(Table1[[#This Row],[Age]],10)</f>
        <v>30</v>
      </c>
      <c r="O508" t="str">
        <f>IF(Table1[[#This Row],[Age]]&lt;30,"20-29",IF(Table1[[#This Row],[Age]]&lt;40,"30-39",IF(Table1[[#This Row],[Age]]&lt;50,"40-49",IF(Table1[[#This Row],[Age]]&lt;60,"50-59","60+"))))</f>
        <v>30-39</v>
      </c>
    </row>
    <row r="509" spans="1:15" x14ac:dyDescent="0.25">
      <c r="A509" t="s">
        <v>1019</v>
      </c>
      <c r="B509" t="s">
        <v>1020</v>
      </c>
      <c r="C509" t="s">
        <v>14</v>
      </c>
      <c r="D509">
        <v>40</v>
      </c>
      <c r="E509" t="s">
        <v>92</v>
      </c>
      <c r="F509" t="s">
        <v>59</v>
      </c>
      <c r="G509" t="s">
        <v>53</v>
      </c>
      <c r="H509" s="1">
        <v>45527</v>
      </c>
      <c r="J509">
        <v>1022000</v>
      </c>
      <c r="K509">
        <v>0</v>
      </c>
      <c r="L509" t="s">
        <v>24</v>
      </c>
      <c r="M509">
        <f ca="1">IF(Table1[[#This Row],[Exit]]="",DATEDIF(Table1[[#This Row],[Hire]],TODAY(),"Y"),DATEDIF(Table1[[#This Row],[Hire]],Table1[[#This Row],[Exit]],"Y"))</f>
        <v>1</v>
      </c>
      <c r="N509">
        <f>FLOOR(Table1[[#This Row],[Age]],10)</f>
        <v>40</v>
      </c>
      <c r="O509" t="str">
        <f>IF(Table1[[#This Row],[Age]]&lt;30,"20-29",IF(Table1[[#This Row],[Age]]&lt;40,"30-39",IF(Table1[[#This Row],[Age]]&lt;50,"40-49",IF(Table1[[#This Row],[Age]]&lt;60,"50-59","60+"))))</f>
        <v>40-49</v>
      </c>
    </row>
    <row r="510" spans="1:15" x14ac:dyDescent="0.25">
      <c r="A510" t="s">
        <v>1021</v>
      </c>
      <c r="B510" t="s">
        <v>1022</v>
      </c>
      <c r="C510" t="s">
        <v>21</v>
      </c>
      <c r="D510">
        <v>45</v>
      </c>
      <c r="E510" t="s">
        <v>81</v>
      </c>
      <c r="F510" t="s">
        <v>46</v>
      </c>
      <c r="G510" t="s">
        <v>23</v>
      </c>
      <c r="H510" s="1">
        <v>45237</v>
      </c>
      <c r="J510">
        <v>1024000</v>
      </c>
      <c r="K510">
        <v>0</v>
      </c>
      <c r="L510" t="s">
        <v>24</v>
      </c>
      <c r="M510">
        <f ca="1">IF(Table1[[#This Row],[Exit]]="",DATEDIF(Table1[[#This Row],[Hire]],TODAY(),"Y"),DATEDIF(Table1[[#This Row],[Hire]],Table1[[#This Row],[Exit]],"Y"))</f>
        <v>2</v>
      </c>
      <c r="N510">
        <f>FLOOR(Table1[[#This Row],[Age]],10)</f>
        <v>40</v>
      </c>
      <c r="O510" t="str">
        <f>IF(Table1[[#This Row],[Age]]&lt;30,"20-29",IF(Table1[[#This Row],[Age]]&lt;40,"30-39",IF(Table1[[#This Row],[Age]]&lt;50,"40-49",IF(Table1[[#This Row],[Age]]&lt;60,"50-59","60+"))))</f>
        <v>40-49</v>
      </c>
    </row>
    <row r="511" spans="1:15" x14ac:dyDescent="0.25">
      <c r="A511" t="s">
        <v>1023</v>
      </c>
      <c r="B511" t="s">
        <v>1024</v>
      </c>
      <c r="C511" t="s">
        <v>14</v>
      </c>
      <c r="D511">
        <v>31</v>
      </c>
      <c r="E511" t="s">
        <v>22</v>
      </c>
      <c r="F511" t="s">
        <v>16</v>
      </c>
      <c r="G511" t="s">
        <v>34</v>
      </c>
      <c r="H511" s="1">
        <v>45206</v>
      </c>
      <c r="J511">
        <v>1026000</v>
      </c>
      <c r="K511">
        <v>0.08</v>
      </c>
      <c r="L511" t="s">
        <v>24</v>
      </c>
      <c r="M511">
        <f ca="1">IF(Table1[[#This Row],[Exit]]="",DATEDIF(Table1[[#This Row],[Hire]],TODAY(),"Y"),DATEDIF(Table1[[#This Row],[Hire]],Table1[[#This Row],[Exit]],"Y"))</f>
        <v>2</v>
      </c>
      <c r="N511">
        <f>FLOOR(Table1[[#This Row],[Age]],10)</f>
        <v>30</v>
      </c>
      <c r="O511" t="str">
        <f>IF(Table1[[#This Row],[Age]]&lt;30,"20-29",IF(Table1[[#This Row],[Age]]&lt;40,"30-39",IF(Table1[[#This Row],[Age]]&lt;50,"40-49",IF(Table1[[#This Row],[Age]]&lt;60,"50-59","60+"))))</f>
        <v>30-39</v>
      </c>
    </row>
    <row r="512" spans="1:15" x14ac:dyDescent="0.25">
      <c r="A512" t="s">
        <v>1025</v>
      </c>
      <c r="B512" t="s">
        <v>1026</v>
      </c>
      <c r="C512" t="s">
        <v>14</v>
      </c>
      <c r="D512">
        <v>35</v>
      </c>
      <c r="E512" t="s">
        <v>92</v>
      </c>
      <c r="F512" t="s">
        <v>59</v>
      </c>
      <c r="G512" t="s">
        <v>34</v>
      </c>
      <c r="H512" s="1">
        <v>44677</v>
      </c>
      <c r="J512">
        <v>1028000</v>
      </c>
      <c r="K512">
        <v>0</v>
      </c>
      <c r="L512" t="s">
        <v>24</v>
      </c>
      <c r="M512">
        <f ca="1">IF(Table1[[#This Row],[Exit]]="",DATEDIF(Table1[[#This Row],[Hire]],TODAY(),"Y"),DATEDIF(Table1[[#This Row],[Hire]],Table1[[#This Row],[Exit]],"Y"))</f>
        <v>3</v>
      </c>
      <c r="N512">
        <f>FLOOR(Table1[[#This Row],[Age]],10)</f>
        <v>30</v>
      </c>
      <c r="O512" t="str">
        <f>IF(Table1[[#This Row],[Age]]&lt;30,"20-29",IF(Table1[[#This Row],[Age]]&lt;40,"30-39",IF(Table1[[#This Row],[Age]]&lt;50,"40-49",IF(Table1[[#This Row],[Age]]&lt;60,"50-59","60+"))))</f>
        <v>30-39</v>
      </c>
    </row>
    <row r="513" spans="1:15" x14ac:dyDescent="0.25">
      <c r="A513" t="s">
        <v>1027</v>
      </c>
      <c r="B513" t="s">
        <v>1028</v>
      </c>
      <c r="C513" t="s">
        <v>14</v>
      </c>
      <c r="D513">
        <v>31</v>
      </c>
      <c r="E513" t="s">
        <v>31</v>
      </c>
      <c r="F513" t="s">
        <v>16</v>
      </c>
      <c r="G513" t="s">
        <v>17</v>
      </c>
      <c r="H513" s="1">
        <v>43889</v>
      </c>
      <c r="J513">
        <v>1030000</v>
      </c>
      <c r="K513">
        <v>0.24</v>
      </c>
      <c r="L513" t="s">
        <v>24</v>
      </c>
      <c r="M513">
        <f ca="1">IF(Table1[[#This Row],[Exit]]="",DATEDIF(Table1[[#This Row],[Hire]],TODAY(),"Y"),DATEDIF(Table1[[#This Row],[Hire]],Table1[[#This Row],[Exit]],"Y"))</f>
        <v>5</v>
      </c>
      <c r="N513">
        <f>FLOOR(Table1[[#This Row],[Age]],10)</f>
        <v>30</v>
      </c>
      <c r="O513" t="str">
        <f>IF(Table1[[#This Row],[Age]]&lt;30,"20-29",IF(Table1[[#This Row],[Age]]&lt;40,"30-39",IF(Table1[[#This Row],[Age]]&lt;50,"40-49",IF(Table1[[#This Row],[Age]]&lt;60,"50-59","60+"))))</f>
        <v>30-39</v>
      </c>
    </row>
    <row r="514" spans="1:15" x14ac:dyDescent="0.25">
      <c r="A514" t="s">
        <v>1029</v>
      </c>
      <c r="B514" t="s">
        <v>1030</v>
      </c>
      <c r="C514" t="s">
        <v>21</v>
      </c>
      <c r="D514">
        <v>35</v>
      </c>
      <c r="E514" t="s">
        <v>15</v>
      </c>
      <c r="F514" t="s">
        <v>16</v>
      </c>
      <c r="G514" t="s">
        <v>17</v>
      </c>
      <c r="H514" s="1">
        <v>44116</v>
      </c>
      <c r="J514">
        <v>1032000</v>
      </c>
      <c r="K514">
        <v>0.33</v>
      </c>
      <c r="L514" t="s">
        <v>24</v>
      </c>
      <c r="M514">
        <f ca="1">IF(Table1[[#This Row],[Exit]]="",DATEDIF(Table1[[#This Row],[Hire]],TODAY(),"Y"),DATEDIF(Table1[[#This Row],[Hire]],Table1[[#This Row],[Exit]],"Y"))</f>
        <v>5</v>
      </c>
      <c r="N514">
        <f>FLOOR(Table1[[#This Row],[Age]],10)</f>
        <v>30</v>
      </c>
      <c r="O514" t="str">
        <f>IF(Table1[[#This Row],[Age]]&lt;30,"20-29",IF(Table1[[#This Row],[Age]]&lt;40,"30-39",IF(Table1[[#This Row],[Age]]&lt;50,"40-49",IF(Table1[[#This Row],[Age]]&lt;60,"50-59","60+"))))</f>
        <v>30-39</v>
      </c>
    </row>
    <row r="515" spans="1:15" x14ac:dyDescent="0.25">
      <c r="A515" t="s">
        <v>1031</v>
      </c>
      <c r="B515" t="s">
        <v>1032</v>
      </c>
      <c r="C515" t="s">
        <v>14</v>
      </c>
      <c r="D515">
        <v>31</v>
      </c>
      <c r="E515" t="s">
        <v>22</v>
      </c>
      <c r="F515" t="s">
        <v>16</v>
      </c>
      <c r="G515" t="s">
        <v>23</v>
      </c>
      <c r="H515" s="1">
        <v>44588</v>
      </c>
      <c r="J515">
        <v>1034000</v>
      </c>
      <c r="K515">
        <v>0</v>
      </c>
      <c r="L515" t="s">
        <v>24</v>
      </c>
      <c r="M515">
        <f ca="1">IF(Table1[[#This Row],[Exit]]="",DATEDIF(Table1[[#This Row],[Hire]],TODAY(),"Y"),DATEDIF(Table1[[#This Row],[Hire]],Table1[[#This Row],[Exit]],"Y"))</f>
        <v>4</v>
      </c>
      <c r="N515">
        <f>FLOOR(Table1[[#This Row],[Age]],10)</f>
        <v>30</v>
      </c>
      <c r="O515" t="str">
        <f>IF(Table1[[#This Row],[Age]]&lt;30,"20-29",IF(Table1[[#This Row],[Age]]&lt;40,"30-39",IF(Table1[[#This Row],[Age]]&lt;50,"40-49",IF(Table1[[#This Row],[Age]]&lt;60,"50-59","60+"))))</f>
        <v>30-39</v>
      </c>
    </row>
    <row r="516" spans="1:15" x14ac:dyDescent="0.25">
      <c r="A516" t="s">
        <v>1033</v>
      </c>
      <c r="B516" t="s">
        <v>1034</v>
      </c>
      <c r="C516" t="s">
        <v>21</v>
      </c>
      <c r="D516">
        <v>31</v>
      </c>
      <c r="E516" t="s">
        <v>27</v>
      </c>
      <c r="F516" t="s">
        <v>28</v>
      </c>
      <c r="G516" t="s">
        <v>17</v>
      </c>
      <c r="H516" s="1">
        <v>45337</v>
      </c>
      <c r="J516">
        <v>1036000</v>
      </c>
      <c r="K516">
        <v>7.0000000000000007E-2</v>
      </c>
      <c r="L516" t="s">
        <v>24</v>
      </c>
      <c r="M516">
        <f ca="1">IF(Table1[[#This Row],[Exit]]="",DATEDIF(Table1[[#This Row],[Hire]],TODAY(),"Y"),DATEDIF(Table1[[#This Row],[Hire]],Table1[[#This Row],[Exit]],"Y"))</f>
        <v>1</v>
      </c>
      <c r="N516">
        <f>FLOOR(Table1[[#This Row],[Age]],10)</f>
        <v>30</v>
      </c>
      <c r="O516" t="str">
        <f>IF(Table1[[#This Row],[Age]]&lt;30,"20-29",IF(Table1[[#This Row],[Age]]&lt;40,"30-39",IF(Table1[[#This Row],[Age]]&lt;50,"40-49",IF(Table1[[#This Row],[Age]]&lt;60,"50-59","60+"))))</f>
        <v>30-39</v>
      </c>
    </row>
    <row r="517" spans="1:15" x14ac:dyDescent="0.25">
      <c r="A517" t="s">
        <v>1035</v>
      </c>
      <c r="B517" t="s">
        <v>1036</v>
      </c>
      <c r="C517" t="s">
        <v>14</v>
      </c>
      <c r="D517">
        <v>31</v>
      </c>
      <c r="E517" t="s">
        <v>31</v>
      </c>
      <c r="F517" t="s">
        <v>16</v>
      </c>
      <c r="G517" t="s">
        <v>23</v>
      </c>
      <c r="H517" s="1">
        <v>45332</v>
      </c>
      <c r="J517">
        <v>1038000</v>
      </c>
      <c r="K517">
        <v>0.12</v>
      </c>
      <c r="L517" t="s">
        <v>24</v>
      </c>
      <c r="M517">
        <f ca="1">IF(Table1[[#This Row],[Exit]]="",DATEDIF(Table1[[#This Row],[Hire]],TODAY(),"Y"),DATEDIF(Table1[[#This Row],[Hire]],Table1[[#This Row],[Exit]],"Y"))</f>
        <v>1</v>
      </c>
      <c r="N517">
        <f>FLOOR(Table1[[#This Row],[Age]],10)</f>
        <v>30</v>
      </c>
      <c r="O517" t="str">
        <f>IF(Table1[[#This Row],[Age]]&lt;30,"20-29",IF(Table1[[#This Row],[Age]]&lt;40,"30-39",IF(Table1[[#This Row],[Age]]&lt;50,"40-49",IF(Table1[[#This Row],[Age]]&lt;60,"50-59","60+"))))</f>
        <v>30-39</v>
      </c>
    </row>
    <row r="518" spans="1:15" x14ac:dyDescent="0.25">
      <c r="A518" t="s">
        <v>1037</v>
      </c>
      <c r="B518" t="s">
        <v>1038</v>
      </c>
      <c r="C518" t="s">
        <v>14</v>
      </c>
      <c r="D518">
        <v>31</v>
      </c>
      <c r="E518" t="s">
        <v>27</v>
      </c>
      <c r="F518" t="s">
        <v>28</v>
      </c>
      <c r="G518" t="s">
        <v>34</v>
      </c>
      <c r="H518" s="1">
        <v>44183</v>
      </c>
      <c r="J518">
        <v>1040000</v>
      </c>
      <c r="K518">
        <v>7.0000000000000007E-2</v>
      </c>
      <c r="L518" t="s">
        <v>24</v>
      </c>
      <c r="M518">
        <f ca="1">IF(Table1[[#This Row],[Exit]]="",DATEDIF(Table1[[#This Row],[Hire]],TODAY(),"Y"),DATEDIF(Table1[[#This Row],[Hire]],Table1[[#This Row],[Exit]],"Y"))</f>
        <v>5</v>
      </c>
      <c r="N518">
        <f>FLOOR(Table1[[#This Row],[Age]],10)</f>
        <v>30</v>
      </c>
      <c r="O518" t="str">
        <f>IF(Table1[[#This Row],[Age]]&lt;30,"20-29",IF(Table1[[#This Row],[Age]]&lt;40,"30-39",IF(Table1[[#This Row],[Age]]&lt;50,"40-49",IF(Table1[[#This Row],[Age]]&lt;60,"50-59","60+"))))</f>
        <v>30-39</v>
      </c>
    </row>
    <row r="519" spans="1:15" x14ac:dyDescent="0.25">
      <c r="A519" t="s">
        <v>1039</v>
      </c>
      <c r="B519" t="s">
        <v>1040</v>
      </c>
      <c r="C519" t="s">
        <v>14</v>
      </c>
      <c r="D519">
        <v>36</v>
      </c>
      <c r="E519" t="s">
        <v>15</v>
      </c>
      <c r="F519" t="s">
        <v>16</v>
      </c>
      <c r="G519" t="s">
        <v>23</v>
      </c>
      <c r="H519" s="1">
        <v>43837</v>
      </c>
      <c r="J519">
        <v>1042000</v>
      </c>
      <c r="K519">
        <v>0.2</v>
      </c>
      <c r="L519" t="s">
        <v>24</v>
      </c>
      <c r="M519">
        <f ca="1">IF(Table1[[#This Row],[Exit]]="",DATEDIF(Table1[[#This Row],[Hire]],TODAY(),"Y"),DATEDIF(Table1[[#This Row],[Hire]],Table1[[#This Row],[Exit]],"Y"))</f>
        <v>6</v>
      </c>
      <c r="N519">
        <f>FLOOR(Table1[[#This Row],[Age]],10)</f>
        <v>30</v>
      </c>
      <c r="O519" t="str">
        <f>IF(Table1[[#This Row],[Age]]&lt;30,"20-29",IF(Table1[[#This Row],[Age]]&lt;40,"30-39",IF(Table1[[#This Row],[Age]]&lt;50,"40-49",IF(Table1[[#This Row],[Age]]&lt;60,"50-59","60+"))))</f>
        <v>30-39</v>
      </c>
    </row>
    <row r="520" spans="1:15" x14ac:dyDescent="0.25">
      <c r="A520" t="s">
        <v>1041</v>
      </c>
      <c r="B520" t="s">
        <v>1042</v>
      </c>
      <c r="C520" t="s">
        <v>14</v>
      </c>
      <c r="D520">
        <v>45</v>
      </c>
      <c r="E520" t="s">
        <v>15</v>
      </c>
      <c r="F520" t="s">
        <v>16</v>
      </c>
      <c r="G520" t="s">
        <v>34</v>
      </c>
      <c r="H520" s="1">
        <v>45206</v>
      </c>
      <c r="J520">
        <v>1044000</v>
      </c>
      <c r="K520">
        <v>0</v>
      </c>
      <c r="L520" t="s">
        <v>24</v>
      </c>
      <c r="M520">
        <f ca="1">IF(Table1[[#This Row],[Exit]]="",DATEDIF(Table1[[#This Row],[Hire]],TODAY(),"Y"),DATEDIF(Table1[[#This Row],[Hire]],Table1[[#This Row],[Exit]],"Y"))</f>
        <v>2</v>
      </c>
      <c r="N520">
        <f>FLOOR(Table1[[#This Row],[Age]],10)</f>
        <v>40</v>
      </c>
      <c r="O520" t="str">
        <f>IF(Table1[[#This Row],[Age]]&lt;30,"20-29",IF(Table1[[#This Row],[Age]]&lt;40,"30-39",IF(Table1[[#This Row],[Age]]&lt;50,"40-49",IF(Table1[[#This Row],[Age]]&lt;60,"50-59","60+"))))</f>
        <v>40-49</v>
      </c>
    </row>
    <row r="521" spans="1:15" x14ac:dyDescent="0.25">
      <c r="A521" t="s">
        <v>183</v>
      </c>
      <c r="B521" t="s">
        <v>1043</v>
      </c>
      <c r="C521" t="s">
        <v>14</v>
      </c>
      <c r="D521">
        <v>37</v>
      </c>
      <c r="E521" t="s">
        <v>42</v>
      </c>
      <c r="F521" t="s">
        <v>43</v>
      </c>
      <c r="G521" t="s">
        <v>34</v>
      </c>
      <c r="H521" s="1">
        <v>44487</v>
      </c>
      <c r="J521">
        <v>1046000</v>
      </c>
      <c r="K521">
        <v>0</v>
      </c>
      <c r="L521" t="s">
        <v>24</v>
      </c>
      <c r="M521">
        <f ca="1">IF(Table1[[#This Row],[Exit]]="",DATEDIF(Table1[[#This Row],[Hire]],TODAY(),"Y"),DATEDIF(Table1[[#This Row],[Hire]],Table1[[#This Row],[Exit]],"Y"))</f>
        <v>4</v>
      </c>
      <c r="N521">
        <f>FLOOR(Table1[[#This Row],[Age]],10)</f>
        <v>30</v>
      </c>
      <c r="O521" t="str">
        <f>IF(Table1[[#This Row],[Age]]&lt;30,"20-29",IF(Table1[[#This Row],[Age]]&lt;40,"30-39",IF(Table1[[#This Row],[Age]]&lt;50,"40-49",IF(Table1[[#This Row],[Age]]&lt;60,"50-59","60+"))))</f>
        <v>30-39</v>
      </c>
    </row>
    <row r="522" spans="1:15" x14ac:dyDescent="0.25">
      <c r="A522" t="s">
        <v>1044</v>
      </c>
      <c r="B522" t="s">
        <v>1045</v>
      </c>
      <c r="C522" t="s">
        <v>14</v>
      </c>
      <c r="D522">
        <v>38</v>
      </c>
      <c r="E522" t="s">
        <v>42</v>
      </c>
      <c r="F522" t="s">
        <v>46</v>
      </c>
      <c r="G522" t="s">
        <v>23</v>
      </c>
      <c r="H522" s="1">
        <v>44791</v>
      </c>
      <c r="J522">
        <v>1048000</v>
      </c>
      <c r="K522">
        <v>0</v>
      </c>
      <c r="L522" t="s">
        <v>24</v>
      </c>
      <c r="M522">
        <f ca="1">IF(Table1[[#This Row],[Exit]]="",DATEDIF(Table1[[#This Row],[Hire]],TODAY(),"Y"),DATEDIF(Table1[[#This Row],[Hire]],Table1[[#This Row],[Exit]],"Y"))</f>
        <v>3</v>
      </c>
      <c r="N522">
        <f>FLOOR(Table1[[#This Row],[Age]],10)</f>
        <v>30</v>
      </c>
      <c r="O522" t="str">
        <f>IF(Table1[[#This Row],[Age]]&lt;30,"20-29",IF(Table1[[#This Row],[Age]]&lt;40,"30-39",IF(Table1[[#This Row],[Age]]&lt;50,"40-49",IF(Table1[[#This Row],[Age]]&lt;60,"50-59","60+"))))</f>
        <v>30-39</v>
      </c>
    </row>
    <row r="523" spans="1:15" x14ac:dyDescent="0.25">
      <c r="A523" t="s">
        <v>1046</v>
      </c>
      <c r="B523" t="s">
        <v>1047</v>
      </c>
      <c r="C523" t="s">
        <v>21</v>
      </c>
      <c r="D523">
        <v>45</v>
      </c>
      <c r="E523" t="s">
        <v>42</v>
      </c>
      <c r="F523" t="s">
        <v>49</v>
      </c>
      <c r="G523" t="s">
        <v>17</v>
      </c>
      <c r="H523" s="1">
        <v>45440</v>
      </c>
      <c r="J523">
        <v>1050000</v>
      </c>
      <c r="K523">
        <v>0</v>
      </c>
      <c r="L523" t="s">
        <v>24</v>
      </c>
      <c r="M523">
        <f ca="1">IF(Table1[[#This Row],[Exit]]="",DATEDIF(Table1[[#This Row],[Hire]],TODAY(),"Y"),DATEDIF(Table1[[#This Row],[Hire]],Table1[[#This Row],[Exit]],"Y"))</f>
        <v>1</v>
      </c>
      <c r="N523">
        <f>FLOOR(Table1[[#This Row],[Age]],10)</f>
        <v>40</v>
      </c>
      <c r="O523" t="str">
        <f>IF(Table1[[#This Row],[Age]]&lt;30,"20-29",IF(Table1[[#This Row],[Age]]&lt;40,"30-39",IF(Table1[[#This Row],[Age]]&lt;50,"40-49",IF(Table1[[#This Row],[Age]]&lt;60,"50-59","60+"))))</f>
        <v>40-49</v>
      </c>
    </row>
    <row r="524" spans="1:15" x14ac:dyDescent="0.25">
      <c r="A524" t="s">
        <v>1048</v>
      </c>
      <c r="B524" t="s">
        <v>1049</v>
      </c>
      <c r="C524" t="s">
        <v>14</v>
      </c>
      <c r="D524">
        <v>51</v>
      </c>
      <c r="E524" t="s">
        <v>52</v>
      </c>
      <c r="F524" t="s">
        <v>16</v>
      </c>
      <c r="G524" t="s">
        <v>53</v>
      </c>
      <c r="H524" s="1">
        <v>44811</v>
      </c>
      <c r="J524">
        <v>1052000</v>
      </c>
      <c r="K524">
        <v>0.35</v>
      </c>
      <c r="L524" t="s">
        <v>24</v>
      </c>
      <c r="M524">
        <f ca="1">IF(Table1[[#This Row],[Exit]]="",DATEDIF(Table1[[#This Row],[Hire]],TODAY(),"Y"),DATEDIF(Table1[[#This Row],[Hire]],Table1[[#This Row],[Exit]],"Y"))</f>
        <v>3</v>
      </c>
      <c r="N524">
        <f>FLOOR(Table1[[#This Row],[Age]],10)</f>
        <v>50</v>
      </c>
      <c r="O524" t="str">
        <f>IF(Table1[[#This Row],[Age]]&lt;30,"20-29",IF(Table1[[#This Row],[Age]]&lt;40,"30-39",IF(Table1[[#This Row],[Age]]&lt;50,"40-49",IF(Table1[[#This Row],[Age]]&lt;60,"50-59","60+"))))</f>
        <v>50-59</v>
      </c>
    </row>
    <row r="525" spans="1:15" x14ac:dyDescent="0.25">
      <c r="A525" t="s">
        <v>62</v>
      </c>
      <c r="B525" t="s">
        <v>1050</v>
      </c>
      <c r="C525" t="s">
        <v>21</v>
      </c>
      <c r="D525">
        <v>56</v>
      </c>
      <c r="E525" t="s">
        <v>42</v>
      </c>
      <c r="F525" t="s">
        <v>46</v>
      </c>
      <c r="G525" t="s">
        <v>53</v>
      </c>
      <c r="H525" s="1">
        <v>45294</v>
      </c>
      <c r="J525">
        <v>1054000</v>
      </c>
      <c r="K525">
        <v>0</v>
      </c>
      <c r="L525" t="s">
        <v>24</v>
      </c>
      <c r="M525">
        <f ca="1">IF(Table1[[#This Row],[Exit]]="",DATEDIF(Table1[[#This Row],[Hire]],TODAY(),"Y"),DATEDIF(Table1[[#This Row],[Hire]],Table1[[#This Row],[Exit]],"Y"))</f>
        <v>2</v>
      </c>
      <c r="N525">
        <f>FLOOR(Table1[[#This Row],[Age]],10)</f>
        <v>50</v>
      </c>
      <c r="O525" t="str">
        <f>IF(Table1[[#This Row],[Age]]&lt;30,"20-29",IF(Table1[[#This Row],[Age]]&lt;40,"30-39",IF(Table1[[#This Row],[Age]]&lt;50,"40-49",IF(Table1[[#This Row],[Age]]&lt;60,"50-59","60+"))))</f>
        <v>50-59</v>
      </c>
    </row>
    <row r="526" spans="1:15" x14ac:dyDescent="0.25">
      <c r="A526" t="s">
        <v>1051</v>
      </c>
      <c r="B526" t="s">
        <v>1052</v>
      </c>
      <c r="C526" t="s">
        <v>14</v>
      </c>
      <c r="D526">
        <v>53</v>
      </c>
      <c r="E526" t="s">
        <v>58</v>
      </c>
      <c r="F526" t="s">
        <v>59</v>
      </c>
      <c r="G526" t="s">
        <v>34</v>
      </c>
      <c r="H526" s="1">
        <v>45074</v>
      </c>
      <c r="J526">
        <v>1056000</v>
      </c>
      <c r="K526">
        <v>0</v>
      </c>
      <c r="L526" t="s">
        <v>24</v>
      </c>
      <c r="M526">
        <f ca="1">IF(Table1[[#This Row],[Exit]]="",DATEDIF(Table1[[#This Row],[Hire]],TODAY(),"Y"),DATEDIF(Table1[[#This Row],[Hire]],Table1[[#This Row],[Exit]],"Y"))</f>
        <v>2</v>
      </c>
      <c r="N526">
        <f>FLOOR(Table1[[#This Row],[Age]],10)</f>
        <v>50</v>
      </c>
      <c r="O526" t="str">
        <f>IF(Table1[[#This Row],[Age]]&lt;30,"20-29",IF(Table1[[#This Row],[Age]]&lt;40,"30-39",IF(Table1[[#This Row],[Age]]&lt;50,"40-49",IF(Table1[[#This Row],[Age]]&lt;60,"50-59","60+"))))</f>
        <v>50-59</v>
      </c>
    </row>
    <row r="527" spans="1:15" x14ac:dyDescent="0.25">
      <c r="A527" t="s">
        <v>1053</v>
      </c>
      <c r="B527" t="s">
        <v>1054</v>
      </c>
      <c r="C527" t="s">
        <v>21</v>
      </c>
      <c r="D527">
        <v>47</v>
      </c>
      <c r="E527" t="s">
        <v>52</v>
      </c>
      <c r="F527" t="s">
        <v>16</v>
      </c>
      <c r="G527" t="s">
        <v>23</v>
      </c>
      <c r="H527" s="1">
        <v>45245</v>
      </c>
      <c r="J527">
        <v>1058000</v>
      </c>
      <c r="K527">
        <v>0</v>
      </c>
      <c r="L527" t="s">
        <v>24</v>
      </c>
      <c r="M527">
        <f ca="1">IF(Table1[[#This Row],[Exit]]="",DATEDIF(Table1[[#This Row],[Hire]],TODAY(),"Y"),DATEDIF(Table1[[#This Row],[Hire]],Table1[[#This Row],[Exit]],"Y"))</f>
        <v>2</v>
      </c>
      <c r="N527">
        <f>FLOOR(Table1[[#This Row],[Age]],10)</f>
        <v>40</v>
      </c>
      <c r="O527" t="str">
        <f>IF(Table1[[#This Row],[Age]]&lt;30,"20-29",IF(Table1[[#This Row],[Age]]&lt;40,"30-39",IF(Table1[[#This Row],[Age]]&lt;50,"40-49",IF(Table1[[#This Row],[Age]]&lt;60,"50-59","60+"))))</f>
        <v>40-49</v>
      </c>
    </row>
    <row r="528" spans="1:15" x14ac:dyDescent="0.25">
      <c r="A528" t="s">
        <v>1055</v>
      </c>
      <c r="B528" t="s">
        <v>1056</v>
      </c>
      <c r="C528" t="s">
        <v>21</v>
      </c>
      <c r="D528">
        <v>36</v>
      </c>
      <c r="E528" t="s">
        <v>52</v>
      </c>
      <c r="F528" t="s">
        <v>16</v>
      </c>
      <c r="G528" t="s">
        <v>34</v>
      </c>
      <c r="H528" s="1">
        <v>43851</v>
      </c>
      <c r="J528">
        <v>1060000</v>
      </c>
      <c r="K528">
        <v>0.2</v>
      </c>
      <c r="L528" t="s">
        <v>24</v>
      </c>
      <c r="M528">
        <f ca="1">IF(Table1[[#This Row],[Exit]]="",DATEDIF(Table1[[#This Row],[Hire]],TODAY(),"Y"),DATEDIF(Table1[[#This Row],[Hire]],Table1[[#This Row],[Exit]],"Y"))</f>
        <v>6</v>
      </c>
      <c r="N528">
        <f>FLOOR(Table1[[#This Row],[Age]],10)</f>
        <v>30</v>
      </c>
      <c r="O528" t="str">
        <f>IF(Table1[[#This Row],[Age]]&lt;30,"20-29",IF(Table1[[#This Row],[Age]]&lt;40,"30-39",IF(Table1[[#This Row],[Age]]&lt;50,"40-49",IF(Table1[[#This Row],[Age]]&lt;60,"50-59","60+"))))</f>
        <v>30-39</v>
      </c>
    </row>
    <row r="529" spans="1:15" x14ac:dyDescent="0.25">
      <c r="A529" t="s">
        <v>1057</v>
      </c>
      <c r="B529" t="s">
        <v>1058</v>
      </c>
      <c r="C529" t="s">
        <v>41</v>
      </c>
      <c r="D529">
        <v>41</v>
      </c>
      <c r="E529" t="s">
        <v>66</v>
      </c>
      <c r="F529" t="s">
        <v>16</v>
      </c>
      <c r="G529" t="s">
        <v>17</v>
      </c>
      <c r="H529" s="1">
        <v>45206</v>
      </c>
      <c r="J529">
        <v>1062000</v>
      </c>
      <c r="K529">
        <v>0</v>
      </c>
      <c r="L529" t="s">
        <v>24</v>
      </c>
      <c r="M529">
        <f ca="1">IF(Table1[[#This Row],[Exit]]="",DATEDIF(Table1[[#This Row],[Hire]],TODAY(),"Y"),DATEDIF(Table1[[#This Row],[Hire]],Table1[[#This Row],[Exit]],"Y"))</f>
        <v>2</v>
      </c>
      <c r="N529">
        <f>FLOOR(Table1[[#This Row],[Age]],10)</f>
        <v>40</v>
      </c>
      <c r="O529" t="str">
        <f>IF(Table1[[#This Row],[Age]]&lt;30,"20-29",IF(Table1[[#This Row],[Age]]&lt;40,"30-39",IF(Table1[[#This Row],[Age]]&lt;50,"40-49",IF(Table1[[#This Row],[Age]]&lt;60,"50-59","60+"))))</f>
        <v>40-49</v>
      </c>
    </row>
    <row r="530" spans="1:15" x14ac:dyDescent="0.25">
      <c r="A530" t="s">
        <v>1059</v>
      </c>
      <c r="B530" t="s">
        <v>1060</v>
      </c>
      <c r="C530" t="s">
        <v>14</v>
      </c>
      <c r="D530">
        <v>31</v>
      </c>
      <c r="E530" t="s">
        <v>58</v>
      </c>
      <c r="F530" t="s">
        <v>59</v>
      </c>
      <c r="G530" t="s">
        <v>23</v>
      </c>
      <c r="H530" s="1">
        <v>45401</v>
      </c>
      <c r="J530">
        <v>1064000</v>
      </c>
      <c r="K530">
        <v>0.12</v>
      </c>
      <c r="L530" t="s">
        <v>24</v>
      </c>
      <c r="M530">
        <f ca="1">IF(Table1[[#This Row],[Exit]]="",DATEDIF(Table1[[#This Row],[Hire]],TODAY(),"Y"),DATEDIF(Table1[[#This Row],[Hire]],Table1[[#This Row],[Exit]],"Y"))</f>
        <v>1</v>
      </c>
      <c r="N530">
        <f>FLOOR(Table1[[#This Row],[Age]],10)</f>
        <v>30</v>
      </c>
      <c r="O530" t="str">
        <f>IF(Table1[[#This Row],[Age]]&lt;30,"20-29",IF(Table1[[#This Row],[Age]]&lt;40,"30-39",IF(Table1[[#This Row],[Age]]&lt;50,"40-49",IF(Table1[[#This Row],[Age]]&lt;60,"50-59","60+"))))</f>
        <v>30-39</v>
      </c>
    </row>
    <row r="531" spans="1:15" x14ac:dyDescent="0.25">
      <c r="A531" t="s">
        <v>1061</v>
      </c>
      <c r="B531" t="s">
        <v>1062</v>
      </c>
      <c r="C531" t="s">
        <v>14</v>
      </c>
      <c r="D531">
        <v>31</v>
      </c>
      <c r="E531" t="s">
        <v>66</v>
      </c>
      <c r="F531" t="s">
        <v>16</v>
      </c>
      <c r="G531" t="s">
        <v>34</v>
      </c>
      <c r="H531" s="1">
        <v>44083</v>
      </c>
      <c r="J531">
        <v>1066000</v>
      </c>
      <c r="K531">
        <v>0</v>
      </c>
      <c r="L531" t="s">
        <v>24</v>
      </c>
      <c r="M531">
        <f ca="1">IF(Table1[[#This Row],[Exit]]="",DATEDIF(Table1[[#This Row],[Hire]],TODAY(),"Y"),DATEDIF(Table1[[#This Row],[Hire]],Table1[[#This Row],[Exit]],"Y"))</f>
        <v>5</v>
      </c>
      <c r="N531">
        <f>FLOOR(Table1[[#This Row],[Age]],10)</f>
        <v>30</v>
      </c>
      <c r="O531" t="str">
        <f>IF(Table1[[#This Row],[Age]]&lt;30,"20-29",IF(Table1[[#This Row],[Age]]&lt;40,"30-39",IF(Table1[[#This Row],[Age]]&lt;50,"40-49",IF(Table1[[#This Row],[Age]]&lt;60,"50-59","60+"))))</f>
        <v>30-39</v>
      </c>
    </row>
    <row r="532" spans="1:15" x14ac:dyDescent="0.25">
      <c r="A532" t="s">
        <v>167</v>
      </c>
      <c r="B532" t="s">
        <v>1063</v>
      </c>
      <c r="C532" t="s">
        <v>14</v>
      </c>
      <c r="D532">
        <v>38</v>
      </c>
      <c r="E532" t="s">
        <v>66</v>
      </c>
      <c r="F532" t="s">
        <v>16</v>
      </c>
      <c r="G532" t="s">
        <v>53</v>
      </c>
      <c r="H532" s="1">
        <v>45233</v>
      </c>
      <c r="J532">
        <v>1068000</v>
      </c>
      <c r="K532">
        <v>0</v>
      </c>
      <c r="L532" t="s">
        <v>24</v>
      </c>
      <c r="M532">
        <f ca="1">IF(Table1[[#This Row],[Exit]]="",DATEDIF(Table1[[#This Row],[Hire]],TODAY(),"Y"),DATEDIF(Table1[[#This Row],[Hire]],Table1[[#This Row],[Exit]],"Y"))</f>
        <v>2</v>
      </c>
      <c r="N532">
        <f>FLOOR(Table1[[#This Row],[Age]],10)</f>
        <v>30</v>
      </c>
      <c r="O532" t="str">
        <f>IF(Table1[[#This Row],[Age]]&lt;30,"20-29",IF(Table1[[#This Row],[Age]]&lt;40,"30-39",IF(Table1[[#This Row],[Age]]&lt;50,"40-49",IF(Table1[[#This Row],[Age]]&lt;60,"50-59","60+"))))</f>
        <v>30-39</v>
      </c>
    </row>
    <row r="533" spans="1:15" x14ac:dyDescent="0.25">
      <c r="A533" t="s">
        <v>1064</v>
      </c>
      <c r="B533" t="s">
        <v>1065</v>
      </c>
      <c r="C533" t="s">
        <v>14</v>
      </c>
      <c r="D533">
        <v>31</v>
      </c>
      <c r="E533" t="s">
        <v>58</v>
      </c>
      <c r="F533" t="s">
        <v>59</v>
      </c>
      <c r="G533" t="s">
        <v>53</v>
      </c>
      <c r="H533" s="1">
        <v>45412</v>
      </c>
      <c r="J533">
        <v>1070000</v>
      </c>
      <c r="K533">
        <v>0</v>
      </c>
      <c r="L533" t="s">
        <v>24</v>
      </c>
      <c r="M533">
        <f ca="1">IF(Table1[[#This Row],[Exit]]="",DATEDIF(Table1[[#This Row],[Hire]],TODAY(),"Y"),DATEDIF(Table1[[#This Row],[Hire]],Table1[[#This Row],[Exit]],"Y"))</f>
        <v>1</v>
      </c>
      <c r="N533">
        <f>FLOOR(Table1[[#This Row],[Age]],10)</f>
        <v>30</v>
      </c>
      <c r="O533" t="str">
        <f>IF(Table1[[#This Row],[Age]]&lt;30,"20-29",IF(Table1[[#This Row],[Age]]&lt;40,"30-39",IF(Table1[[#This Row],[Age]]&lt;50,"40-49",IF(Table1[[#This Row],[Age]]&lt;60,"50-59","60+"))))</f>
        <v>30-39</v>
      </c>
    </row>
    <row r="534" spans="1:15" x14ac:dyDescent="0.25">
      <c r="A534" t="s">
        <v>444</v>
      </c>
      <c r="B534" t="s">
        <v>1066</v>
      </c>
      <c r="C534" t="s">
        <v>21</v>
      </c>
      <c r="D534">
        <v>39</v>
      </c>
      <c r="E534" t="s">
        <v>15</v>
      </c>
      <c r="F534" t="s">
        <v>16</v>
      </c>
      <c r="G534" t="s">
        <v>53</v>
      </c>
      <c r="H534" s="1">
        <v>43887</v>
      </c>
      <c r="J534">
        <v>1072000</v>
      </c>
      <c r="K534">
        <v>0</v>
      </c>
      <c r="L534" t="s">
        <v>24</v>
      </c>
      <c r="M534">
        <f ca="1">IF(Table1[[#This Row],[Exit]]="",DATEDIF(Table1[[#This Row],[Hire]],TODAY(),"Y"),DATEDIF(Table1[[#This Row],[Hire]],Table1[[#This Row],[Exit]],"Y"))</f>
        <v>5</v>
      </c>
      <c r="N534">
        <f>FLOOR(Table1[[#This Row],[Age]],10)</f>
        <v>30</v>
      </c>
      <c r="O534" t="str">
        <f>IF(Table1[[#This Row],[Age]]&lt;30,"20-29",IF(Table1[[#This Row],[Age]]&lt;40,"30-39",IF(Table1[[#This Row],[Age]]&lt;50,"40-49",IF(Table1[[#This Row],[Age]]&lt;60,"50-59","60+"))))</f>
        <v>30-39</v>
      </c>
    </row>
    <row r="535" spans="1:15" x14ac:dyDescent="0.25">
      <c r="A535" t="s">
        <v>1067</v>
      </c>
      <c r="B535" t="s">
        <v>1068</v>
      </c>
      <c r="C535" t="s">
        <v>21</v>
      </c>
      <c r="D535">
        <v>31</v>
      </c>
      <c r="E535" t="s">
        <v>22</v>
      </c>
      <c r="F535" t="s">
        <v>16</v>
      </c>
      <c r="G535" t="s">
        <v>53</v>
      </c>
      <c r="H535" s="1">
        <v>44815</v>
      </c>
      <c r="J535">
        <v>1074000</v>
      </c>
      <c r="K535">
        <v>0.08</v>
      </c>
      <c r="L535" t="s">
        <v>24</v>
      </c>
      <c r="M535">
        <f ca="1">IF(Table1[[#This Row],[Exit]]="",DATEDIF(Table1[[#This Row],[Hire]],TODAY(),"Y"),DATEDIF(Table1[[#This Row],[Hire]],Table1[[#This Row],[Exit]],"Y"))</f>
        <v>3</v>
      </c>
      <c r="N535">
        <f>FLOOR(Table1[[#This Row],[Age]],10)</f>
        <v>30</v>
      </c>
      <c r="O535" t="str">
        <f>IF(Table1[[#This Row],[Age]]&lt;30,"20-29",IF(Table1[[#This Row],[Age]]&lt;40,"30-39",IF(Table1[[#This Row],[Age]]&lt;50,"40-49",IF(Table1[[#This Row],[Age]]&lt;60,"50-59","60+"))))</f>
        <v>30-39</v>
      </c>
    </row>
    <row r="536" spans="1:15" x14ac:dyDescent="0.25">
      <c r="A536" t="s">
        <v>1069</v>
      </c>
      <c r="B536" t="s">
        <v>1070</v>
      </c>
      <c r="C536" t="s">
        <v>21</v>
      </c>
      <c r="D536">
        <v>45</v>
      </c>
      <c r="E536" t="s">
        <v>81</v>
      </c>
      <c r="F536" t="s">
        <v>43</v>
      </c>
      <c r="G536" t="s">
        <v>53</v>
      </c>
      <c r="H536" s="1">
        <v>45430</v>
      </c>
      <c r="J536">
        <v>1076000</v>
      </c>
      <c r="K536">
        <v>0.26</v>
      </c>
      <c r="L536" t="s">
        <v>24</v>
      </c>
      <c r="M536">
        <f ca="1">IF(Table1[[#This Row],[Exit]]="",DATEDIF(Table1[[#This Row],[Hire]],TODAY(),"Y"),DATEDIF(Table1[[#This Row],[Hire]],Table1[[#This Row],[Exit]],"Y"))</f>
        <v>1</v>
      </c>
      <c r="N536">
        <f>FLOOR(Table1[[#This Row],[Age]],10)</f>
        <v>40</v>
      </c>
      <c r="O536" t="str">
        <f>IF(Table1[[#This Row],[Age]]&lt;30,"20-29",IF(Table1[[#This Row],[Age]]&lt;40,"30-39",IF(Table1[[#This Row],[Age]]&lt;50,"40-49",IF(Table1[[#This Row],[Age]]&lt;60,"50-59","60+"))))</f>
        <v>40-49</v>
      </c>
    </row>
    <row r="537" spans="1:15" x14ac:dyDescent="0.25">
      <c r="A537" t="s">
        <v>1071</v>
      </c>
      <c r="B537" t="s">
        <v>1072</v>
      </c>
      <c r="C537" t="s">
        <v>21</v>
      </c>
      <c r="D537">
        <v>50</v>
      </c>
      <c r="E537" t="s">
        <v>52</v>
      </c>
      <c r="F537" t="s">
        <v>16</v>
      </c>
      <c r="G537" t="s">
        <v>17</v>
      </c>
      <c r="H537" s="1">
        <v>44509</v>
      </c>
      <c r="J537">
        <v>1078000</v>
      </c>
      <c r="K537">
        <v>0.17</v>
      </c>
      <c r="L537" t="s">
        <v>24</v>
      </c>
      <c r="M537">
        <f ca="1">IF(Table1[[#This Row],[Exit]]="",DATEDIF(Table1[[#This Row],[Hire]],TODAY(),"Y"),DATEDIF(Table1[[#This Row],[Hire]],Table1[[#This Row],[Exit]],"Y"))</f>
        <v>4</v>
      </c>
      <c r="N537">
        <f>FLOOR(Table1[[#This Row],[Age]],10)</f>
        <v>50</v>
      </c>
      <c r="O537" t="str">
        <f>IF(Table1[[#This Row],[Age]]&lt;30,"20-29",IF(Table1[[#This Row],[Age]]&lt;40,"30-39",IF(Table1[[#This Row],[Age]]&lt;50,"40-49",IF(Table1[[#This Row],[Age]]&lt;60,"50-59","60+"))))</f>
        <v>50-59</v>
      </c>
    </row>
    <row r="538" spans="1:15" x14ac:dyDescent="0.25">
      <c r="A538" t="s">
        <v>1073</v>
      </c>
      <c r="B538" t="s">
        <v>1074</v>
      </c>
      <c r="C538" t="s">
        <v>21</v>
      </c>
      <c r="D538">
        <v>36</v>
      </c>
      <c r="E538" t="s">
        <v>66</v>
      </c>
      <c r="F538" t="s">
        <v>16</v>
      </c>
      <c r="G538" t="s">
        <v>23</v>
      </c>
      <c r="H538" s="1">
        <v>43963</v>
      </c>
      <c r="J538">
        <v>1080000</v>
      </c>
      <c r="K538">
        <v>0.14000000000000001</v>
      </c>
      <c r="L538" t="s">
        <v>24</v>
      </c>
      <c r="M538">
        <f ca="1">IF(Table1[[#This Row],[Exit]]="",DATEDIF(Table1[[#This Row],[Hire]],TODAY(),"Y"),DATEDIF(Table1[[#This Row],[Hire]],Table1[[#This Row],[Exit]],"Y"))</f>
        <v>5</v>
      </c>
      <c r="N538">
        <f>FLOOR(Table1[[#This Row],[Age]],10)</f>
        <v>30</v>
      </c>
      <c r="O538" t="str">
        <f>IF(Table1[[#This Row],[Age]]&lt;30,"20-29",IF(Table1[[#This Row],[Age]]&lt;40,"30-39",IF(Table1[[#This Row],[Age]]&lt;50,"40-49",IF(Table1[[#This Row],[Age]]&lt;60,"50-59","60+"))))</f>
        <v>30-39</v>
      </c>
    </row>
    <row r="539" spans="1:15" x14ac:dyDescent="0.25">
      <c r="A539" t="s">
        <v>820</v>
      </c>
      <c r="B539" t="s">
        <v>1075</v>
      </c>
      <c r="C539" t="s">
        <v>14</v>
      </c>
      <c r="D539">
        <v>45</v>
      </c>
      <c r="E539" t="s">
        <v>31</v>
      </c>
      <c r="F539" t="s">
        <v>16</v>
      </c>
      <c r="G539" t="s">
        <v>53</v>
      </c>
      <c r="H539" s="1">
        <v>44815</v>
      </c>
      <c r="J539">
        <v>1082000</v>
      </c>
      <c r="K539">
        <v>0</v>
      </c>
      <c r="L539" t="s">
        <v>24</v>
      </c>
      <c r="M539">
        <f ca="1">IF(Table1[[#This Row],[Exit]]="",DATEDIF(Table1[[#This Row],[Hire]],TODAY(),"Y"),DATEDIF(Table1[[#This Row],[Hire]],Table1[[#This Row],[Exit]],"Y"))</f>
        <v>3</v>
      </c>
      <c r="N539">
        <f>FLOOR(Table1[[#This Row],[Age]],10)</f>
        <v>40</v>
      </c>
      <c r="O539" t="str">
        <f>IF(Table1[[#This Row],[Age]]&lt;30,"20-29",IF(Table1[[#This Row],[Age]]&lt;40,"30-39",IF(Table1[[#This Row],[Age]]&lt;50,"40-49",IF(Table1[[#This Row],[Age]]&lt;60,"50-59","60+"))))</f>
        <v>40-49</v>
      </c>
    </row>
    <row r="540" spans="1:15" x14ac:dyDescent="0.25">
      <c r="A540" t="s">
        <v>1076</v>
      </c>
      <c r="B540" t="s">
        <v>1077</v>
      </c>
      <c r="C540" t="s">
        <v>41</v>
      </c>
      <c r="D540">
        <v>31</v>
      </c>
      <c r="E540" t="s">
        <v>81</v>
      </c>
      <c r="F540" t="s">
        <v>49</v>
      </c>
      <c r="G540" t="s">
        <v>34</v>
      </c>
      <c r="H540" s="1">
        <v>44857</v>
      </c>
      <c r="J540">
        <v>1084000</v>
      </c>
      <c r="K540">
        <v>0</v>
      </c>
      <c r="L540" t="s">
        <v>24</v>
      </c>
      <c r="M540">
        <f ca="1">IF(Table1[[#This Row],[Exit]]="",DATEDIF(Table1[[#This Row],[Hire]],TODAY(),"Y"),DATEDIF(Table1[[#This Row],[Hire]],Table1[[#This Row],[Exit]],"Y"))</f>
        <v>3</v>
      </c>
      <c r="N540">
        <f>FLOOR(Table1[[#This Row],[Age]],10)</f>
        <v>30</v>
      </c>
      <c r="O540" t="str">
        <f>IF(Table1[[#This Row],[Age]]&lt;30,"20-29",IF(Table1[[#This Row],[Age]]&lt;40,"30-39",IF(Table1[[#This Row],[Age]]&lt;50,"40-49",IF(Table1[[#This Row],[Age]]&lt;60,"50-59","60+"))))</f>
        <v>30-39</v>
      </c>
    </row>
    <row r="541" spans="1:15" x14ac:dyDescent="0.25">
      <c r="A541" t="s">
        <v>1078</v>
      </c>
      <c r="B541" t="s">
        <v>1079</v>
      </c>
      <c r="C541" t="s">
        <v>14</v>
      </c>
      <c r="D541">
        <v>41</v>
      </c>
      <c r="E541" t="s">
        <v>92</v>
      </c>
      <c r="F541" t="s">
        <v>59</v>
      </c>
      <c r="G541" t="s">
        <v>53</v>
      </c>
      <c r="H541" s="1">
        <v>45527</v>
      </c>
      <c r="J541">
        <v>1086000</v>
      </c>
      <c r="K541">
        <v>0</v>
      </c>
      <c r="L541" t="s">
        <v>24</v>
      </c>
      <c r="M541">
        <f ca="1">IF(Table1[[#This Row],[Exit]]="",DATEDIF(Table1[[#This Row],[Hire]],TODAY(),"Y"),DATEDIF(Table1[[#This Row],[Hire]],Table1[[#This Row],[Exit]],"Y"))</f>
        <v>1</v>
      </c>
      <c r="N541">
        <f>FLOOR(Table1[[#This Row],[Age]],10)</f>
        <v>40</v>
      </c>
      <c r="O541" t="str">
        <f>IF(Table1[[#This Row],[Age]]&lt;30,"20-29",IF(Table1[[#This Row],[Age]]&lt;40,"30-39",IF(Table1[[#This Row],[Age]]&lt;50,"40-49",IF(Table1[[#This Row],[Age]]&lt;60,"50-59","60+"))))</f>
        <v>40-49</v>
      </c>
    </row>
    <row r="542" spans="1:15" x14ac:dyDescent="0.25">
      <c r="A542" t="s">
        <v>1080</v>
      </c>
      <c r="B542" t="s">
        <v>1081</v>
      </c>
      <c r="C542" t="s">
        <v>21</v>
      </c>
      <c r="D542">
        <v>47</v>
      </c>
      <c r="E542" t="s">
        <v>81</v>
      </c>
      <c r="F542" t="s">
        <v>46</v>
      </c>
      <c r="G542" t="s">
        <v>23</v>
      </c>
      <c r="H542" s="1">
        <v>45237</v>
      </c>
      <c r="J542">
        <v>1088000</v>
      </c>
      <c r="K542">
        <v>0</v>
      </c>
      <c r="L542" t="s">
        <v>24</v>
      </c>
      <c r="M542">
        <f ca="1">IF(Table1[[#This Row],[Exit]]="",DATEDIF(Table1[[#This Row],[Hire]],TODAY(),"Y"),DATEDIF(Table1[[#This Row],[Hire]],Table1[[#This Row],[Exit]],"Y"))</f>
        <v>2</v>
      </c>
      <c r="N542">
        <f>FLOOR(Table1[[#This Row],[Age]],10)</f>
        <v>40</v>
      </c>
      <c r="O542" t="str">
        <f>IF(Table1[[#This Row],[Age]]&lt;30,"20-29",IF(Table1[[#This Row],[Age]]&lt;40,"30-39",IF(Table1[[#This Row],[Age]]&lt;50,"40-49",IF(Table1[[#This Row],[Age]]&lt;60,"50-59","60+"))))</f>
        <v>40-49</v>
      </c>
    </row>
    <row r="543" spans="1:15" x14ac:dyDescent="0.25">
      <c r="A543" t="s">
        <v>229</v>
      </c>
      <c r="B543" t="s">
        <v>1082</v>
      </c>
      <c r="C543" t="s">
        <v>41</v>
      </c>
      <c r="D543">
        <v>38</v>
      </c>
      <c r="E543" t="s">
        <v>22</v>
      </c>
      <c r="F543" t="s">
        <v>16</v>
      </c>
      <c r="G543" t="s">
        <v>34</v>
      </c>
      <c r="H543" s="1">
        <v>45206</v>
      </c>
      <c r="J543">
        <v>1090000</v>
      </c>
      <c r="K543">
        <v>0</v>
      </c>
      <c r="L543" t="s">
        <v>24</v>
      </c>
      <c r="M543">
        <f ca="1">IF(Table1[[#This Row],[Exit]]="",DATEDIF(Table1[[#This Row],[Hire]],TODAY(),"Y"),DATEDIF(Table1[[#This Row],[Hire]],Table1[[#This Row],[Exit]],"Y"))</f>
        <v>2</v>
      </c>
      <c r="N543">
        <f>FLOOR(Table1[[#This Row],[Age]],10)</f>
        <v>30</v>
      </c>
      <c r="O543" t="str">
        <f>IF(Table1[[#This Row],[Age]]&lt;30,"20-29",IF(Table1[[#This Row],[Age]]&lt;40,"30-39",IF(Table1[[#This Row],[Age]]&lt;50,"40-49",IF(Table1[[#This Row],[Age]]&lt;60,"50-59","60+"))))</f>
        <v>30-39</v>
      </c>
    </row>
    <row r="544" spans="1:15" x14ac:dyDescent="0.25">
      <c r="A544" t="s">
        <v>1083</v>
      </c>
      <c r="B544" t="s">
        <v>1084</v>
      </c>
      <c r="C544" t="s">
        <v>14</v>
      </c>
      <c r="D544">
        <v>40</v>
      </c>
      <c r="E544" t="s">
        <v>92</v>
      </c>
      <c r="F544" t="s">
        <v>59</v>
      </c>
      <c r="G544" t="s">
        <v>34</v>
      </c>
      <c r="H544" s="1">
        <v>44677</v>
      </c>
      <c r="J544">
        <v>1092000</v>
      </c>
      <c r="K544">
        <v>0</v>
      </c>
      <c r="L544" t="s">
        <v>24</v>
      </c>
      <c r="M544">
        <f ca="1">IF(Table1[[#This Row],[Exit]]="",DATEDIF(Table1[[#This Row],[Hire]],TODAY(),"Y"),DATEDIF(Table1[[#This Row],[Hire]],Table1[[#This Row],[Exit]],"Y"))</f>
        <v>3</v>
      </c>
      <c r="N544">
        <f>FLOOR(Table1[[#This Row],[Age]],10)</f>
        <v>40</v>
      </c>
      <c r="O544" t="str">
        <f>IF(Table1[[#This Row],[Age]]&lt;30,"20-29",IF(Table1[[#This Row],[Age]]&lt;40,"30-39",IF(Table1[[#This Row],[Age]]&lt;50,"40-49",IF(Table1[[#This Row],[Age]]&lt;60,"50-59","60+"))))</f>
        <v>40-49</v>
      </c>
    </row>
    <row r="545" spans="1:15" x14ac:dyDescent="0.25">
      <c r="A545" t="s">
        <v>1085</v>
      </c>
      <c r="B545" t="s">
        <v>1086</v>
      </c>
      <c r="C545" t="s">
        <v>21</v>
      </c>
      <c r="D545">
        <v>45</v>
      </c>
      <c r="E545" t="s">
        <v>31</v>
      </c>
      <c r="F545" t="s">
        <v>16</v>
      </c>
      <c r="G545" t="s">
        <v>17</v>
      </c>
      <c r="H545" s="1">
        <v>43889</v>
      </c>
      <c r="J545">
        <v>1094000</v>
      </c>
      <c r="K545">
        <v>0</v>
      </c>
      <c r="L545" t="s">
        <v>24</v>
      </c>
      <c r="M545">
        <f ca="1">IF(Table1[[#This Row],[Exit]]="",DATEDIF(Table1[[#This Row],[Hire]],TODAY(),"Y"),DATEDIF(Table1[[#This Row],[Hire]],Table1[[#This Row],[Exit]],"Y"))</f>
        <v>5</v>
      </c>
      <c r="N545">
        <f>FLOOR(Table1[[#This Row],[Age]],10)</f>
        <v>40</v>
      </c>
      <c r="O545" t="str">
        <f>IF(Table1[[#This Row],[Age]]&lt;30,"20-29",IF(Table1[[#This Row],[Age]]&lt;40,"30-39",IF(Table1[[#This Row],[Age]]&lt;50,"40-49",IF(Table1[[#This Row],[Age]]&lt;60,"50-59","60+"))))</f>
        <v>40-49</v>
      </c>
    </row>
    <row r="546" spans="1:15" x14ac:dyDescent="0.25">
      <c r="A546" t="s">
        <v>1087</v>
      </c>
      <c r="B546" t="s">
        <v>1088</v>
      </c>
      <c r="C546" t="s">
        <v>21</v>
      </c>
      <c r="D546">
        <v>31</v>
      </c>
      <c r="E546" t="s">
        <v>15</v>
      </c>
      <c r="F546" t="s">
        <v>16</v>
      </c>
      <c r="G546" t="s">
        <v>17</v>
      </c>
      <c r="H546" s="1">
        <v>44116</v>
      </c>
      <c r="J546">
        <v>1096000</v>
      </c>
      <c r="K546">
        <v>0</v>
      </c>
      <c r="L546" t="s">
        <v>24</v>
      </c>
      <c r="M546">
        <f ca="1">IF(Table1[[#This Row],[Exit]]="",DATEDIF(Table1[[#This Row],[Hire]],TODAY(),"Y"),DATEDIF(Table1[[#This Row],[Hire]],Table1[[#This Row],[Exit]],"Y"))</f>
        <v>5</v>
      </c>
      <c r="N546">
        <f>FLOOR(Table1[[#This Row],[Age]],10)</f>
        <v>30</v>
      </c>
      <c r="O546" t="str">
        <f>IF(Table1[[#This Row],[Age]]&lt;30,"20-29",IF(Table1[[#This Row],[Age]]&lt;40,"30-39",IF(Table1[[#This Row],[Age]]&lt;50,"40-49",IF(Table1[[#This Row],[Age]]&lt;60,"50-59","60+"))))</f>
        <v>30-39</v>
      </c>
    </row>
    <row r="547" spans="1:15" x14ac:dyDescent="0.25">
      <c r="A547" t="s">
        <v>1089</v>
      </c>
      <c r="B547" t="s">
        <v>1090</v>
      </c>
      <c r="C547" t="s">
        <v>21</v>
      </c>
      <c r="D547">
        <v>35</v>
      </c>
      <c r="E547" t="s">
        <v>22</v>
      </c>
      <c r="F547" t="s">
        <v>16</v>
      </c>
      <c r="G547" t="s">
        <v>23</v>
      </c>
      <c r="H547" s="1">
        <v>44588</v>
      </c>
      <c r="J547">
        <v>1098000</v>
      </c>
      <c r="K547">
        <v>0.37</v>
      </c>
      <c r="L547" t="s">
        <v>24</v>
      </c>
      <c r="M547">
        <f ca="1">IF(Table1[[#This Row],[Exit]]="",DATEDIF(Table1[[#This Row],[Hire]],TODAY(),"Y"),DATEDIF(Table1[[#This Row],[Hire]],Table1[[#This Row],[Exit]],"Y"))</f>
        <v>4</v>
      </c>
      <c r="N547">
        <f>FLOOR(Table1[[#This Row],[Age]],10)</f>
        <v>30</v>
      </c>
      <c r="O547" t="str">
        <f>IF(Table1[[#This Row],[Age]]&lt;30,"20-29",IF(Table1[[#This Row],[Age]]&lt;40,"30-39",IF(Table1[[#This Row],[Age]]&lt;50,"40-49",IF(Table1[[#This Row],[Age]]&lt;60,"50-59","60+"))))</f>
        <v>30-39</v>
      </c>
    </row>
    <row r="548" spans="1:15" x14ac:dyDescent="0.25">
      <c r="A548" t="s">
        <v>1091</v>
      </c>
      <c r="B548" t="s">
        <v>1092</v>
      </c>
      <c r="C548" t="s">
        <v>21</v>
      </c>
      <c r="D548">
        <v>31</v>
      </c>
      <c r="E548" t="s">
        <v>27</v>
      </c>
      <c r="F548" t="s">
        <v>28</v>
      </c>
      <c r="G548" t="s">
        <v>17</v>
      </c>
      <c r="H548" s="1">
        <v>45337</v>
      </c>
      <c r="J548">
        <v>1100000</v>
      </c>
      <c r="K548">
        <v>0.14000000000000001</v>
      </c>
      <c r="L548" t="s">
        <v>24</v>
      </c>
      <c r="M548">
        <f ca="1">IF(Table1[[#This Row],[Exit]]="",DATEDIF(Table1[[#This Row],[Hire]],TODAY(),"Y"),DATEDIF(Table1[[#This Row],[Hire]],Table1[[#This Row],[Exit]],"Y"))</f>
        <v>1</v>
      </c>
      <c r="N548">
        <f>FLOOR(Table1[[#This Row],[Age]],10)</f>
        <v>30</v>
      </c>
      <c r="O548" t="str">
        <f>IF(Table1[[#This Row],[Age]]&lt;30,"20-29",IF(Table1[[#This Row],[Age]]&lt;40,"30-39",IF(Table1[[#This Row],[Age]]&lt;50,"40-49",IF(Table1[[#This Row],[Age]]&lt;60,"50-59","60+"))))</f>
        <v>30-39</v>
      </c>
    </row>
    <row r="549" spans="1:15" x14ac:dyDescent="0.25">
      <c r="A549" t="s">
        <v>1093</v>
      </c>
      <c r="B549" t="s">
        <v>1094</v>
      </c>
      <c r="C549" t="s">
        <v>14</v>
      </c>
      <c r="D549">
        <v>35</v>
      </c>
      <c r="E549" t="s">
        <v>31</v>
      </c>
      <c r="F549" t="s">
        <v>16</v>
      </c>
      <c r="G549" t="s">
        <v>23</v>
      </c>
      <c r="H549" s="1">
        <v>45332</v>
      </c>
      <c r="J549">
        <v>1102000</v>
      </c>
      <c r="K549">
        <v>0.12</v>
      </c>
      <c r="L549" t="s">
        <v>24</v>
      </c>
      <c r="M549">
        <f ca="1">IF(Table1[[#This Row],[Exit]]="",DATEDIF(Table1[[#This Row],[Hire]],TODAY(),"Y"),DATEDIF(Table1[[#This Row],[Hire]],Table1[[#This Row],[Exit]],"Y"))</f>
        <v>1</v>
      </c>
      <c r="N549">
        <f>FLOOR(Table1[[#This Row],[Age]],10)</f>
        <v>30</v>
      </c>
      <c r="O549" t="str">
        <f>IF(Table1[[#This Row],[Age]]&lt;30,"20-29",IF(Table1[[#This Row],[Age]]&lt;40,"30-39",IF(Table1[[#This Row],[Age]]&lt;50,"40-49",IF(Table1[[#This Row],[Age]]&lt;60,"50-59","60+"))))</f>
        <v>30-39</v>
      </c>
    </row>
    <row r="550" spans="1:15" x14ac:dyDescent="0.25">
      <c r="A550" t="s">
        <v>47</v>
      </c>
      <c r="B550" t="s">
        <v>1095</v>
      </c>
      <c r="C550" t="s">
        <v>21</v>
      </c>
      <c r="D550">
        <v>31</v>
      </c>
      <c r="E550" t="s">
        <v>27</v>
      </c>
      <c r="F550" t="s">
        <v>28</v>
      </c>
      <c r="G550" t="s">
        <v>34</v>
      </c>
      <c r="H550" s="1">
        <v>44183</v>
      </c>
      <c r="J550">
        <v>1104000</v>
      </c>
      <c r="K550">
        <v>0.28000000000000003</v>
      </c>
      <c r="L550" t="s">
        <v>24</v>
      </c>
      <c r="M550">
        <f ca="1">IF(Table1[[#This Row],[Exit]]="",DATEDIF(Table1[[#This Row],[Hire]],TODAY(),"Y"),DATEDIF(Table1[[#This Row],[Hire]],Table1[[#This Row],[Exit]],"Y"))</f>
        <v>5</v>
      </c>
      <c r="N550">
        <f>FLOOR(Table1[[#This Row],[Age]],10)</f>
        <v>30</v>
      </c>
      <c r="O550" t="str">
        <f>IF(Table1[[#This Row],[Age]]&lt;30,"20-29",IF(Table1[[#This Row],[Age]]&lt;40,"30-39",IF(Table1[[#This Row],[Age]]&lt;50,"40-49",IF(Table1[[#This Row],[Age]]&lt;60,"50-59","60+"))))</f>
        <v>30-39</v>
      </c>
    </row>
    <row r="551" spans="1:15" x14ac:dyDescent="0.25">
      <c r="A551" t="s">
        <v>1096</v>
      </c>
      <c r="B551" t="s">
        <v>1097</v>
      </c>
      <c r="C551" t="s">
        <v>14</v>
      </c>
      <c r="D551">
        <v>26</v>
      </c>
      <c r="E551" t="s">
        <v>15</v>
      </c>
      <c r="F551" t="s">
        <v>16</v>
      </c>
      <c r="G551" t="s">
        <v>23</v>
      </c>
      <c r="H551" s="1">
        <v>43837</v>
      </c>
      <c r="I551" s="1">
        <v>45332</v>
      </c>
      <c r="J551">
        <v>1106000</v>
      </c>
      <c r="K551">
        <v>0.15</v>
      </c>
      <c r="L551" t="s">
        <v>18</v>
      </c>
      <c r="M551">
        <f ca="1">IF(Table1[[#This Row],[Exit]]="",DATEDIF(Table1[[#This Row],[Hire]],TODAY(),"Y"),DATEDIF(Table1[[#This Row],[Hire]],Table1[[#This Row],[Exit]],"Y"))</f>
        <v>4</v>
      </c>
      <c r="N551">
        <f>FLOOR(Table1[[#This Row],[Age]],10)</f>
        <v>20</v>
      </c>
      <c r="O551" t="str">
        <f>IF(Table1[[#This Row],[Age]]&lt;30,"20-29",IF(Table1[[#This Row],[Age]]&lt;40,"30-39",IF(Table1[[#This Row],[Age]]&lt;50,"40-49",IF(Table1[[#This Row],[Age]]&lt;60,"50-59","60+"))))</f>
        <v>20-29</v>
      </c>
    </row>
    <row r="552" spans="1:15" x14ac:dyDescent="0.25">
      <c r="A552" t="s">
        <v>1098</v>
      </c>
      <c r="B552" t="s">
        <v>1099</v>
      </c>
      <c r="C552" t="s">
        <v>14</v>
      </c>
      <c r="D552">
        <v>31</v>
      </c>
      <c r="E552" t="s">
        <v>15</v>
      </c>
      <c r="F552" t="s">
        <v>16</v>
      </c>
      <c r="G552" t="s">
        <v>34</v>
      </c>
      <c r="H552" s="1">
        <v>45206</v>
      </c>
      <c r="J552">
        <v>1108000</v>
      </c>
      <c r="K552">
        <v>0.06</v>
      </c>
      <c r="L552" t="s">
        <v>24</v>
      </c>
      <c r="M552">
        <f ca="1">IF(Table1[[#This Row],[Exit]]="",DATEDIF(Table1[[#This Row],[Hire]],TODAY(),"Y"),DATEDIF(Table1[[#This Row],[Hire]],Table1[[#This Row],[Exit]],"Y"))</f>
        <v>2</v>
      </c>
      <c r="N552">
        <f>FLOOR(Table1[[#This Row],[Age]],10)</f>
        <v>30</v>
      </c>
      <c r="O552" t="str">
        <f>IF(Table1[[#This Row],[Age]]&lt;30,"20-29",IF(Table1[[#This Row],[Age]]&lt;40,"30-39",IF(Table1[[#This Row],[Age]]&lt;50,"40-49",IF(Table1[[#This Row],[Age]]&lt;60,"50-59","60+"))))</f>
        <v>30-39</v>
      </c>
    </row>
    <row r="553" spans="1:15" x14ac:dyDescent="0.25">
      <c r="A553" t="s">
        <v>1100</v>
      </c>
      <c r="B553" t="s">
        <v>1101</v>
      </c>
      <c r="C553" t="s">
        <v>14</v>
      </c>
      <c r="D553">
        <v>31</v>
      </c>
      <c r="E553" t="s">
        <v>42</v>
      </c>
      <c r="F553" t="s">
        <v>43</v>
      </c>
      <c r="G553" t="s">
        <v>34</v>
      </c>
      <c r="H553" s="1">
        <v>44487</v>
      </c>
      <c r="J553">
        <v>1110000</v>
      </c>
      <c r="K553">
        <v>0.16</v>
      </c>
      <c r="L553" t="s">
        <v>24</v>
      </c>
      <c r="M553">
        <f ca="1">IF(Table1[[#This Row],[Exit]]="",DATEDIF(Table1[[#This Row],[Hire]],TODAY(),"Y"),DATEDIF(Table1[[#This Row],[Hire]],Table1[[#This Row],[Exit]],"Y"))</f>
        <v>4</v>
      </c>
      <c r="N553">
        <f>FLOOR(Table1[[#This Row],[Age]],10)</f>
        <v>30</v>
      </c>
      <c r="O553" t="str">
        <f>IF(Table1[[#This Row],[Age]]&lt;30,"20-29",IF(Table1[[#This Row],[Age]]&lt;40,"30-39",IF(Table1[[#This Row],[Age]]&lt;50,"40-49",IF(Table1[[#This Row],[Age]]&lt;60,"50-59","60+"))))</f>
        <v>30-39</v>
      </c>
    </row>
    <row r="554" spans="1:15" x14ac:dyDescent="0.25">
      <c r="A554" t="s">
        <v>1102</v>
      </c>
      <c r="B554" t="s">
        <v>1103</v>
      </c>
      <c r="C554" t="s">
        <v>355</v>
      </c>
      <c r="D554">
        <v>36</v>
      </c>
      <c r="E554" t="s">
        <v>42</v>
      </c>
      <c r="F554" t="s">
        <v>46</v>
      </c>
      <c r="G554" t="s">
        <v>23</v>
      </c>
      <c r="H554" s="1">
        <v>44791</v>
      </c>
      <c r="J554">
        <v>1112000</v>
      </c>
      <c r="K554">
        <v>0</v>
      </c>
      <c r="L554" t="s">
        <v>24</v>
      </c>
      <c r="M554">
        <f ca="1">IF(Table1[[#This Row],[Exit]]="",DATEDIF(Table1[[#This Row],[Hire]],TODAY(),"Y"),DATEDIF(Table1[[#This Row],[Hire]],Table1[[#This Row],[Exit]],"Y"))</f>
        <v>3</v>
      </c>
      <c r="N554">
        <f>FLOOR(Table1[[#This Row],[Age]],10)</f>
        <v>30</v>
      </c>
      <c r="O554" t="str">
        <f>IF(Table1[[#This Row],[Age]]&lt;30,"20-29",IF(Table1[[#This Row],[Age]]&lt;40,"30-39",IF(Table1[[#This Row],[Age]]&lt;50,"40-49",IF(Table1[[#This Row],[Age]]&lt;60,"50-59","60+"))))</f>
        <v>30-39</v>
      </c>
    </row>
    <row r="555" spans="1:15" x14ac:dyDescent="0.25">
      <c r="A555" t="s">
        <v>1104</v>
      </c>
      <c r="B555" t="s">
        <v>1105</v>
      </c>
      <c r="C555" t="s">
        <v>14</v>
      </c>
      <c r="D555">
        <v>45</v>
      </c>
      <c r="E555" t="s">
        <v>42</v>
      </c>
      <c r="F555" t="s">
        <v>49</v>
      </c>
      <c r="G555" t="s">
        <v>17</v>
      </c>
      <c r="H555" s="1">
        <v>45440</v>
      </c>
      <c r="J555">
        <v>1114000</v>
      </c>
      <c r="K555">
        <v>0</v>
      </c>
      <c r="L555" t="s">
        <v>24</v>
      </c>
      <c r="M555">
        <f ca="1">IF(Table1[[#This Row],[Exit]]="",DATEDIF(Table1[[#This Row],[Hire]],TODAY(),"Y"),DATEDIF(Table1[[#This Row],[Hire]],Table1[[#This Row],[Exit]],"Y"))</f>
        <v>1</v>
      </c>
      <c r="N555">
        <f>FLOOR(Table1[[#This Row],[Age]],10)</f>
        <v>40</v>
      </c>
      <c r="O555" t="str">
        <f>IF(Table1[[#This Row],[Age]]&lt;30,"20-29",IF(Table1[[#This Row],[Age]]&lt;40,"30-39",IF(Table1[[#This Row],[Age]]&lt;50,"40-49",IF(Table1[[#This Row],[Age]]&lt;60,"50-59","60+"))))</f>
        <v>40-49</v>
      </c>
    </row>
    <row r="556" spans="1:15" x14ac:dyDescent="0.25">
      <c r="A556" t="s">
        <v>1106</v>
      </c>
      <c r="B556" t="s">
        <v>1107</v>
      </c>
      <c r="C556" t="s">
        <v>21</v>
      </c>
      <c r="D556">
        <v>37</v>
      </c>
      <c r="E556" t="s">
        <v>52</v>
      </c>
      <c r="F556" t="s">
        <v>16</v>
      </c>
      <c r="G556" t="s">
        <v>53</v>
      </c>
      <c r="H556" s="1">
        <v>44811</v>
      </c>
      <c r="J556">
        <v>1116000</v>
      </c>
      <c r="K556">
        <v>0</v>
      </c>
      <c r="L556" t="s">
        <v>24</v>
      </c>
      <c r="M556">
        <f ca="1">IF(Table1[[#This Row],[Exit]]="",DATEDIF(Table1[[#This Row],[Hire]],TODAY(),"Y"),DATEDIF(Table1[[#This Row],[Hire]],Table1[[#This Row],[Exit]],"Y"))</f>
        <v>3</v>
      </c>
      <c r="N556">
        <f>FLOOR(Table1[[#This Row],[Age]],10)</f>
        <v>30</v>
      </c>
      <c r="O556" t="str">
        <f>IF(Table1[[#This Row],[Age]]&lt;30,"20-29",IF(Table1[[#This Row],[Age]]&lt;40,"30-39",IF(Table1[[#This Row],[Age]]&lt;50,"40-49",IF(Table1[[#This Row],[Age]]&lt;60,"50-59","60+"))))</f>
        <v>30-39</v>
      </c>
    </row>
    <row r="557" spans="1:15" x14ac:dyDescent="0.25">
      <c r="A557" t="s">
        <v>1108</v>
      </c>
      <c r="B557" t="s">
        <v>1109</v>
      </c>
      <c r="C557" t="s">
        <v>14</v>
      </c>
      <c r="D557">
        <v>38</v>
      </c>
      <c r="E557" t="s">
        <v>42</v>
      </c>
      <c r="F557" t="s">
        <v>46</v>
      </c>
      <c r="G557" t="s">
        <v>53</v>
      </c>
      <c r="H557" s="1">
        <v>45294</v>
      </c>
      <c r="J557">
        <v>1118000</v>
      </c>
      <c r="K557">
        <v>0</v>
      </c>
      <c r="L557" t="s">
        <v>24</v>
      </c>
      <c r="M557">
        <f ca="1">IF(Table1[[#This Row],[Exit]]="",DATEDIF(Table1[[#This Row],[Hire]],TODAY(),"Y"),DATEDIF(Table1[[#This Row],[Hire]],Table1[[#This Row],[Exit]],"Y"))</f>
        <v>2</v>
      </c>
      <c r="N557">
        <f>FLOOR(Table1[[#This Row],[Age]],10)</f>
        <v>30</v>
      </c>
      <c r="O557" t="str">
        <f>IF(Table1[[#This Row],[Age]]&lt;30,"20-29",IF(Table1[[#This Row],[Age]]&lt;40,"30-39",IF(Table1[[#This Row],[Age]]&lt;50,"40-49",IF(Table1[[#This Row],[Age]]&lt;60,"50-59","60+"))))</f>
        <v>30-39</v>
      </c>
    </row>
    <row r="558" spans="1:15" x14ac:dyDescent="0.25">
      <c r="A558" t="s">
        <v>1110</v>
      </c>
      <c r="B558" t="s">
        <v>1111</v>
      </c>
      <c r="C558" t="s">
        <v>21</v>
      </c>
      <c r="D558">
        <v>45</v>
      </c>
      <c r="E558" t="s">
        <v>58</v>
      </c>
      <c r="F558" t="s">
        <v>59</v>
      </c>
      <c r="G558" t="s">
        <v>34</v>
      </c>
      <c r="H558" s="1">
        <v>45074</v>
      </c>
      <c r="J558">
        <v>1120000</v>
      </c>
      <c r="K558">
        <v>0.14000000000000001</v>
      </c>
      <c r="L558" t="s">
        <v>24</v>
      </c>
      <c r="M558">
        <f ca="1">IF(Table1[[#This Row],[Exit]]="",DATEDIF(Table1[[#This Row],[Hire]],TODAY(),"Y"),DATEDIF(Table1[[#This Row],[Hire]],Table1[[#This Row],[Exit]],"Y"))</f>
        <v>2</v>
      </c>
      <c r="N558">
        <f>FLOOR(Table1[[#This Row],[Age]],10)</f>
        <v>40</v>
      </c>
      <c r="O558" t="str">
        <f>IF(Table1[[#This Row],[Age]]&lt;30,"20-29",IF(Table1[[#This Row],[Age]]&lt;40,"30-39",IF(Table1[[#This Row],[Age]]&lt;50,"40-49",IF(Table1[[#This Row],[Age]]&lt;60,"50-59","60+"))))</f>
        <v>40-49</v>
      </c>
    </row>
    <row r="559" spans="1:15" x14ac:dyDescent="0.25">
      <c r="A559" t="s">
        <v>1112</v>
      </c>
      <c r="B559" t="s">
        <v>1113</v>
      </c>
      <c r="C559" t="s">
        <v>14</v>
      </c>
      <c r="D559">
        <v>51</v>
      </c>
      <c r="E559" t="s">
        <v>52</v>
      </c>
      <c r="F559" t="s">
        <v>16</v>
      </c>
      <c r="G559" t="s">
        <v>23</v>
      </c>
      <c r="H559" s="1">
        <v>45245</v>
      </c>
      <c r="J559">
        <v>1122000</v>
      </c>
      <c r="K559">
        <v>7.0000000000000007E-2</v>
      </c>
      <c r="L559" t="s">
        <v>24</v>
      </c>
      <c r="M559">
        <f ca="1">IF(Table1[[#This Row],[Exit]]="",DATEDIF(Table1[[#This Row],[Hire]],TODAY(),"Y"),DATEDIF(Table1[[#This Row],[Hire]],Table1[[#This Row],[Exit]],"Y"))</f>
        <v>2</v>
      </c>
      <c r="N559">
        <f>FLOOR(Table1[[#This Row],[Age]],10)</f>
        <v>50</v>
      </c>
      <c r="O559" t="str">
        <f>IF(Table1[[#This Row],[Age]]&lt;30,"20-29",IF(Table1[[#This Row],[Age]]&lt;40,"30-39",IF(Table1[[#This Row],[Age]]&lt;50,"40-49",IF(Table1[[#This Row],[Age]]&lt;60,"50-59","60+"))))</f>
        <v>50-59</v>
      </c>
    </row>
    <row r="560" spans="1:15" x14ac:dyDescent="0.25">
      <c r="A560" t="s">
        <v>1114</v>
      </c>
      <c r="B560" t="s">
        <v>1115</v>
      </c>
      <c r="C560" t="s">
        <v>21</v>
      </c>
      <c r="D560">
        <v>56</v>
      </c>
      <c r="E560" t="s">
        <v>52</v>
      </c>
      <c r="F560" t="s">
        <v>16</v>
      </c>
      <c r="G560" t="s">
        <v>34</v>
      </c>
      <c r="H560" s="1">
        <v>43851</v>
      </c>
      <c r="J560">
        <v>1124000</v>
      </c>
      <c r="K560">
        <v>7.0000000000000007E-2</v>
      </c>
      <c r="L560" t="s">
        <v>24</v>
      </c>
      <c r="M560">
        <f ca="1">IF(Table1[[#This Row],[Exit]]="",DATEDIF(Table1[[#This Row],[Hire]],TODAY(),"Y"),DATEDIF(Table1[[#This Row],[Hire]],Table1[[#This Row],[Exit]],"Y"))</f>
        <v>6</v>
      </c>
      <c r="N560">
        <f>FLOOR(Table1[[#This Row],[Age]],10)</f>
        <v>50</v>
      </c>
      <c r="O560" t="str">
        <f>IF(Table1[[#This Row],[Age]]&lt;30,"20-29",IF(Table1[[#This Row],[Age]]&lt;40,"30-39",IF(Table1[[#This Row],[Age]]&lt;50,"40-49",IF(Table1[[#This Row],[Age]]&lt;60,"50-59","60+"))))</f>
        <v>50-59</v>
      </c>
    </row>
    <row r="561" spans="1:15" x14ac:dyDescent="0.25">
      <c r="A561" t="s">
        <v>1116</v>
      </c>
      <c r="B561" t="s">
        <v>1117</v>
      </c>
      <c r="C561" t="s">
        <v>21</v>
      </c>
      <c r="D561">
        <v>53</v>
      </c>
      <c r="E561" t="s">
        <v>66</v>
      </c>
      <c r="F561" t="s">
        <v>16</v>
      </c>
      <c r="G561" t="s">
        <v>17</v>
      </c>
      <c r="H561" s="1">
        <v>45206</v>
      </c>
      <c r="J561">
        <v>1126000</v>
      </c>
      <c r="K561">
        <v>0</v>
      </c>
      <c r="L561" t="s">
        <v>24</v>
      </c>
      <c r="M561">
        <f ca="1">IF(Table1[[#This Row],[Exit]]="",DATEDIF(Table1[[#This Row],[Hire]],TODAY(),"Y"),DATEDIF(Table1[[#This Row],[Hire]],Table1[[#This Row],[Exit]],"Y"))</f>
        <v>2</v>
      </c>
      <c r="N561">
        <f>FLOOR(Table1[[#This Row],[Age]],10)</f>
        <v>50</v>
      </c>
      <c r="O561" t="str">
        <f>IF(Table1[[#This Row],[Age]]&lt;30,"20-29",IF(Table1[[#This Row],[Age]]&lt;40,"30-39",IF(Table1[[#This Row],[Age]]&lt;50,"40-49",IF(Table1[[#This Row],[Age]]&lt;60,"50-59","60+"))))</f>
        <v>50-59</v>
      </c>
    </row>
    <row r="562" spans="1:15" x14ac:dyDescent="0.25">
      <c r="A562" t="s">
        <v>1118</v>
      </c>
      <c r="B562" t="s">
        <v>1119</v>
      </c>
      <c r="C562" t="s">
        <v>41</v>
      </c>
      <c r="D562">
        <v>47</v>
      </c>
      <c r="E562" t="s">
        <v>58</v>
      </c>
      <c r="F562" t="s">
        <v>59</v>
      </c>
      <c r="G562" t="s">
        <v>23</v>
      </c>
      <c r="H562" s="1">
        <v>45401</v>
      </c>
      <c r="J562">
        <v>1128000</v>
      </c>
      <c r="K562">
        <v>0</v>
      </c>
      <c r="L562" t="s">
        <v>24</v>
      </c>
      <c r="M562">
        <f ca="1">IF(Table1[[#This Row],[Exit]]="",DATEDIF(Table1[[#This Row],[Hire]],TODAY(),"Y"),DATEDIF(Table1[[#This Row],[Hire]],Table1[[#This Row],[Exit]],"Y"))</f>
        <v>1</v>
      </c>
      <c r="N562">
        <f>FLOOR(Table1[[#This Row],[Age]],10)</f>
        <v>40</v>
      </c>
      <c r="O562" t="str">
        <f>IF(Table1[[#This Row],[Age]]&lt;30,"20-29",IF(Table1[[#This Row],[Age]]&lt;40,"30-39",IF(Table1[[#This Row],[Age]]&lt;50,"40-49",IF(Table1[[#This Row],[Age]]&lt;60,"50-59","60+"))))</f>
        <v>40-49</v>
      </c>
    </row>
    <row r="563" spans="1:15" x14ac:dyDescent="0.25">
      <c r="A563" t="s">
        <v>1120</v>
      </c>
      <c r="B563" t="s">
        <v>1121</v>
      </c>
      <c r="C563" t="s">
        <v>14</v>
      </c>
      <c r="D563">
        <v>36</v>
      </c>
      <c r="E563" t="s">
        <v>66</v>
      </c>
      <c r="F563" t="s">
        <v>16</v>
      </c>
      <c r="G563" t="s">
        <v>34</v>
      </c>
      <c r="H563" s="1">
        <v>44083</v>
      </c>
      <c r="J563">
        <v>1130000</v>
      </c>
      <c r="K563">
        <v>0</v>
      </c>
      <c r="L563" t="s">
        <v>24</v>
      </c>
      <c r="M563">
        <f ca="1">IF(Table1[[#This Row],[Exit]]="",DATEDIF(Table1[[#This Row],[Hire]],TODAY(),"Y"),DATEDIF(Table1[[#This Row],[Hire]],Table1[[#This Row],[Exit]],"Y"))</f>
        <v>5</v>
      </c>
      <c r="N563">
        <f>FLOOR(Table1[[#This Row],[Age]],10)</f>
        <v>30</v>
      </c>
      <c r="O563" t="str">
        <f>IF(Table1[[#This Row],[Age]]&lt;30,"20-29",IF(Table1[[#This Row],[Age]]&lt;40,"30-39",IF(Table1[[#This Row],[Age]]&lt;50,"40-49",IF(Table1[[#This Row],[Age]]&lt;60,"50-59","60+"))))</f>
        <v>30-39</v>
      </c>
    </row>
    <row r="564" spans="1:15" x14ac:dyDescent="0.25">
      <c r="A564" t="s">
        <v>1122</v>
      </c>
      <c r="B564" t="s">
        <v>1123</v>
      </c>
      <c r="C564" t="s">
        <v>41</v>
      </c>
      <c r="D564">
        <v>41</v>
      </c>
      <c r="E564" t="s">
        <v>66</v>
      </c>
      <c r="F564" t="s">
        <v>16</v>
      </c>
      <c r="G564" t="s">
        <v>53</v>
      </c>
      <c r="H564" s="1">
        <v>45233</v>
      </c>
      <c r="J564">
        <v>1132000</v>
      </c>
      <c r="K564">
        <v>0</v>
      </c>
      <c r="L564" t="s">
        <v>24</v>
      </c>
      <c r="M564">
        <f ca="1">IF(Table1[[#This Row],[Exit]]="",DATEDIF(Table1[[#This Row],[Hire]],TODAY(),"Y"),DATEDIF(Table1[[#This Row],[Hire]],Table1[[#This Row],[Exit]],"Y"))</f>
        <v>2</v>
      </c>
      <c r="N564">
        <f>FLOOR(Table1[[#This Row],[Age]],10)</f>
        <v>40</v>
      </c>
      <c r="O564" t="str">
        <f>IF(Table1[[#This Row],[Age]]&lt;30,"20-29",IF(Table1[[#This Row],[Age]]&lt;40,"30-39",IF(Table1[[#This Row],[Age]]&lt;50,"40-49",IF(Table1[[#This Row],[Age]]&lt;60,"50-59","60+"))))</f>
        <v>40-49</v>
      </c>
    </row>
    <row r="565" spans="1:15" x14ac:dyDescent="0.25">
      <c r="A565" t="s">
        <v>1124</v>
      </c>
      <c r="B565" t="s">
        <v>1125</v>
      </c>
      <c r="C565" t="s">
        <v>14</v>
      </c>
      <c r="D565">
        <v>30</v>
      </c>
      <c r="E565" t="s">
        <v>58</v>
      </c>
      <c r="F565" t="s">
        <v>59</v>
      </c>
      <c r="G565" t="s">
        <v>53</v>
      </c>
      <c r="H565" s="1">
        <v>43951</v>
      </c>
      <c r="I565" s="1">
        <v>45206</v>
      </c>
      <c r="J565">
        <v>1134000</v>
      </c>
      <c r="K565">
        <v>0.23</v>
      </c>
      <c r="L565" t="s">
        <v>18</v>
      </c>
      <c r="M565">
        <f ca="1">IF(Table1[[#This Row],[Exit]]="",DATEDIF(Table1[[#This Row],[Hire]],TODAY(),"Y"),DATEDIF(Table1[[#This Row],[Hire]],Table1[[#This Row],[Exit]],"Y"))</f>
        <v>3</v>
      </c>
      <c r="N565">
        <f>FLOOR(Table1[[#This Row],[Age]],10)</f>
        <v>30</v>
      </c>
      <c r="O565" t="str">
        <f>IF(Table1[[#This Row],[Age]]&lt;30,"20-29",IF(Table1[[#This Row],[Age]]&lt;40,"30-39",IF(Table1[[#This Row],[Age]]&lt;50,"40-49",IF(Table1[[#This Row],[Age]]&lt;60,"50-59","60+"))))</f>
        <v>30-39</v>
      </c>
    </row>
    <row r="566" spans="1:15" x14ac:dyDescent="0.25">
      <c r="A566" t="s">
        <v>1126</v>
      </c>
      <c r="B566" t="s">
        <v>1127</v>
      </c>
      <c r="C566" t="s">
        <v>21</v>
      </c>
      <c r="D566">
        <v>31</v>
      </c>
      <c r="E566" t="s">
        <v>15</v>
      </c>
      <c r="F566" t="s">
        <v>16</v>
      </c>
      <c r="G566" t="s">
        <v>53</v>
      </c>
      <c r="H566" s="1">
        <v>43887</v>
      </c>
      <c r="J566">
        <v>1136000</v>
      </c>
      <c r="K566">
        <v>0.39</v>
      </c>
      <c r="L566" t="s">
        <v>24</v>
      </c>
      <c r="M566">
        <f ca="1">IF(Table1[[#This Row],[Exit]]="",DATEDIF(Table1[[#This Row],[Hire]],TODAY(),"Y"),DATEDIF(Table1[[#This Row],[Hire]],Table1[[#This Row],[Exit]],"Y"))</f>
        <v>5</v>
      </c>
      <c r="N566">
        <f>FLOOR(Table1[[#This Row],[Age]],10)</f>
        <v>30</v>
      </c>
      <c r="O566" t="str">
        <f>IF(Table1[[#This Row],[Age]]&lt;30,"20-29",IF(Table1[[#This Row],[Age]]&lt;40,"30-39",IF(Table1[[#This Row],[Age]]&lt;50,"40-49",IF(Table1[[#This Row],[Age]]&lt;60,"50-59","60+"))))</f>
        <v>30-39</v>
      </c>
    </row>
    <row r="567" spans="1:15" x14ac:dyDescent="0.25">
      <c r="A567" t="s">
        <v>1128</v>
      </c>
      <c r="B567" t="s">
        <v>1129</v>
      </c>
      <c r="C567" t="s">
        <v>21</v>
      </c>
      <c r="D567">
        <v>38</v>
      </c>
      <c r="E567" t="s">
        <v>22</v>
      </c>
      <c r="F567" t="s">
        <v>16</v>
      </c>
      <c r="G567" t="s">
        <v>53</v>
      </c>
      <c r="H567" s="1">
        <v>44815</v>
      </c>
      <c r="J567">
        <v>1138000</v>
      </c>
      <c r="K567">
        <v>0.11</v>
      </c>
      <c r="L567" t="s">
        <v>24</v>
      </c>
      <c r="M567">
        <f ca="1">IF(Table1[[#This Row],[Exit]]="",DATEDIF(Table1[[#This Row],[Hire]],TODAY(),"Y"),DATEDIF(Table1[[#This Row],[Hire]],Table1[[#This Row],[Exit]],"Y"))</f>
        <v>3</v>
      </c>
      <c r="N567">
        <f>FLOOR(Table1[[#This Row],[Age]],10)</f>
        <v>30</v>
      </c>
      <c r="O567" t="str">
        <f>IF(Table1[[#This Row],[Age]]&lt;30,"20-29",IF(Table1[[#This Row],[Age]]&lt;40,"30-39",IF(Table1[[#This Row],[Age]]&lt;50,"40-49",IF(Table1[[#This Row],[Age]]&lt;60,"50-59","60+"))))</f>
        <v>30-39</v>
      </c>
    </row>
    <row r="568" spans="1:15" x14ac:dyDescent="0.25">
      <c r="A568" t="s">
        <v>1130</v>
      </c>
      <c r="B568" t="s">
        <v>1131</v>
      </c>
      <c r="C568" t="s">
        <v>21</v>
      </c>
      <c r="D568">
        <v>31</v>
      </c>
      <c r="E568" t="s">
        <v>81</v>
      </c>
      <c r="F568" t="s">
        <v>43</v>
      </c>
      <c r="G568" t="s">
        <v>53</v>
      </c>
      <c r="H568" s="1">
        <v>45430</v>
      </c>
      <c r="J568">
        <v>1140000</v>
      </c>
      <c r="K568">
        <v>0.18</v>
      </c>
      <c r="L568" t="s">
        <v>24</v>
      </c>
      <c r="M568">
        <f ca="1">IF(Table1[[#This Row],[Exit]]="",DATEDIF(Table1[[#This Row],[Hire]],TODAY(),"Y"),DATEDIF(Table1[[#This Row],[Hire]],Table1[[#This Row],[Exit]],"Y"))</f>
        <v>1</v>
      </c>
      <c r="N568">
        <f>FLOOR(Table1[[#This Row],[Age]],10)</f>
        <v>30</v>
      </c>
      <c r="O568" t="str">
        <f>IF(Table1[[#This Row],[Age]]&lt;30,"20-29",IF(Table1[[#This Row],[Age]]&lt;40,"30-39",IF(Table1[[#This Row],[Age]]&lt;50,"40-49",IF(Table1[[#This Row],[Age]]&lt;60,"50-59","60+"))))</f>
        <v>30-39</v>
      </c>
    </row>
    <row r="569" spans="1:15" x14ac:dyDescent="0.25">
      <c r="A569" t="s">
        <v>1132</v>
      </c>
      <c r="B569" t="s">
        <v>1133</v>
      </c>
      <c r="C569" t="s">
        <v>21</v>
      </c>
      <c r="D569">
        <v>39</v>
      </c>
      <c r="E569" t="s">
        <v>52</v>
      </c>
      <c r="F569" t="s">
        <v>16</v>
      </c>
      <c r="G569" t="s">
        <v>17</v>
      </c>
      <c r="H569" s="1">
        <v>44509</v>
      </c>
      <c r="J569">
        <v>1142000</v>
      </c>
      <c r="K569">
        <v>0.31</v>
      </c>
      <c r="L569" t="s">
        <v>24</v>
      </c>
      <c r="M569">
        <f ca="1">IF(Table1[[#This Row],[Exit]]="",DATEDIF(Table1[[#This Row],[Hire]],TODAY(),"Y"),DATEDIF(Table1[[#This Row],[Hire]],Table1[[#This Row],[Exit]],"Y"))</f>
        <v>4</v>
      </c>
      <c r="N569">
        <f>FLOOR(Table1[[#This Row],[Age]],10)</f>
        <v>30</v>
      </c>
      <c r="O569" t="str">
        <f>IF(Table1[[#This Row],[Age]]&lt;30,"20-29",IF(Table1[[#This Row],[Age]]&lt;40,"30-39",IF(Table1[[#This Row],[Age]]&lt;50,"40-49",IF(Table1[[#This Row],[Age]]&lt;60,"50-59","60+"))))</f>
        <v>30-39</v>
      </c>
    </row>
    <row r="570" spans="1:15" x14ac:dyDescent="0.25">
      <c r="A570" t="s">
        <v>1134</v>
      </c>
      <c r="B570" t="s">
        <v>1135</v>
      </c>
      <c r="C570" t="s">
        <v>21</v>
      </c>
      <c r="D570">
        <v>31</v>
      </c>
      <c r="E570" t="s">
        <v>66</v>
      </c>
      <c r="F570" t="s">
        <v>16</v>
      </c>
      <c r="G570" t="s">
        <v>23</v>
      </c>
      <c r="H570" s="1">
        <v>43963</v>
      </c>
      <c r="J570">
        <v>1144000</v>
      </c>
      <c r="K570">
        <v>0</v>
      </c>
      <c r="L570" t="s">
        <v>24</v>
      </c>
      <c r="M570">
        <f ca="1">IF(Table1[[#This Row],[Exit]]="",DATEDIF(Table1[[#This Row],[Hire]],TODAY(),"Y"),DATEDIF(Table1[[#This Row],[Hire]],Table1[[#This Row],[Exit]],"Y"))</f>
        <v>5</v>
      </c>
      <c r="N570">
        <f>FLOOR(Table1[[#This Row],[Age]],10)</f>
        <v>30</v>
      </c>
      <c r="O570" t="str">
        <f>IF(Table1[[#This Row],[Age]]&lt;30,"20-29",IF(Table1[[#This Row],[Age]]&lt;40,"30-39",IF(Table1[[#This Row],[Age]]&lt;50,"40-49",IF(Table1[[#This Row],[Age]]&lt;60,"50-59","60+"))))</f>
        <v>30-39</v>
      </c>
    </row>
    <row r="571" spans="1:15" x14ac:dyDescent="0.25">
      <c r="A571" t="s">
        <v>1136</v>
      </c>
      <c r="B571" t="s">
        <v>1137</v>
      </c>
      <c r="C571" t="s">
        <v>21</v>
      </c>
      <c r="D571">
        <v>45</v>
      </c>
      <c r="E571" t="s">
        <v>31</v>
      </c>
      <c r="F571" t="s">
        <v>16</v>
      </c>
      <c r="G571" t="s">
        <v>53</v>
      </c>
      <c r="H571" s="1">
        <v>44815</v>
      </c>
      <c r="J571">
        <v>1146000</v>
      </c>
      <c r="K571">
        <v>0</v>
      </c>
      <c r="L571" t="s">
        <v>24</v>
      </c>
      <c r="M571">
        <f ca="1">IF(Table1[[#This Row],[Exit]]="",DATEDIF(Table1[[#This Row],[Hire]],TODAY(),"Y"),DATEDIF(Table1[[#This Row],[Hire]],Table1[[#This Row],[Exit]],"Y"))</f>
        <v>3</v>
      </c>
      <c r="N571">
        <f>FLOOR(Table1[[#This Row],[Age]],10)</f>
        <v>40</v>
      </c>
      <c r="O571" t="str">
        <f>IF(Table1[[#This Row],[Age]]&lt;30,"20-29",IF(Table1[[#This Row],[Age]]&lt;40,"30-39",IF(Table1[[#This Row],[Age]]&lt;50,"40-49",IF(Table1[[#This Row],[Age]]&lt;60,"50-59","60+"))))</f>
        <v>40-49</v>
      </c>
    </row>
    <row r="572" spans="1:15" x14ac:dyDescent="0.25">
      <c r="A572" t="s">
        <v>1138</v>
      </c>
      <c r="B572" t="s">
        <v>1139</v>
      </c>
      <c r="C572" t="s">
        <v>14</v>
      </c>
      <c r="D572">
        <v>50</v>
      </c>
      <c r="E572" t="s">
        <v>81</v>
      </c>
      <c r="F572" t="s">
        <v>49</v>
      </c>
      <c r="G572" t="s">
        <v>34</v>
      </c>
      <c r="H572" s="1">
        <v>44857</v>
      </c>
      <c r="J572">
        <v>1148000</v>
      </c>
      <c r="K572">
        <v>0.13</v>
      </c>
      <c r="L572" t="s">
        <v>24</v>
      </c>
      <c r="M572">
        <f ca="1">IF(Table1[[#This Row],[Exit]]="",DATEDIF(Table1[[#This Row],[Hire]],TODAY(),"Y"),DATEDIF(Table1[[#This Row],[Hire]],Table1[[#This Row],[Exit]],"Y"))</f>
        <v>3</v>
      </c>
      <c r="N572">
        <f>FLOOR(Table1[[#This Row],[Age]],10)</f>
        <v>50</v>
      </c>
      <c r="O572" t="str">
        <f>IF(Table1[[#This Row],[Age]]&lt;30,"20-29",IF(Table1[[#This Row],[Age]]&lt;40,"30-39",IF(Table1[[#This Row],[Age]]&lt;50,"40-49",IF(Table1[[#This Row],[Age]]&lt;60,"50-59","60+"))))</f>
        <v>50-59</v>
      </c>
    </row>
    <row r="573" spans="1:15" x14ac:dyDescent="0.25">
      <c r="A573" t="s">
        <v>217</v>
      </c>
      <c r="B573" t="s">
        <v>1140</v>
      </c>
      <c r="C573" t="s">
        <v>41</v>
      </c>
      <c r="D573">
        <v>36</v>
      </c>
      <c r="E573" t="s">
        <v>92</v>
      </c>
      <c r="F573" t="s">
        <v>59</v>
      </c>
      <c r="G573" t="s">
        <v>53</v>
      </c>
      <c r="H573" s="1">
        <v>45527</v>
      </c>
      <c r="J573">
        <v>1150000</v>
      </c>
      <c r="K573">
        <v>0</v>
      </c>
      <c r="L573" t="s">
        <v>24</v>
      </c>
      <c r="M573">
        <f ca="1">IF(Table1[[#This Row],[Exit]]="",DATEDIF(Table1[[#This Row],[Hire]],TODAY(),"Y"),DATEDIF(Table1[[#This Row],[Hire]],Table1[[#This Row],[Exit]],"Y"))</f>
        <v>1</v>
      </c>
      <c r="N573">
        <f>FLOOR(Table1[[#This Row],[Age]],10)</f>
        <v>30</v>
      </c>
      <c r="O573" t="str">
        <f>IF(Table1[[#This Row],[Age]]&lt;30,"20-29",IF(Table1[[#This Row],[Age]]&lt;40,"30-39",IF(Table1[[#This Row],[Age]]&lt;50,"40-49",IF(Table1[[#This Row],[Age]]&lt;60,"50-59","60+"))))</f>
        <v>30-39</v>
      </c>
    </row>
    <row r="574" spans="1:15" x14ac:dyDescent="0.25">
      <c r="A574" t="s">
        <v>1141</v>
      </c>
      <c r="B574" t="s">
        <v>1142</v>
      </c>
      <c r="C574" t="s">
        <v>14</v>
      </c>
      <c r="D574">
        <v>45</v>
      </c>
      <c r="E574" t="s">
        <v>81</v>
      </c>
      <c r="F574" t="s">
        <v>46</v>
      </c>
      <c r="G574" t="s">
        <v>23</v>
      </c>
      <c r="H574" s="1">
        <v>45237</v>
      </c>
      <c r="J574">
        <v>1152000</v>
      </c>
      <c r="K574">
        <v>0.05</v>
      </c>
      <c r="L574" t="s">
        <v>24</v>
      </c>
      <c r="M574">
        <f ca="1">IF(Table1[[#This Row],[Exit]]="",DATEDIF(Table1[[#This Row],[Hire]],TODAY(),"Y"),DATEDIF(Table1[[#This Row],[Hire]],Table1[[#This Row],[Exit]],"Y"))</f>
        <v>2</v>
      </c>
      <c r="N574">
        <f>FLOOR(Table1[[#This Row],[Age]],10)</f>
        <v>40</v>
      </c>
      <c r="O574" t="str">
        <f>IF(Table1[[#This Row],[Age]]&lt;30,"20-29",IF(Table1[[#This Row],[Age]]&lt;40,"30-39",IF(Table1[[#This Row],[Age]]&lt;50,"40-49",IF(Table1[[#This Row],[Age]]&lt;60,"50-59","60+"))))</f>
        <v>40-49</v>
      </c>
    </row>
    <row r="575" spans="1:15" x14ac:dyDescent="0.25">
      <c r="A575" t="s">
        <v>1143</v>
      </c>
      <c r="B575" t="s">
        <v>1144</v>
      </c>
      <c r="C575" t="s">
        <v>21</v>
      </c>
      <c r="D575">
        <v>29</v>
      </c>
      <c r="E575" t="s">
        <v>22</v>
      </c>
      <c r="F575" t="s">
        <v>16</v>
      </c>
      <c r="G575" t="s">
        <v>34</v>
      </c>
      <c r="H575" s="1">
        <v>45206</v>
      </c>
      <c r="I575" s="1">
        <v>45430</v>
      </c>
      <c r="J575">
        <v>1154000</v>
      </c>
      <c r="K575">
        <v>0.21</v>
      </c>
      <c r="L575" t="s">
        <v>18</v>
      </c>
      <c r="M575">
        <f ca="1">IF(Table1[[#This Row],[Exit]]="",DATEDIF(Table1[[#This Row],[Hire]],TODAY(),"Y"),DATEDIF(Table1[[#This Row],[Hire]],Table1[[#This Row],[Exit]],"Y"))</f>
        <v>0</v>
      </c>
      <c r="N575">
        <f>FLOOR(Table1[[#This Row],[Age]],10)</f>
        <v>20</v>
      </c>
      <c r="O575" t="str">
        <f>IF(Table1[[#This Row],[Age]]&lt;30,"20-29",IF(Table1[[#This Row],[Age]]&lt;40,"30-39",IF(Table1[[#This Row],[Age]]&lt;50,"40-49",IF(Table1[[#This Row],[Age]]&lt;60,"50-59","60+"))))</f>
        <v>20-29</v>
      </c>
    </row>
    <row r="576" spans="1:15" x14ac:dyDescent="0.25">
      <c r="A576" t="s">
        <v>1145</v>
      </c>
      <c r="B576" t="s">
        <v>1146</v>
      </c>
      <c r="C576" t="s">
        <v>41</v>
      </c>
      <c r="D576">
        <v>41</v>
      </c>
      <c r="E576" t="s">
        <v>92</v>
      </c>
      <c r="F576" t="s">
        <v>59</v>
      </c>
      <c r="G576" t="s">
        <v>34</v>
      </c>
      <c r="H576" s="1">
        <v>44677</v>
      </c>
      <c r="J576">
        <v>1156000</v>
      </c>
      <c r="K576">
        <v>0</v>
      </c>
      <c r="L576" t="s">
        <v>24</v>
      </c>
      <c r="M576">
        <f ca="1">IF(Table1[[#This Row],[Exit]]="",DATEDIF(Table1[[#This Row],[Hire]],TODAY(),"Y"),DATEDIF(Table1[[#This Row],[Hire]],Table1[[#This Row],[Exit]],"Y"))</f>
        <v>3</v>
      </c>
      <c r="N576">
        <f>FLOOR(Table1[[#This Row],[Age]],10)</f>
        <v>40</v>
      </c>
      <c r="O576" t="str">
        <f>IF(Table1[[#This Row],[Age]]&lt;30,"20-29",IF(Table1[[#This Row],[Age]]&lt;40,"30-39",IF(Table1[[#This Row],[Age]]&lt;50,"40-49",IF(Table1[[#This Row],[Age]]&lt;60,"50-59","60+"))))</f>
        <v>40-49</v>
      </c>
    </row>
    <row r="577" spans="1:15" x14ac:dyDescent="0.25">
      <c r="A577" t="s">
        <v>1147</v>
      </c>
      <c r="B577" t="s">
        <v>1148</v>
      </c>
      <c r="C577" t="s">
        <v>14</v>
      </c>
      <c r="D577">
        <v>47</v>
      </c>
      <c r="E577" t="s">
        <v>31</v>
      </c>
      <c r="F577" t="s">
        <v>16</v>
      </c>
      <c r="G577" t="s">
        <v>17</v>
      </c>
      <c r="H577" s="1">
        <v>43889</v>
      </c>
      <c r="J577">
        <v>1158000</v>
      </c>
      <c r="K577">
        <v>7.0000000000000007E-2</v>
      </c>
      <c r="L577" t="s">
        <v>24</v>
      </c>
      <c r="M577">
        <f ca="1">IF(Table1[[#This Row],[Exit]]="",DATEDIF(Table1[[#This Row],[Hire]],TODAY(),"Y"),DATEDIF(Table1[[#This Row],[Hire]],Table1[[#This Row],[Exit]],"Y"))</f>
        <v>5</v>
      </c>
      <c r="N577">
        <f>FLOOR(Table1[[#This Row],[Age]],10)</f>
        <v>40</v>
      </c>
      <c r="O577" t="str">
        <f>IF(Table1[[#This Row],[Age]]&lt;30,"20-29",IF(Table1[[#This Row],[Age]]&lt;40,"30-39",IF(Table1[[#This Row],[Age]]&lt;50,"40-49",IF(Table1[[#This Row],[Age]]&lt;60,"50-59","60+"))))</f>
        <v>40-49</v>
      </c>
    </row>
    <row r="578" spans="1:15" x14ac:dyDescent="0.25">
      <c r="A578" t="s">
        <v>1149</v>
      </c>
      <c r="B578" t="s">
        <v>1150</v>
      </c>
      <c r="C578" t="s">
        <v>21</v>
      </c>
      <c r="D578">
        <v>38</v>
      </c>
      <c r="E578" t="s">
        <v>15</v>
      </c>
      <c r="F578" t="s">
        <v>16</v>
      </c>
      <c r="G578" t="s">
        <v>17</v>
      </c>
      <c r="H578" s="1">
        <v>44116</v>
      </c>
      <c r="J578">
        <v>1160000</v>
      </c>
      <c r="K578">
        <v>0</v>
      </c>
      <c r="L578" t="s">
        <v>24</v>
      </c>
      <c r="M578">
        <f ca="1">IF(Table1[[#This Row],[Exit]]="",DATEDIF(Table1[[#This Row],[Hire]],TODAY(),"Y"),DATEDIF(Table1[[#This Row],[Hire]],Table1[[#This Row],[Exit]],"Y"))</f>
        <v>5</v>
      </c>
      <c r="N578">
        <f>FLOOR(Table1[[#This Row],[Age]],10)</f>
        <v>30</v>
      </c>
      <c r="O578" t="str">
        <f>IF(Table1[[#This Row],[Age]]&lt;30,"20-29",IF(Table1[[#This Row],[Age]]&lt;40,"30-39",IF(Table1[[#This Row],[Age]]&lt;50,"40-49",IF(Table1[[#This Row],[Age]]&lt;60,"50-59","60+"))))</f>
        <v>30-39</v>
      </c>
    </row>
    <row r="579" spans="1:15" x14ac:dyDescent="0.25">
      <c r="A579" t="s">
        <v>1151</v>
      </c>
      <c r="B579" t="s">
        <v>1152</v>
      </c>
      <c r="C579" t="s">
        <v>21</v>
      </c>
      <c r="D579">
        <v>40</v>
      </c>
      <c r="E579" t="s">
        <v>22</v>
      </c>
      <c r="F579" t="s">
        <v>16</v>
      </c>
      <c r="G579" t="s">
        <v>23</v>
      </c>
      <c r="H579" s="1">
        <v>44588</v>
      </c>
      <c r="I579" s="1">
        <v>45527</v>
      </c>
      <c r="J579">
        <v>1162000</v>
      </c>
      <c r="K579">
        <v>0</v>
      </c>
      <c r="L579" t="s">
        <v>18</v>
      </c>
      <c r="M579">
        <f ca="1">IF(Table1[[#This Row],[Exit]]="",DATEDIF(Table1[[#This Row],[Hire]],TODAY(),"Y"),DATEDIF(Table1[[#This Row],[Hire]],Table1[[#This Row],[Exit]],"Y"))</f>
        <v>2</v>
      </c>
      <c r="N579">
        <f>FLOOR(Table1[[#This Row],[Age]],10)</f>
        <v>40</v>
      </c>
      <c r="O579" t="str">
        <f>IF(Table1[[#This Row],[Age]]&lt;30,"20-29",IF(Table1[[#This Row],[Age]]&lt;40,"30-39",IF(Table1[[#This Row],[Age]]&lt;50,"40-49",IF(Table1[[#This Row],[Age]]&lt;60,"50-59","60+"))))</f>
        <v>40-49</v>
      </c>
    </row>
    <row r="580" spans="1:15" x14ac:dyDescent="0.25">
      <c r="A580" t="s">
        <v>1153</v>
      </c>
      <c r="B580" t="s">
        <v>1154</v>
      </c>
      <c r="C580" t="s">
        <v>21</v>
      </c>
      <c r="D580">
        <v>45</v>
      </c>
      <c r="E580" t="s">
        <v>27</v>
      </c>
      <c r="F580" t="s">
        <v>28</v>
      </c>
      <c r="G580" t="s">
        <v>17</v>
      </c>
      <c r="H580" s="1">
        <v>45337</v>
      </c>
      <c r="J580">
        <v>1164000</v>
      </c>
      <c r="K580">
        <v>0.28000000000000003</v>
      </c>
      <c r="L580" t="s">
        <v>24</v>
      </c>
      <c r="M580">
        <f ca="1">IF(Table1[[#This Row],[Exit]]="",DATEDIF(Table1[[#This Row],[Hire]],TODAY(),"Y"),DATEDIF(Table1[[#This Row],[Hire]],Table1[[#This Row],[Exit]],"Y"))</f>
        <v>1</v>
      </c>
      <c r="N580">
        <f>FLOOR(Table1[[#This Row],[Age]],10)</f>
        <v>40</v>
      </c>
      <c r="O580" t="str">
        <f>IF(Table1[[#This Row],[Age]]&lt;30,"20-29",IF(Table1[[#This Row],[Age]]&lt;40,"30-39",IF(Table1[[#This Row],[Age]]&lt;50,"40-49",IF(Table1[[#This Row],[Age]]&lt;60,"50-59","60+"))))</f>
        <v>40-49</v>
      </c>
    </row>
    <row r="581" spans="1:15" x14ac:dyDescent="0.25">
      <c r="A581" t="s">
        <v>1155</v>
      </c>
      <c r="B581" t="s">
        <v>1156</v>
      </c>
      <c r="C581" t="s">
        <v>21</v>
      </c>
      <c r="D581">
        <v>51</v>
      </c>
      <c r="E581" t="s">
        <v>31</v>
      </c>
      <c r="F581" t="s">
        <v>16</v>
      </c>
      <c r="G581" t="s">
        <v>23</v>
      </c>
      <c r="H581" s="1">
        <v>45332</v>
      </c>
      <c r="J581">
        <v>1166000</v>
      </c>
      <c r="K581">
        <v>0</v>
      </c>
      <c r="L581" t="s">
        <v>24</v>
      </c>
      <c r="M581">
        <f ca="1">IF(Table1[[#This Row],[Exit]]="",DATEDIF(Table1[[#This Row],[Hire]],TODAY(),"Y"),DATEDIF(Table1[[#This Row],[Hire]],Table1[[#This Row],[Exit]],"Y"))</f>
        <v>1</v>
      </c>
      <c r="N581">
        <f>FLOOR(Table1[[#This Row],[Age]],10)</f>
        <v>50</v>
      </c>
      <c r="O581" t="str">
        <f>IF(Table1[[#This Row],[Age]]&lt;30,"20-29",IF(Table1[[#This Row],[Age]]&lt;40,"30-39",IF(Table1[[#This Row],[Age]]&lt;50,"40-49",IF(Table1[[#This Row],[Age]]&lt;60,"50-59","60+"))))</f>
        <v>50-59</v>
      </c>
    </row>
    <row r="582" spans="1:15" x14ac:dyDescent="0.25">
      <c r="A582" t="s">
        <v>258</v>
      </c>
      <c r="B582" t="s">
        <v>1157</v>
      </c>
      <c r="C582" t="s">
        <v>14</v>
      </c>
      <c r="D582">
        <v>35</v>
      </c>
      <c r="E582" t="s">
        <v>27</v>
      </c>
      <c r="F582" t="s">
        <v>28</v>
      </c>
      <c r="G582" t="s">
        <v>34</v>
      </c>
      <c r="H582" s="1">
        <v>44183</v>
      </c>
      <c r="J582">
        <v>1168000</v>
      </c>
      <c r="K582">
        <v>0.12</v>
      </c>
      <c r="L582" t="s">
        <v>24</v>
      </c>
      <c r="M582">
        <f ca="1">IF(Table1[[#This Row],[Exit]]="",DATEDIF(Table1[[#This Row],[Hire]],TODAY(),"Y"),DATEDIF(Table1[[#This Row],[Hire]],Table1[[#This Row],[Exit]],"Y"))</f>
        <v>5</v>
      </c>
      <c r="N582">
        <f>FLOOR(Table1[[#This Row],[Age]],10)</f>
        <v>30</v>
      </c>
      <c r="O582" t="str">
        <f>IF(Table1[[#This Row],[Age]]&lt;30,"20-29",IF(Table1[[#This Row],[Age]]&lt;40,"30-39",IF(Table1[[#This Row],[Age]]&lt;50,"40-49",IF(Table1[[#This Row],[Age]]&lt;60,"50-59","60+"))))</f>
        <v>30-39</v>
      </c>
    </row>
    <row r="583" spans="1:15" x14ac:dyDescent="0.25">
      <c r="A583" t="s">
        <v>1158</v>
      </c>
      <c r="B583" t="s">
        <v>1159</v>
      </c>
      <c r="C583" t="s">
        <v>21</v>
      </c>
      <c r="D583">
        <v>51</v>
      </c>
      <c r="E583" t="s">
        <v>15</v>
      </c>
      <c r="F583" t="s">
        <v>16</v>
      </c>
      <c r="G583" t="s">
        <v>23</v>
      </c>
      <c r="H583" s="1">
        <v>43837</v>
      </c>
      <c r="J583">
        <v>1170000</v>
      </c>
      <c r="K583">
        <v>0.13</v>
      </c>
      <c r="L583" t="s">
        <v>24</v>
      </c>
      <c r="M583">
        <f ca="1">IF(Table1[[#This Row],[Exit]]="",DATEDIF(Table1[[#This Row],[Hire]],TODAY(),"Y"),DATEDIF(Table1[[#This Row],[Hire]],Table1[[#This Row],[Exit]],"Y"))</f>
        <v>6</v>
      </c>
      <c r="N583">
        <f>FLOOR(Table1[[#This Row],[Age]],10)</f>
        <v>50</v>
      </c>
      <c r="O583" t="str">
        <f>IF(Table1[[#This Row],[Age]]&lt;30,"20-29",IF(Table1[[#This Row],[Age]]&lt;40,"30-39",IF(Table1[[#This Row],[Age]]&lt;50,"40-49",IF(Table1[[#This Row],[Age]]&lt;60,"50-59","60+"))))</f>
        <v>50-59</v>
      </c>
    </row>
    <row r="584" spans="1:15" x14ac:dyDescent="0.25">
      <c r="A584" t="s">
        <v>1160</v>
      </c>
      <c r="B584" t="s">
        <v>1161</v>
      </c>
      <c r="C584" t="s">
        <v>14</v>
      </c>
      <c r="D584">
        <v>35</v>
      </c>
      <c r="E584" t="s">
        <v>15</v>
      </c>
      <c r="F584" t="s">
        <v>16</v>
      </c>
      <c r="G584" t="s">
        <v>34</v>
      </c>
      <c r="H584" s="1">
        <v>45206</v>
      </c>
      <c r="J584">
        <v>1172000</v>
      </c>
      <c r="K584">
        <v>0.06</v>
      </c>
      <c r="L584" t="s">
        <v>24</v>
      </c>
      <c r="M584">
        <f ca="1">IF(Table1[[#This Row],[Exit]]="",DATEDIF(Table1[[#This Row],[Hire]],TODAY(),"Y"),DATEDIF(Table1[[#This Row],[Hire]],Table1[[#This Row],[Exit]],"Y"))</f>
        <v>2</v>
      </c>
      <c r="N584">
        <f>FLOOR(Table1[[#This Row],[Age]],10)</f>
        <v>30</v>
      </c>
      <c r="O584" t="str">
        <f>IF(Table1[[#This Row],[Age]]&lt;30,"20-29",IF(Table1[[#This Row],[Age]]&lt;40,"30-39",IF(Table1[[#This Row],[Age]]&lt;50,"40-49",IF(Table1[[#This Row],[Age]]&lt;60,"50-59","60+"))))</f>
        <v>30-39</v>
      </c>
    </row>
    <row r="585" spans="1:15" x14ac:dyDescent="0.25">
      <c r="A585" t="s">
        <v>1162</v>
      </c>
      <c r="B585" t="s">
        <v>1163</v>
      </c>
      <c r="C585" t="s">
        <v>14</v>
      </c>
      <c r="D585">
        <v>31</v>
      </c>
      <c r="E585" t="s">
        <v>42</v>
      </c>
      <c r="F585" t="s">
        <v>43</v>
      </c>
      <c r="G585" t="s">
        <v>34</v>
      </c>
      <c r="H585" s="1">
        <v>44487</v>
      </c>
      <c r="J585">
        <v>1174000</v>
      </c>
      <c r="K585">
        <v>0.39</v>
      </c>
      <c r="L585" t="s">
        <v>24</v>
      </c>
      <c r="M585">
        <f ca="1">IF(Table1[[#This Row],[Exit]]="",DATEDIF(Table1[[#This Row],[Hire]],TODAY(),"Y"),DATEDIF(Table1[[#This Row],[Hire]],Table1[[#This Row],[Exit]],"Y"))</f>
        <v>4</v>
      </c>
      <c r="N585">
        <f>FLOOR(Table1[[#This Row],[Age]],10)</f>
        <v>30</v>
      </c>
      <c r="O585" t="str">
        <f>IF(Table1[[#This Row],[Age]]&lt;30,"20-29",IF(Table1[[#This Row],[Age]]&lt;40,"30-39",IF(Table1[[#This Row],[Age]]&lt;50,"40-49",IF(Table1[[#This Row],[Age]]&lt;60,"50-59","60+"))))</f>
        <v>30-39</v>
      </c>
    </row>
    <row r="586" spans="1:15" x14ac:dyDescent="0.25">
      <c r="A586" t="s">
        <v>1164</v>
      </c>
      <c r="B586" t="s">
        <v>1165</v>
      </c>
      <c r="C586" t="s">
        <v>14</v>
      </c>
      <c r="D586">
        <v>31</v>
      </c>
      <c r="E586" t="s">
        <v>42</v>
      </c>
      <c r="F586" t="s">
        <v>46</v>
      </c>
      <c r="G586" t="s">
        <v>23</v>
      </c>
      <c r="H586" s="1">
        <v>44791</v>
      </c>
      <c r="J586">
        <v>1176000</v>
      </c>
      <c r="K586">
        <v>0</v>
      </c>
      <c r="L586" t="s">
        <v>24</v>
      </c>
      <c r="M586">
        <f ca="1">IF(Table1[[#This Row],[Exit]]="",DATEDIF(Table1[[#This Row],[Hire]],TODAY(),"Y"),DATEDIF(Table1[[#This Row],[Hire]],Table1[[#This Row],[Exit]],"Y"))</f>
        <v>3</v>
      </c>
      <c r="N586">
        <f>FLOOR(Table1[[#This Row],[Age]],10)</f>
        <v>30</v>
      </c>
      <c r="O586" t="str">
        <f>IF(Table1[[#This Row],[Age]]&lt;30,"20-29",IF(Table1[[#This Row],[Age]]&lt;40,"30-39",IF(Table1[[#This Row],[Age]]&lt;50,"40-49",IF(Table1[[#This Row],[Age]]&lt;60,"50-59","60+"))))</f>
        <v>30-39</v>
      </c>
    </row>
    <row r="587" spans="1:15" x14ac:dyDescent="0.25">
      <c r="A587" t="s">
        <v>1166</v>
      </c>
      <c r="B587" t="s">
        <v>1167</v>
      </c>
      <c r="C587" t="s">
        <v>14</v>
      </c>
      <c r="D587">
        <v>31</v>
      </c>
      <c r="E587" t="s">
        <v>42</v>
      </c>
      <c r="F587" t="s">
        <v>49</v>
      </c>
      <c r="G587" t="s">
        <v>17</v>
      </c>
      <c r="H587" s="1">
        <v>45440</v>
      </c>
      <c r="J587">
        <v>1178000</v>
      </c>
      <c r="K587">
        <v>0.1</v>
      </c>
      <c r="L587" t="s">
        <v>24</v>
      </c>
      <c r="M587">
        <f ca="1">IF(Table1[[#This Row],[Exit]]="",DATEDIF(Table1[[#This Row],[Hire]],TODAY(),"Y"),DATEDIF(Table1[[#This Row],[Hire]],Table1[[#This Row],[Exit]],"Y"))</f>
        <v>1</v>
      </c>
      <c r="N587">
        <f>FLOOR(Table1[[#This Row],[Age]],10)</f>
        <v>30</v>
      </c>
      <c r="O587" t="str">
        <f>IF(Table1[[#This Row],[Age]]&lt;30,"20-29",IF(Table1[[#This Row],[Age]]&lt;40,"30-39",IF(Table1[[#This Row],[Age]]&lt;50,"40-49",IF(Table1[[#This Row],[Age]]&lt;60,"50-59","60+"))))</f>
        <v>30-39</v>
      </c>
    </row>
    <row r="588" spans="1:15" x14ac:dyDescent="0.25">
      <c r="A588" t="s">
        <v>111</v>
      </c>
      <c r="B588" t="s">
        <v>1168</v>
      </c>
      <c r="C588" t="s">
        <v>21</v>
      </c>
      <c r="D588">
        <v>51</v>
      </c>
      <c r="E588" t="s">
        <v>52</v>
      </c>
      <c r="F588" t="s">
        <v>16</v>
      </c>
      <c r="G588" t="s">
        <v>53</v>
      </c>
      <c r="H588" s="1">
        <v>44811</v>
      </c>
      <c r="J588">
        <v>1180000</v>
      </c>
      <c r="K588">
        <v>0</v>
      </c>
      <c r="L588" t="s">
        <v>24</v>
      </c>
      <c r="M588">
        <f ca="1">IF(Table1[[#This Row],[Exit]]="",DATEDIF(Table1[[#This Row],[Hire]],TODAY(),"Y"),DATEDIF(Table1[[#This Row],[Hire]],Table1[[#This Row],[Exit]],"Y"))</f>
        <v>3</v>
      </c>
      <c r="N588">
        <f>FLOOR(Table1[[#This Row],[Age]],10)</f>
        <v>50</v>
      </c>
      <c r="O588" t="str">
        <f>IF(Table1[[#This Row],[Age]]&lt;30,"20-29",IF(Table1[[#This Row],[Age]]&lt;40,"30-39",IF(Table1[[#This Row],[Age]]&lt;50,"40-49",IF(Table1[[#This Row],[Age]]&lt;60,"50-59","60+"))))</f>
        <v>50-59</v>
      </c>
    </row>
    <row r="589" spans="1:15" x14ac:dyDescent="0.25">
      <c r="A589" t="s">
        <v>1169</v>
      </c>
      <c r="B589" t="s">
        <v>1170</v>
      </c>
      <c r="C589" t="s">
        <v>14</v>
      </c>
      <c r="D589">
        <v>36</v>
      </c>
      <c r="E589" t="s">
        <v>42</v>
      </c>
      <c r="F589" t="s">
        <v>46</v>
      </c>
      <c r="G589" t="s">
        <v>53</v>
      </c>
      <c r="H589" s="1">
        <v>44564</v>
      </c>
      <c r="I589" s="1">
        <v>45206</v>
      </c>
      <c r="J589">
        <v>1182000</v>
      </c>
      <c r="K589">
        <v>0</v>
      </c>
      <c r="L589" t="s">
        <v>18</v>
      </c>
      <c r="M589">
        <f ca="1">IF(Table1[[#This Row],[Exit]]="",DATEDIF(Table1[[#This Row],[Hire]],TODAY(),"Y"),DATEDIF(Table1[[#This Row],[Hire]],Table1[[#This Row],[Exit]],"Y"))</f>
        <v>1</v>
      </c>
      <c r="N589">
        <f>FLOOR(Table1[[#This Row],[Age]],10)</f>
        <v>30</v>
      </c>
      <c r="O589" t="str">
        <f>IF(Table1[[#This Row],[Age]]&lt;30,"20-29",IF(Table1[[#This Row],[Age]]&lt;40,"30-39",IF(Table1[[#This Row],[Age]]&lt;50,"40-49",IF(Table1[[#This Row],[Age]]&lt;60,"50-59","60+"))))</f>
        <v>30-39</v>
      </c>
    </row>
    <row r="590" spans="1:15" x14ac:dyDescent="0.25">
      <c r="A590" t="s">
        <v>1171</v>
      </c>
      <c r="B590" t="s">
        <v>1172</v>
      </c>
      <c r="C590" t="s">
        <v>21</v>
      </c>
      <c r="D590">
        <v>45</v>
      </c>
      <c r="E590" t="s">
        <v>58</v>
      </c>
      <c r="F590" t="s">
        <v>59</v>
      </c>
      <c r="G590" t="s">
        <v>34</v>
      </c>
      <c r="H590" s="1">
        <v>45074</v>
      </c>
      <c r="J590">
        <v>1184000</v>
      </c>
      <c r="K590">
        <v>7.0000000000000007E-2</v>
      </c>
      <c r="L590" t="s">
        <v>24</v>
      </c>
      <c r="M590">
        <f ca="1">IF(Table1[[#This Row],[Exit]]="",DATEDIF(Table1[[#This Row],[Hire]],TODAY(),"Y"),DATEDIF(Table1[[#This Row],[Hire]],Table1[[#This Row],[Exit]],"Y"))</f>
        <v>2</v>
      </c>
      <c r="N590">
        <f>FLOOR(Table1[[#This Row],[Age]],10)</f>
        <v>40</v>
      </c>
      <c r="O590" t="str">
        <f>IF(Table1[[#This Row],[Age]]&lt;30,"20-29",IF(Table1[[#This Row],[Age]]&lt;40,"30-39",IF(Table1[[#This Row],[Age]]&lt;50,"40-49",IF(Table1[[#This Row],[Age]]&lt;60,"50-59","60+"))))</f>
        <v>40-49</v>
      </c>
    </row>
    <row r="591" spans="1:15" x14ac:dyDescent="0.25">
      <c r="A591" t="s">
        <v>1096</v>
      </c>
      <c r="B591" t="s">
        <v>1173</v>
      </c>
      <c r="C591" t="s">
        <v>14</v>
      </c>
      <c r="D591">
        <v>37</v>
      </c>
      <c r="E591" t="s">
        <v>52</v>
      </c>
      <c r="F591" t="s">
        <v>16</v>
      </c>
      <c r="G591" t="s">
        <v>23</v>
      </c>
      <c r="H591" s="1">
        <v>45245</v>
      </c>
      <c r="J591">
        <v>1186000</v>
      </c>
      <c r="K591">
        <v>0</v>
      </c>
      <c r="L591" t="s">
        <v>24</v>
      </c>
      <c r="M591">
        <f ca="1">IF(Table1[[#This Row],[Exit]]="",DATEDIF(Table1[[#This Row],[Hire]],TODAY(),"Y"),DATEDIF(Table1[[#This Row],[Hire]],Table1[[#This Row],[Exit]],"Y"))</f>
        <v>2</v>
      </c>
      <c r="N591">
        <f>FLOOR(Table1[[#This Row],[Age]],10)</f>
        <v>30</v>
      </c>
      <c r="O591" t="str">
        <f>IF(Table1[[#This Row],[Age]]&lt;30,"20-29",IF(Table1[[#This Row],[Age]]&lt;40,"30-39",IF(Table1[[#This Row],[Age]]&lt;50,"40-49",IF(Table1[[#This Row],[Age]]&lt;60,"50-59","60+"))))</f>
        <v>30-39</v>
      </c>
    </row>
    <row r="592" spans="1:15" x14ac:dyDescent="0.25">
      <c r="A592" t="s">
        <v>918</v>
      </c>
      <c r="B592" t="s">
        <v>1174</v>
      </c>
      <c r="C592" t="s">
        <v>21</v>
      </c>
      <c r="D592">
        <v>37</v>
      </c>
      <c r="E592" t="s">
        <v>52</v>
      </c>
      <c r="F592" t="s">
        <v>16</v>
      </c>
      <c r="G592" t="s">
        <v>34</v>
      </c>
      <c r="H592" s="1">
        <v>43851</v>
      </c>
      <c r="J592">
        <v>1188000</v>
      </c>
      <c r="K592">
        <v>0</v>
      </c>
      <c r="L592" t="s">
        <v>24</v>
      </c>
      <c r="M592">
        <f ca="1">IF(Table1[[#This Row],[Exit]]="",DATEDIF(Table1[[#This Row],[Hire]],TODAY(),"Y"),DATEDIF(Table1[[#This Row],[Hire]],Table1[[#This Row],[Exit]],"Y"))</f>
        <v>6</v>
      </c>
      <c r="N592">
        <f>FLOOR(Table1[[#This Row],[Age]],10)</f>
        <v>30</v>
      </c>
      <c r="O592" t="str">
        <f>IF(Table1[[#This Row],[Age]]&lt;30,"20-29",IF(Table1[[#This Row],[Age]]&lt;40,"30-39",IF(Table1[[#This Row],[Age]]&lt;50,"40-49",IF(Table1[[#This Row],[Age]]&lt;60,"50-59","60+"))))</f>
        <v>30-39</v>
      </c>
    </row>
    <row r="593" spans="1:15" x14ac:dyDescent="0.25">
      <c r="A593" t="s">
        <v>1175</v>
      </c>
      <c r="B593" t="s">
        <v>1176</v>
      </c>
      <c r="C593" t="s">
        <v>21</v>
      </c>
      <c r="D593">
        <v>47</v>
      </c>
      <c r="E593" t="s">
        <v>66</v>
      </c>
      <c r="F593" t="s">
        <v>16</v>
      </c>
      <c r="G593" t="s">
        <v>17</v>
      </c>
      <c r="H593" s="1">
        <v>45206</v>
      </c>
      <c r="J593">
        <v>1190000</v>
      </c>
      <c r="K593">
        <v>0</v>
      </c>
      <c r="L593" t="s">
        <v>24</v>
      </c>
      <c r="M593">
        <f ca="1">IF(Table1[[#This Row],[Exit]]="",DATEDIF(Table1[[#This Row],[Hire]],TODAY(),"Y"),DATEDIF(Table1[[#This Row],[Hire]],Table1[[#This Row],[Exit]],"Y"))</f>
        <v>2</v>
      </c>
      <c r="N593">
        <f>FLOOR(Table1[[#This Row],[Age]],10)</f>
        <v>40</v>
      </c>
      <c r="O593" t="str">
        <f>IF(Table1[[#This Row],[Age]]&lt;30,"20-29",IF(Table1[[#This Row],[Age]]&lt;40,"30-39",IF(Table1[[#This Row],[Age]]&lt;50,"40-49",IF(Table1[[#This Row],[Age]]&lt;60,"50-59","60+"))))</f>
        <v>40-49</v>
      </c>
    </row>
    <row r="594" spans="1:15" x14ac:dyDescent="0.25">
      <c r="A594" t="s">
        <v>1177</v>
      </c>
      <c r="B594" t="s">
        <v>1178</v>
      </c>
      <c r="C594" t="s">
        <v>41</v>
      </c>
      <c r="D594">
        <v>36</v>
      </c>
      <c r="E594" t="s">
        <v>58</v>
      </c>
      <c r="F594" t="s">
        <v>59</v>
      </c>
      <c r="G594" t="s">
        <v>23</v>
      </c>
      <c r="H594" s="1">
        <v>45401</v>
      </c>
      <c r="J594">
        <v>1192000</v>
      </c>
      <c r="K594">
        <v>0.1</v>
      </c>
      <c r="L594" t="s">
        <v>24</v>
      </c>
      <c r="M594">
        <f ca="1">IF(Table1[[#This Row],[Exit]]="",DATEDIF(Table1[[#This Row],[Hire]],TODAY(),"Y"),DATEDIF(Table1[[#This Row],[Hire]],Table1[[#This Row],[Exit]],"Y"))</f>
        <v>1</v>
      </c>
      <c r="N594">
        <f>FLOOR(Table1[[#This Row],[Age]],10)</f>
        <v>30</v>
      </c>
      <c r="O594" t="str">
        <f>IF(Table1[[#This Row],[Age]]&lt;30,"20-29",IF(Table1[[#This Row],[Age]]&lt;40,"30-39",IF(Table1[[#This Row],[Age]]&lt;50,"40-49",IF(Table1[[#This Row],[Age]]&lt;60,"50-59","60+"))))</f>
        <v>30-39</v>
      </c>
    </row>
    <row r="595" spans="1:15" x14ac:dyDescent="0.25">
      <c r="A595" t="s">
        <v>1179</v>
      </c>
      <c r="B595" t="s">
        <v>1180</v>
      </c>
      <c r="C595" t="s">
        <v>14</v>
      </c>
      <c r="D595">
        <v>41</v>
      </c>
      <c r="E595" t="s">
        <v>66</v>
      </c>
      <c r="F595" t="s">
        <v>16</v>
      </c>
      <c r="G595" t="s">
        <v>34</v>
      </c>
      <c r="H595" s="1">
        <v>44083</v>
      </c>
      <c r="J595">
        <v>1194000</v>
      </c>
      <c r="K595">
        <v>0.09</v>
      </c>
      <c r="L595" t="s">
        <v>24</v>
      </c>
      <c r="M595">
        <f ca="1">IF(Table1[[#This Row],[Exit]]="",DATEDIF(Table1[[#This Row],[Hire]],TODAY(),"Y"),DATEDIF(Table1[[#This Row],[Hire]],Table1[[#This Row],[Exit]],"Y"))</f>
        <v>5</v>
      </c>
      <c r="N595">
        <f>FLOOR(Table1[[#This Row],[Age]],10)</f>
        <v>40</v>
      </c>
      <c r="O595" t="str">
        <f>IF(Table1[[#This Row],[Age]]&lt;30,"20-29",IF(Table1[[#This Row],[Age]]&lt;40,"30-39",IF(Table1[[#This Row],[Age]]&lt;50,"40-49",IF(Table1[[#This Row],[Age]]&lt;60,"50-59","60+"))))</f>
        <v>40-49</v>
      </c>
    </row>
    <row r="596" spans="1:15" x14ac:dyDescent="0.25">
      <c r="A596" t="s">
        <v>967</v>
      </c>
      <c r="B596" t="s">
        <v>1181</v>
      </c>
      <c r="C596" t="s">
        <v>41</v>
      </c>
      <c r="D596">
        <v>51</v>
      </c>
      <c r="E596" t="s">
        <v>66</v>
      </c>
      <c r="F596" t="s">
        <v>16</v>
      </c>
      <c r="G596" t="s">
        <v>53</v>
      </c>
      <c r="H596" s="1">
        <v>45233</v>
      </c>
      <c r="J596">
        <v>1196000</v>
      </c>
      <c r="K596">
        <v>0.3</v>
      </c>
      <c r="L596" t="s">
        <v>24</v>
      </c>
      <c r="M596">
        <f ca="1">IF(Table1[[#This Row],[Exit]]="",DATEDIF(Table1[[#This Row],[Hire]],TODAY(),"Y"),DATEDIF(Table1[[#This Row],[Hire]],Table1[[#This Row],[Exit]],"Y"))</f>
        <v>2</v>
      </c>
      <c r="N596">
        <f>FLOOR(Table1[[#This Row],[Age]],10)</f>
        <v>50</v>
      </c>
      <c r="O596" t="str">
        <f>IF(Table1[[#This Row],[Age]]&lt;30,"20-29",IF(Table1[[#This Row],[Age]]&lt;40,"30-39",IF(Table1[[#This Row],[Age]]&lt;50,"40-49",IF(Table1[[#This Row],[Age]]&lt;60,"50-59","60+"))))</f>
        <v>50-59</v>
      </c>
    </row>
    <row r="597" spans="1:15" x14ac:dyDescent="0.25">
      <c r="A597" t="s">
        <v>121</v>
      </c>
      <c r="B597" t="s">
        <v>1182</v>
      </c>
      <c r="C597" t="s">
        <v>14</v>
      </c>
      <c r="D597">
        <v>41</v>
      </c>
      <c r="E597" t="s">
        <v>58</v>
      </c>
      <c r="F597" t="s">
        <v>59</v>
      </c>
      <c r="G597" t="s">
        <v>53</v>
      </c>
      <c r="H597" s="1">
        <v>45412</v>
      </c>
      <c r="J597">
        <v>1198000</v>
      </c>
      <c r="K597">
        <v>0.23</v>
      </c>
      <c r="L597" t="s">
        <v>24</v>
      </c>
      <c r="M597">
        <f ca="1">IF(Table1[[#This Row],[Exit]]="",DATEDIF(Table1[[#This Row],[Hire]],TODAY(),"Y"),DATEDIF(Table1[[#This Row],[Hire]],Table1[[#This Row],[Exit]],"Y"))</f>
        <v>1</v>
      </c>
      <c r="N597">
        <f>FLOOR(Table1[[#This Row],[Age]],10)</f>
        <v>40</v>
      </c>
      <c r="O597" t="str">
        <f>IF(Table1[[#This Row],[Age]]&lt;30,"20-29",IF(Table1[[#This Row],[Age]]&lt;40,"30-39",IF(Table1[[#This Row],[Age]]&lt;50,"40-49",IF(Table1[[#This Row],[Age]]&lt;60,"50-59","60+"))))</f>
        <v>40-49</v>
      </c>
    </row>
    <row r="598" spans="1:15" x14ac:dyDescent="0.25">
      <c r="A598" t="s">
        <v>1183</v>
      </c>
      <c r="B598" t="s">
        <v>1184</v>
      </c>
      <c r="C598" t="s">
        <v>21</v>
      </c>
      <c r="D598">
        <v>38</v>
      </c>
      <c r="E598" t="s">
        <v>15</v>
      </c>
      <c r="F598" t="s">
        <v>16</v>
      </c>
      <c r="G598" t="s">
        <v>53</v>
      </c>
      <c r="H598" s="1">
        <v>43887</v>
      </c>
      <c r="J598">
        <v>1200000</v>
      </c>
      <c r="K598">
        <v>0</v>
      </c>
      <c r="L598" t="s">
        <v>24</v>
      </c>
      <c r="M598">
        <f ca="1">IF(Table1[[#This Row],[Exit]]="",DATEDIF(Table1[[#This Row],[Hire]],TODAY(),"Y"),DATEDIF(Table1[[#This Row],[Hire]],Table1[[#This Row],[Exit]],"Y"))</f>
        <v>5</v>
      </c>
      <c r="N598">
        <f>FLOOR(Table1[[#This Row],[Age]],10)</f>
        <v>30</v>
      </c>
      <c r="O598" t="str">
        <f>IF(Table1[[#This Row],[Age]]&lt;30,"20-29",IF(Table1[[#This Row],[Age]]&lt;40,"30-39",IF(Table1[[#This Row],[Age]]&lt;50,"40-49",IF(Table1[[#This Row],[Age]]&lt;60,"50-59","60+"))))</f>
        <v>30-39</v>
      </c>
    </row>
    <row r="599" spans="1:15" x14ac:dyDescent="0.25">
      <c r="A599" t="s">
        <v>1185</v>
      </c>
      <c r="B599" t="s">
        <v>1186</v>
      </c>
      <c r="C599" t="s">
        <v>21</v>
      </c>
      <c r="D599">
        <v>51</v>
      </c>
      <c r="E599" t="s">
        <v>22</v>
      </c>
      <c r="F599" t="s">
        <v>16</v>
      </c>
      <c r="G599" t="s">
        <v>53</v>
      </c>
      <c r="H599" s="1">
        <v>44815</v>
      </c>
      <c r="J599">
        <v>1202000</v>
      </c>
      <c r="K599">
        <v>0</v>
      </c>
      <c r="L599" t="s">
        <v>24</v>
      </c>
      <c r="M599">
        <f ca="1">IF(Table1[[#This Row],[Exit]]="",DATEDIF(Table1[[#This Row],[Hire]],TODAY(),"Y"),DATEDIF(Table1[[#This Row],[Hire]],Table1[[#This Row],[Exit]],"Y"))</f>
        <v>3</v>
      </c>
      <c r="N599">
        <f>FLOOR(Table1[[#This Row],[Age]],10)</f>
        <v>50</v>
      </c>
      <c r="O599" t="str">
        <f>IF(Table1[[#This Row],[Age]]&lt;30,"20-29",IF(Table1[[#This Row],[Age]]&lt;40,"30-39",IF(Table1[[#This Row],[Age]]&lt;50,"40-49",IF(Table1[[#This Row],[Age]]&lt;60,"50-59","60+"))))</f>
        <v>50-59</v>
      </c>
    </row>
    <row r="600" spans="1:15" x14ac:dyDescent="0.25">
      <c r="A600" t="s">
        <v>1187</v>
      </c>
      <c r="B600" t="s">
        <v>1188</v>
      </c>
      <c r="C600" t="s">
        <v>21</v>
      </c>
      <c r="D600">
        <v>39</v>
      </c>
      <c r="E600" t="s">
        <v>81</v>
      </c>
      <c r="F600" t="s">
        <v>43</v>
      </c>
      <c r="G600" t="s">
        <v>53</v>
      </c>
      <c r="H600" s="1">
        <v>45430</v>
      </c>
      <c r="J600">
        <v>1204000</v>
      </c>
      <c r="K600">
        <v>0</v>
      </c>
      <c r="L600" t="s">
        <v>24</v>
      </c>
      <c r="M600">
        <f ca="1">IF(Table1[[#This Row],[Exit]]="",DATEDIF(Table1[[#This Row],[Hire]],TODAY(),"Y"),DATEDIF(Table1[[#This Row],[Hire]],Table1[[#This Row],[Exit]],"Y"))</f>
        <v>1</v>
      </c>
      <c r="N600">
        <f>FLOOR(Table1[[#This Row],[Age]],10)</f>
        <v>30</v>
      </c>
      <c r="O600" t="str">
        <f>IF(Table1[[#This Row],[Age]]&lt;30,"20-29",IF(Table1[[#This Row],[Age]]&lt;40,"30-39",IF(Table1[[#This Row],[Age]]&lt;50,"40-49",IF(Table1[[#This Row],[Age]]&lt;60,"50-59","60+"))))</f>
        <v>30-39</v>
      </c>
    </row>
    <row r="601" spans="1:15" x14ac:dyDescent="0.25">
      <c r="A601" t="s">
        <v>1189</v>
      </c>
      <c r="B601" t="s">
        <v>1190</v>
      </c>
      <c r="C601" t="s">
        <v>21</v>
      </c>
      <c r="D601">
        <v>31</v>
      </c>
      <c r="E601" t="s">
        <v>52</v>
      </c>
      <c r="F601" t="s">
        <v>16</v>
      </c>
      <c r="G601" t="s">
        <v>17</v>
      </c>
      <c r="H601" s="1">
        <v>44509</v>
      </c>
      <c r="J601">
        <v>1206000</v>
      </c>
      <c r="K601">
        <v>0</v>
      </c>
      <c r="L601" t="s">
        <v>24</v>
      </c>
      <c r="M601">
        <f ca="1">IF(Table1[[#This Row],[Exit]]="",DATEDIF(Table1[[#This Row],[Hire]],TODAY(),"Y"),DATEDIF(Table1[[#This Row],[Hire]],Table1[[#This Row],[Exit]],"Y"))</f>
        <v>4</v>
      </c>
      <c r="N601">
        <f>FLOOR(Table1[[#This Row],[Age]],10)</f>
        <v>30</v>
      </c>
      <c r="O601" t="str">
        <f>IF(Table1[[#This Row],[Age]]&lt;30,"20-29",IF(Table1[[#This Row],[Age]]&lt;40,"30-39",IF(Table1[[#This Row],[Age]]&lt;50,"40-49",IF(Table1[[#This Row],[Age]]&lt;60,"50-59","60+"))))</f>
        <v>30-39</v>
      </c>
    </row>
    <row r="602" spans="1:15" x14ac:dyDescent="0.25">
      <c r="A602" t="s">
        <v>1191</v>
      </c>
      <c r="B602" t="s">
        <v>1192</v>
      </c>
      <c r="C602" t="s">
        <v>21</v>
      </c>
      <c r="D602">
        <v>45</v>
      </c>
      <c r="E602" t="s">
        <v>66</v>
      </c>
      <c r="F602" t="s">
        <v>16</v>
      </c>
      <c r="G602" t="s">
        <v>23</v>
      </c>
      <c r="H602" s="1">
        <v>43963</v>
      </c>
      <c r="J602">
        <v>1208000</v>
      </c>
      <c r="K602">
        <v>0.11</v>
      </c>
      <c r="L602" t="s">
        <v>24</v>
      </c>
      <c r="M602">
        <f ca="1">IF(Table1[[#This Row],[Exit]]="",DATEDIF(Table1[[#This Row],[Hire]],TODAY(),"Y"),DATEDIF(Table1[[#This Row],[Hire]],Table1[[#This Row],[Exit]],"Y"))</f>
        <v>5</v>
      </c>
      <c r="N602">
        <f>FLOOR(Table1[[#This Row],[Age]],10)</f>
        <v>40</v>
      </c>
      <c r="O602" t="str">
        <f>IF(Table1[[#This Row],[Age]]&lt;30,"20-29",IF(Table1[[#This Row],[Age]]&lt;40,"30-39",IF(Table1[[#This Row],[Age]]&lt;50,"40-49",IF(Table1[[#This Row],[Age]]&lt;60,"50-59","60+"))))</f>
        <v>40-49</v>
      </c>
    </row>
    <row r="603" spans="1:15" x14ac:dyDescent="0.25">
      <c r="A603" t="s">
        <v>488</v>
      </c>
      <c r="B603" t="s">
        <v>1193</v>
      </c>
      <c r="C603" t="s">
        <v>21</v>
      </c>
      <c r="D603">
        <v>50</v>
      </c>
      <c r="E603" t="s">
        <v>31</v>
      </c>
      <c r="F603" t="s">
        <v>16</v>
      </c>
      <c r="G603" t="s">
        <v>53</v>
      </c>
      <c r="H603" s="1">
        <v>44815</v>
      </c>
      <c r="J603">
        <v>1210000</v>
      </c>
      <c r="K603">
        <v>0.06</v>
      </c>
      <c r="L603" t="s">
        <v>24</v>
      </c>
      <c r="M603">
        <f ca="1">IF(Table1[[#This Row],[Exit]]="",DATEDIF(Table1[[#This Row],[Hire]],TODAY(),"Y"),DATEDIF(Table1[[#This Row],[Hire]],Table1[[#This Row],[Exit]],"Y"))</f>
        <v>3</v>
      </c>
      <c r="N603">
        <f>FLOOR(Table1[[#This Row],[Age]],10)</f>
        <v>50</v>
      </c>
      <c r="O603" t="str">
        <f>IF(Table1[[#This Row],[Age]]&lt;30,"20-29",IF(Table1[[#This Row],[Age]]&lt;40,"30-39",IF(Table1[[#This Row],[Age]]&lt;50,"40-49",IF(Table1[[#This Row],[Age]]&lt;60,"50-59","60+"))))</f>
        <v>50-59</v>
      </c>
    </row>
    <row r="604" spans="1:15" x14ac:dyDescent="0.25">
      <c r="A604" t="s">
        <v>1194</v>
      </c>
      <c r="B604" t="s">
        <v>1195</v>
      </c>
      <c r="C604" t="s">
        <v>14</v>
      </c>
      <c r="D604">
        <v>36</v>
      </c>
      <c r="E604" t="s">
        <v>81</v>
      </c>
      <c r="F604" t="s">
        <v>49</v>
      </c>
      <c r="G604" t="s">
        <v>34</v>
      </c>
      <c r="H604" s="1">
        <v>44857</v>
      </c>
      <c r="J604">
        <v>1212000</v>
      </c>
      <c r="K604">
        <v>0.36</v>
      </c>
      <c r="L604" t="s">
        <v>24</v>
      </c>
      <c r="M604">
        <f ca="1">IF(Table1[[#This Row],[Exit]]="",DATEDIF(Table1[[#This Row],[Hire]],TODAY(),"Y"),DATEDIF(Table1[[#This Row],[Hire]],Table1[[#This Row],[Exit]],"Y"))</f>
        <v>3</v>
      </c>
      <c r="N604">
        <f>FLOOR(Table1[[#This Row],[Age]],10)</f>
        <v>30</v>
      </c>
      <c r="O604" t="str">
        <f>IF(Table1[[#This Row],[Age]]&lt;30,"20-29",IF(Table1[[#This Row],[Age]]&lt;40,"30-39",IF(Table1[[#This Row],[Age]]&lt;50,"40-49",IF(Table1[[#This Row],[Age]]&lt;60,"50-59","60+"))))</f>
        <v>30-39</v>
      </c>
    </row>
    <row r="605" spans="1:15" x14ac:dyDescent="0.25">
      <c r="A605" t="s">
        <v>1196</v>
      </c>
      <c r="B605" t="s">
        <v>1197</v>
      </c>
      <c r="C605" t="s">
        <v>41</v>
      </c>
      <c r="D605">
        <v>45</v>
      </c>
      <c r="E605" t="s">
        <v>92</v>
      </c>
      <c r="F605" t="s">
        <v>59</v>
      </c>
      <c r="G605" t="s">
        <v>53</v>
      </c>
      <c r="H605" s="1">
        <v>45527</v>
      </c>
      <c r="J605">
        <v>1214000</v>
      </c>
      <c r="K605">
        <v>0.06</v>
      </c>
      <c r="L605" t="s">
        <v>24</v>
      </c>
      <c r="M605">
        <f ca="1">IF(Table1[[#This Row],[Exit]]="",DATEDIF(Table1[[#This Row],[Hire]],TODAY(),"Y"),DATEDIF(Table1[[#This Row],[Hire]],Table1[[#This Row],[Exit]],"Y"))</f>
        <v>1</v>
      </c>
      <c r="N605">
        <f>FLOOR(Table1[[#This Row],[Age]],10)</f>
        <v>40</v>
      </c>
      <c r="O605" t="str">
        <f>IF(Table1[[#This Row],[Age]]&lt;30,"20-29",IF(Table1[[#This Row],[Age]]&lt;40,"30-39",IF(Table1[[#This Row],[Age]]&lt;50,"40-49",IF(Table1[[#This Row],[Age]]&lt;60,"50-59","60+"))))</f>
        <v>40-49</v>
      </c>
    </row>
    <row r="606" spans="1:15" x14ac:dyDescent="0.25">
      <c r="A606" t="s">
        <v>1198</v>
      </c>
      <c r="B606" t="s">
        <v>1199</v>
      </c>
      <c r="C606" t="s">
        <v>14</v>
      </c>
      <c r="D606">
        <v>29</v>
      </c>
      <c r="E606" t="s">
        <v>81</v>
      </c>
      <c r="F606" t="s">
        <v>46</v>
      </c>
      <c r="G606" t="s">
        <v>23</v>
      </c>
      <c r="H606" s="1">
        <v>45237</v>
      </c>
      <c r="I606" s="1">
        <v>45401</v>
      </c>
      <c r="J606">
        <v>1216000</v>
      </c>
      <c r="K606">
        <v>0</v>
      </c>
      <c r="L606" t="s">
        <v>18</v>
      </c>
      <c r="M606">
        <f ca="1">IF(Table1[[#This Row],[Exit]]="",DATEDIF(Table1[[#This Row],[Hire]],TODAY(),"Y"),DATEDIF(Table1[[#This Row],[Hire]],Table1[[#This Row],[Exit]],"Y"))</f>
        <v>0</v>
      </c>
      <c r="N606">
        <f>FLOOR(Table1[[#This Row],[Age]],10)</f>
        <v>20</v>
      </c>
      <c r="O606" t="str">
        <f>IF(Table1[[#This Row],[Age]]&lt;30,"20-29",IF(Table1[[#This Row],[Age]]&lt;40,"30-39",IF(Table1[[#This Row],[Age]]&lt;50,"40-49",IF(Table1[[#This Row],[Age]]&lt;60,"50-59","60+"))))</f>
        <v>20-29</v>
      </c>
    </row>
    <row r="607" spans="1:15" x14ac:dyDescent="0.25">
      <c r="A607" t="s">
        <v>1200</v>
      </c>
      <c r="B607" t="s">
        <v>1201</v>
      </c>
      <c r="C607" t="s">
        <v>21</v>
      </c>
      <c r="D607">
        <v>41</v>
      </c>
      <c r="E607" t="s">
        <v>22</v>
      </c>
      <c r="F607" t="s">
        <v>16</v>
      </c>
      <c r="G607" t="s">
        <v>34</v>
      </c>
      <c r="H607" s="1">
        <v>45206</v>
      </c>
      <c r="J607">
        <v>1218000</v>
      </c>
      <c r="K607">
        <v>0</v>
      </c>
      <c r="L607" t="s">
        <v>24</v>
      </c>
      <c r="M607">
        <f ca="1">IF(Table1[[#This Row],[Exit]]="",DATEDIF(Table1[[#This Row],[Hire]],TODAY(),"Y"),DATEDIF(Table1[[#This Row],[Hire]],Table1[[#This Row],[Exit]],"Y"))</f>
        <v>2</v>
      </c>
      <c r="N607">
        <f>FLOOR(Table1[[#This Row],[Age]],10)</f>
        <v>40</v>
      </c>
      <c r="O607" t="str">
        <f>IF(Table1[[#This Row],[Age]]&lt;30,"20-29",IF(Table1[[#This Row],[Age]]&lt;40,"30-39",IF(Table1[[#This Row],[Age]]&lt;50,"40-49",IF(Table1[[#This Row],[Age]]&lt;60,"50-59","60+"))))</f>
        <v>40-49</v>
      </c>
    </row>
    <row r="608" spans="1:15" x14ac:dyDescent="0.25">
      <c r="A608" t="s">
        <v>1202</v>
      </c>
      <c r="B608" t="s">
        <v>1203</v>
      </c>
      <c r="C608" t="s">
        <v>41</v>
      </c>
      <c r="D608">
        <v>47</v>
      </c>
      <c r="E608" t="s">
        <v>92</v>
      </c>
      <c r="F608" t="s">
        <v>59</v>
      </c>
      <c r="G608" t="s">
        <v>34</v>
      </c>
      <c r="H608" s="1">
        <v>44677</v>
      </c>
      <c r="J608">
        <v>1220000</v>
      </c>
      <c r="K608">
        <v>0.28000000000000003</v>
      </c>
      <c r="L608" t="s">
        <v>24</v>
      </c>
      <c r="M608">
        <f ca="1">IF(Table1[[#This Row],[Exit]]="",DATEDIF(Table1[[#This Row],[Hire]],TODAY(),"Y"),DATEDIF(Table1[[#This Row],[Hire]],Table1[[#This Row],[Exit]],"Y"))</f>
        <v>3</v>
      </c>
      <c r="N608">
        <f>FLOOR(Table1[[#This Row],[Age]],10)</f>
        <v>40</v>
      </c>
      <c r="O608" t="str">
        <f>IF(Table1[[#This Row],[Age]]&lt;30,"20-29",IF(Table1[[#This Row],[Age]]&lt;40,"30-39",IF(Table1[[#This Row],[Age]]&lt;50,"40-49",IF(Table1[[#This Row],[Age]]&lt;60,"50-59","60+"))))</f>
        <v>40-49</v>
      </c>
    </row>
    <row r="609" spans="1:15" x14ac:dyDescent="0.25">
      <c r="A609" t="s">
        <v>1204</v>
      </c>
      <c r="B609" t="s">
        <v>1205</v>
      </c>
      <c r="C609" t="s">
        <v>14</v>
      </c>
      <c r="D609">
        <v>38</v>
      </c>
      <c r="E609" t="s">
        <v>31</v>
      </c>
      <c r="F609" t="s">
        <v>16</v>
      </c>
      <c r="G609" t="s">
        <v>17</v>
      </c>
      <c r="H609" s="1">
        <v>43889</v>
      </c>
      <c r="I609" s="1">
        <v>44815</v>
      </c>
      <c r="J609">
        <v>1222000</v>
      </c>
      <c r="K609">
        <v>0</v>
      </c>
      <c r="L609" t="s">
        <v>18</v>
      </c>
      <c r="M609">
        <f ca="1">IF(Table1[[#This Row],[Exit]]="",DATEDIF(Table1[[#This Row],[Hire]],TODAY(),"Y"),DATEDIF(Table1[[#This Row],[Hire]],Table1[[#This Row],[Exit]],"Y"))</f>
        <v>2</v>
      </c>
      <c r="N609">
        <f>FLOOR(Table1[[#This Row],[Age]],10)</f>
        <v>30</v>
      </c>
      <c r="O609" t="str">
        <f>IF(Table1[[#This Row],[Age]]&lt;30,"20-29",IF(Table1[[#This Row],[Age]]&lt;40,"30-39",IF(Table1[[#This Row],[Age]]&lt;50,"40-49",IF(Table1[[#This Row],[Age]]&lt;60,"50-59","60+"))))</f>
        <v>30-39</v>
      </c>
    </row>
    <row r="610" spans="1:15" x14ac:dyDescent="0.25">
      <c r="A610" t="s">
        <v>1206</v>
      </c>
      <c r="B610" t="s">
        <v>1207</v>
      </c>
      <c r="C610" t="s">
        <v>21</v>
      </c>
      <c r="D610">
        <v>40</v>
      </c>
      <c r="E610" t="s">
        <v>15</v>
      </c>
      <c r="F610" t="s">
        <v>16</v>
      </c>
      <c r="G610" t="s">
        <v>17</v>
      </c>
      <c r="H610" s="1">
        <v>44116</v>
      </c>
      <c r="J610">
        <v>1224000</v>
      </c>
      <c r="K610">
        <v>0.32</v>
      </c>
      <c r="L610" t="s">
        <v>24</v>
      </c>
      <c r="M610">
        <f ca="1">IF(Table1[[#This Row],[Exit]]="",DATEDIF(Table1[[#This Row],[Hire]],TODAY(),"Y"),DATEDIF(Table1[[#This Row],[Hire]],Table1[[#This Row],[Exit]],"Y"))</f>
        <v>5</v>
      </c>
      <c r="N610">
        <f>FLOOR(Table1[[#This Row],[Age]],10)</f>
        <v>40</v>
      </c>
      <c r="O610" t="str">
        <f>IF(Table1[[#This Row],[Age]]&lt;30,"20-29",IF(Table1[[#This Row],[Age]]&lt;40,"30-39",IF(Table1[[#This Row],[Age]]&lt;50,"40-49",IF(Table1[[#This Row],[Age]]&lt;60,"50-59","60+"))))</f>
        <v>40-49</v>
      </c>
    </row>
    <row r="611" spans="1:15" x14ac:dyDescent="0.25">
      <c r="A611" t="s">
        <v>1208</v>
      </c>
      <c r="B611" t="s">
        <v>1209</v>
      </c>
      <c r="C611" t="s">
        <v>21</v>
      </c>
      <c r="D611">
        <v>45</v>
      </c>
      <c r="E611" t="s">
        <v>22</v>
      </c>
      <c r="F611" t="s">
        <v>16</v>
      </c>
      <c r="G611" t="s">
        <v>23</v>
      </c>
      <c r="H611" s="1">
        <v>44588</v>
      </c>
      <c r="J611">
        <v>1226000</v>
      </c>
      <c r="K611">
        <v>0.13</v>
      </c>
      <c r="L611" t="s">
        <v>24</v>
      </c>
      <c r="M611">
        <f ca="1">IF(Table1[[#This Row],[Exit]]="",DATEDIF(Table1[[#This Row],[Hire]],TODAY(),"Y"),DATEDIF(Table1[[#This Row],[Hire]],Table1[[#This Row],[Exit]],"Y"))</f>
        <v>4</v>
      </c>
      <c r="N611">
        <f>FLOOR(Table1[[#This Row],[Age]],10)</f>
        <v>40</v>
      </c>
      <c r="O611" t="str">
        <f>IF(Table1[[#This Row],[Age]]&lt;30,"20-29",IF(Table1[[#This Row],[Age]]&lt;40,"30-39",IF(Table1[[#This Row],[Age]]&lt;50,"40-49",IF(Table1[[#This Row],[Age]]&lt;60,"50-59","60+"))))</f>
        <v>40-49</v>
      </c>
    </row>
    <row r="612" spans="1:15" x14ac:dyDescent="0.25">
      <c r="A612" t="s">
        <v>1210</v>
      </c>
      <c r="B612" t="s">
        <v>1211</v>
      </c>
      <c r="C612" t="s">
        <v>21</v>
      </c>
      <c r="D612">
        <v>51</v>
      </c>
      <c r="E612" t="s">
        <v>27</v>
      </c>
      <c r="F612" t="s">
        <v>28</v>
      </c>
      <c r="G612" t="s">
        <v>17</v>
      </c>
      <c r="H612" s="1">
        <v>45337</v>
      </c>
      <c r="J612">
        <v>1228000</v>
      </c>
      <c r="K612">
        <v>7.0000000000000007E-2</v>
      </c>
      <c r="L612" t="s">
        <v>24</v>
      </c>
      <c r="M612">
        <f ca="1">IF(Table1[[#This Row],[Exit]]="",DATEDIF(Table1[[#This Row],[Hire]],TODAY(),"Y"),DATEDIF(Table1[[#This Row],[Hire]],Table1[[#This Row],[Exit]],"Y"))</f>
        <v>1</v>
      </c>
      <c r="N612">
        <f>FLOOR(Table1[[#This Row],[Age]],10)</f>
        <v>50</v>
      </c>
      <c r="O612" t="str">
        <f>IF(Table1[[#This Row],[Age]]&lt;30,"20-29",IF(Table1[[#This Row],[Age]]&lt;40,"30-39",IF(Table1[[#This Row],[Age]]&lt;50,"40-49",IF(Table1[[#This Row],[Age]]&lt;60,"50-59","60+"))))</f>
        <v>50-59</v>
      </c>
    </row>
    <row r="613" spans="1:15" x14ac:dyDescent="0.25">
      <c r="A613" t="s">
        <v>1212</v>
      </c>
      <c r="B613" t="s">
        <v>1213</v>
      </c>
      <c r="C613" t="s">
        <v>21</v>
      </c>
      <c r="D613">
        <v>35</v>
      </c>
      <c r="E613" t="s">
        <v>31</v>
      </c>
      <c r="F613" t="s">
        <v>16</v>
      </c>
      <c r="G613" t="s">
        <v>23</v>
      </c>
      <c r="H613" s="1">
        <v>45332</v>
      </c>
      <c r="J613">
        <v>1230000</v>
      </c>
      <c r="K613">
        <v>0.37</v>
      </c>
      <c r="L613" t="s">
        <v>24</v>
      </c>
      <c r="M613">
        <f ca="1">IF(Table1[[#This Row],[Exit]]="",DATEDIF(Table1[[#This Row],[Hire]],TODAY(),"Y"),DATEDIF(Table1[[#This Row],[Hire]],Table1[[#This Row],[Exit]],"Y"))</f>
        <v>1</v>
      </c>
      <c r="N613">
        <f>FLOOR(Table1[[#This Row],[Age]],10)</f>
        <v>30</v>
      </c>
      <c r="O613" t="str">
        <f>IF(Table1[[#This Row],[Age]]&lt;30,"20-29",IF(Table1[[#This Row],[Age]]&lt;40,"30-39",IF(Table1[[#This Row],[Age]]&lt;50,"40-49",IF(Table1[[#This Row],[Age]]&lt;60,"50-59","60+"))))</f>
        <v>30-39</v>
      </c>
    </row>
    <row r="614" spans="1:15" x14ac:dyDescent="0.25">
      <c r="A614" t="s">
        <v>1214</v>
      </c>
      <c r="B614" t="s">
        <v>1215</v>
      </c>
      <c r="C614" t="s">
        <v>14</v>
      </c>
      <c r="D614">
        <v>41</v>
      </c>
      <c r="E614" t="s">
        <v>27</v>
      </c>
      <c r="F614" t="s">
        <v>28</v>
      </c>
      <c r="G614" t="s">
        <v>34</v>
      </c>
      <c r="H614" s="1">
        <v>44183</v>
      </c>
      <c r="J614">
        <v>1232000</v>
      </c>
      <c r="K614">
        <v>0.09</v>
      </c>
      <c r="L614" t="s">
        <v>24</v>
      </c>
      <c r="M614">
        <f ca="1">IF(Table1[[#This Row],[Exit]]="",DATEDIF(Table1[[#This Row],[Hire]],TODAY(),"Y"),DATEDIF(Table1[[#This Row],[Hire]],Table1[[#This Row],[Exit]],"Y"))</f>
        <v>5</v>
      </c>
      <c r="N614">
        <f>FLOOR(Table1[[#This Row],[Age]],10)</f>
        <v>40</v>
      </c>
      <c r="O614" t="str">
        <f>IF(Table1[[#This Row],[Age]]&lt;30,"20-29",IF(Table1[[#This Row],[Age]]&lt;40,"30-39",IF(Table1[[#This Row],[Age]]&lt;50,"40-49",IF(Table1[[#This Row],[Age]]&lt;60,"50-59","60+"))))</f>
        <v>40-49</v>
      </c>
    </row>
    <row r="615" spans="1:15" x14ac:dyDescent="0.25">
      <c r="A615" t="s">
        <v>67</v>
      </c>
      <c r="B615" t="s">
        <v>1216</v>
      </c>
      <c r="C615" t="s">
        <v>21</v>
      </c>
      <c r="D615">
        <v>35</v>
      </c>
      <c r="E615" t="s">
        <v>15</v>
      </c>
      <c r="F615" t="s">
        <v>16</v>
      </c>
      <c r="G615" t="s">
        <v>23</v>
      </c>
      <c r="H615" s="1">
        <v>43837</v>
      </c>
      <c r="J615">
        <v>1234000</v>
      </c>
      <c r="K615">
        <v>0</v>
      </c>
      <c r="L615" t="s">
        <v>24</v>
      </c>
      <c r="M615">
        <f ca="1">IF(Table1[[#This Row],[Exit]]="",DATEDIF(Table1[[#This Row],[Hire]],TODAY(),"Y"),DATEDIF(Table1[[#This Row],[Hire]],Table1[[#This Row],[Exit]],"Y"))</f>
        <v>6</v>
      </c>
      <c r="N615">
        <f>FLOOR(Table1[[#This Row],[Age]],10)</f>
        <v>30</v>
      </c>
      <c r="O615" t="str">
        <f>IF(Table1[[#This Row],[Age]]&lt;30,"20-29",IF(Table1[[#This Row],[Age]]&lt;40,"30-39",IF(Table1[[#This Row],[Age]]&lt;50,"40-49",IF(Table1[[#This Row],[Age]]&lt;60,"50-59","60+"))))</f>
        <v>30-39</v>
      </c>
    </row>
    <row r="616" spans="1:15" x14ac:dyDescent="0.25">
      <c r="A616" t="s">
        <v>1217</v>
      </c>
      <c r="B616" t="s">
        <v>1218</v>
      </c>
      <c r="C616" t="s">
        <v>14</v>
      </c>
      <c r="D616">
        <v>41</v>
      </c>
      <c r="E616" t="s">
        <v>15</v>
      </c>
      <c r="F616" t="s">
        <v>16</v>
      </c>
      <c r="G616" t="s">
        <v>34</v>
      </c>
      <c r="H616" s="1">
        <v>45206</v>
      </c>
      <c r="J616">
        <v>1236000</v>
      </c>
      <c r="K616">
        <v>0</v>
      </c>
      <c r="L616" t="s">
        <v>24</v>
      </c>
      <c r="M616">
        <f ca="1">IF(Table1[[#This Row],[Exit]]="",DATEDIF(Table1[[#This Row],[Hire]],TODAY(),"Y"),DATEDIF(Table1[[#This Row],[Hire]],Table1[[#This Row],[Exit]],"Y"))</f>
        <v>2</v>
      </c>
      <c r="N616">
        <f>FLOOR(Table1[[#This Row],[Age]],10)</f>
        <v>40</v>
      </c>
      <c r="O616" t="str">
        <f>IF(Table1[[#This Row],[Age]]&lt;30,"20-29",IF(Table1[[#This Row],[Age]]&lt;40,"30-39",IF(Table1[[#This Row],[Age]]&lt;50,"40-49",IF(Table1[[#This Row],[Age]]&lt;60,"50-59","60+"))))</f>
        <v>40-49</v>
      </c>
    </row>
    <row r="617" spans="1:15" x14ac:dyDescent="0.25">
      <c r="A617" t="s">
        <v>1219</v>
      </c>
      <c r="B617" t="s">
        <v>1220</v>
      </c>
      <c r="C617" t="s">
        <v>14</v>
      </c>
      <c r="D617">
        <v>41</v>
      </c>
      <c r="E617" t="s">
        <v>42</v>
      </c>
      <c r="F617" t="s">
        <v>43</v>
      </c>
      <c r="G617" t="s">
        <v>34</v>
      </c>
      <c r="H617" s="1">
        <v>44487</v>
      </c>
      <c r="J617">
        <v>1238000</v>
      </c>
      <c r="K617">
        <v>0.16</v>
      </c>
      <c r="L617" t="s">
        <v>24</v>
      </c>
      <c r="M617">
        <f ca="1">IF(Table1[[#This Row],[Exit]]="",DATEDIF(Table1[[#This Row],[Hire]],TODAY(),"Y"),DATEDIF(Table1[[#This Row],[Hire]],Table1[[#This Row],[Exit]],"Y"))</f>
        <v>4</v>
      </c>
      <c r="N617">
        <f>FLOOR(Table1[[#This Row],[Age]],10)</f>
        <v>40</v>
      </c>
      <c r="O617" t="str">
        <f>IF(Table1[[#This Row],[Age]]&lt;30,"20-29",IF(Table1[[#This Row],[Age]]&lt;40,"30-39",IF(Table1[[#This Row],[Age]]&lt;50,"40-49",IF(Table1[[#This Row],[Age]]&lt;60,"50-59","60+"))))</f>
        <v>40-49</v>
      </c>
    </row>
    <row r="618" spans="1:15" x14ac:dyDescent="0.25">
      <c r="A618" t="s">
        <v>1221</v>
      </c>
      <c r="B618" t="s">
        <v>1222</v>
      </c>
      <c r="C618" t="s">
        <v>14</v>
      </c>
      <c r="D618">
        <v>41</v>
      </c>
      <c r="E618" t="s">
        <v>42</v>
      </c>
      <c r="F618" t="s">
        <v>46</v>
      </c>
      <c r="G618" t="s">
        <v>23</v>
      </c>
      <c r="H618" s="1">
        <v>44791</v>
      </c>
      <c r="J618">
        <v>1240000</v>
      </c>
      <c r="K618">
        <v>0</v>
      </c>
      <c r="L618" t="s">
        <v>24</v>
      </c>
      <c r="M618">
        <f ca="1">IF(Table1[[#This Row],[Exit]]="",DATEDIF(Table1[[#This Row],[Hire]],TODAY(),"Y"),DATEDIF(Table1[[#This Row],[Hire]],Table1[[#This Row],[Exit]],"Y"))</f>
        <v>3</v>
      </c>
      <c r="N618">
        <f>FLOOR(Table1[[#This Row],[Age]],10)</f>
        <v>40</v>
      </c>
      <c r="O618" t="str">
        <f>IF(Table1[[#This Row],[Age]]&lt;30,"20-29",IF(Table1[[#This Row],[Age]]&lt;40,"30-39",IF(Table1[[#This Row],[Age]]&lt;50,"40-49",IF(Table1[[#This Row],[Age]]&lt;60,"50-59","60+"))))</f>
        <v>40-49</v>
      </c>
    </row>
    <row r="619" spans="1:15" x14ac:dyDescent="0.25">
      <c r="A619" t="s">
        <v>1223</v>
      </c>
      <c r="B619" t="s">
        <v>1224</v>
      </c>
      <c r="C619" t="s">
        <v>355</v>
      </c>
      <c r="D619">
        <v>46</v>
      </c>
      <c r="E619" t="s">
        <v>42</v>
      </c>
      <c r="F619" t="s">
        <v>49</v>
      </c>
      <c r="G619" t="s">
        <v>17</v>
      </c>
      <c r="H619" s="1">
        <v>45440</v>
      </c>
      <c r="J619">
        <v>1242000</v>
      </c>
      <c r="K619">
        <v>0</v>
      </c>
      <c r="L619" t="s">
        <v>24</v>
      </c>
      <c r="M619">
        <f ca="1">IF(Table1[[#This Row],[Exit]]="",DATEDIF(Table1[[#This Row],[Hire]],TODAY(),"Y"),DATEDIF(Table1[[#This Row],[Hire]],Table1[[#This Row],[Exit]],"Y"))</f>
        <v>1</v>
      </c>
      <c r="N619">
        <f>FLOOR(Table1[[#This Row],[Age]],10)</f>
        <v>40</v>
      </c>
      <c r="O619" t="str">
        <f>IF(Table1[[#This Row],[Age]]&lt;30,"20-29",IF(Table1[[#This Row],[Age]]&lt;40,"30-39",IF(Table1[[#This Row],[Age]]&lt;50,"40-49",IF(Table1[[#This Row],[Age]]&lt;60,"50-59","60+"))))</f>
        <v>40-49</v>
      </c>
    </row>
    <row r="620" spans="1:15" x14ac:dyDescent="0.25">
      <c r="A620" t="s">
        <v>1225</v>
      </c>
      <c r="B620" t="s">
        <v>1226</v>
      </c>
      <c r="C620" t="s">
        <v>14</v>
      </c>
      <c r="D620">
        <v>36</v>
      </c>
      <c r="E620" t="s">
        <v>52</v>
      </c>
      <c r="F620" t="s">
        <v>16</v>
      </c>
      <c r="G620" t="s">
        <v>53</v>
      </c>
      <c r="H620" s="1">
        <v>44811</v>
      </c>
      <c r="J620">
        <v>1244000</v>
      </c>
      <c r="K620">
        <v>0.11</v>
      </c>
      <c r="L620" t="s">
        <v>24</v>
      </c>
      <c r="M620">
        <f ca="1">IF(Table1[[#This Row],[Exit]]="",DATEDIF(Table1[[#This Row],[Hire]],TODAY(),"Y"),DATEDIF(Table1[[#This Row],[Hire]],Table1[[#This Row],[Exit]],"Y"))</f>
        <v>3</v>
      </c>
      <c r="N620">
        <f>FLOOR(Table1[[#This Row],[Age]],10)</f>
        <v>30</v>
      </c>
      <c r="O620" t="str">
        <f>IF(Table1[[#This Row],[Age]]&lt;30,"20-29",IF(Table1[[#This Row],[Age]]&lt;40,"30-39",IF(Table1[[#This Row],[Age]]&lt;50,"40-49",IF(Table1[[#This Row],[Age]]&lt;60,"50-59","60+"))))</f>
        <v>30-39</v>
      </c>
    </row>
    <row r="621" spans="1:15" x14ac:dyDescent="0.25">
      <c r="A621" t="s">
        <v>1227</v>
      </c>
      <c r="B621" t="s">
        <v>1228</v>
      </c>
      <c r="C621" t="s">
        <v>21</v>
      </c>
      <c r="D621">
        <v>45</v>
      </c>
      <c r="E621" t="s">
        <v>42</v>
      </c>
      <c r="F621" t="s">
        <v>46</v>
      </c>
      <c r="G621" t="s">
        <v>53</v>
      </c>
      <c r="H621" s="1">
        <v>45294</v>
      </c>
      <c r="J621">
        <v>1246000</v>
      </c>
      <c r="K621">
        <v>0</v>
      </c>
      <c r="L621" t="s">
        <v>24</v>
      </c>
      <c r="M621">
        <f ca="1">IF(Table1[[#This Row],[Exit]]="",DATEDIF(Table1[[#This Row],[Hire]],TODAY(),"Y"),DATEDIF(Table1[[#This Row],[Hire]],Table1[[#This Row],[Exit]],"Y"))</f>
        <v>2</v>
      </c>
      <c r="N621">
        <f>FLOOR(Table1[[#This Row],[Age]],10)</f>
        <v>40</v>
      </c>
      <c r="O621" t="str">
        <f>IF(Table1[[#This Row],[Age]]&lt;30,"20-29",IF(Table1[[#This Row],[Age]]&lt;40,"30-39",IF(Table1[[#This Row],[Age]]&lt;50,"40-49",IF(Table1[[#This Row],[Age]]&lt;60,"50-59","60+"))))</f>
        <v>40-49</v>
      </c>
    </row>
    <row r="622" spans="1:15" x14ac:dyDescent="0.25">
      <c r="A622" t="s">
        <v>1229</v>
      </c>
      <c r="B622" t="s">
        <v>1230</v>
      </c>
      <c r="C622" t="s">
        <v>14</v>
      </c>
      <c r="D622">
        <v>37</v>
      </c>
      <c r="E622" t="s">
        <v>58</v>
      </c>
      <c r="F622" t="s">
        <v>59</v>
      </c>
      <c r="G622" t="s">
        <v>34</v>
      </c>
      <c r="H622" s="1">
        <v>45074</v>
      </c>
      <c r="I622" s="1">
        <v>45337</v>
      </c>
      <c r="J622">
        <v>1248000</v>
      </c>
      <c r="K622">
        <v>0</v>
      </c>
      <c r="L622" t="s">
        <v>18</v>
      </c>
      <c r="M622">
        <f ca="1">IF(Table1[[#This Row],[Exit]]="",DATEDIF(Table1[[#This Row],[Hire]],TODAY(),"Y"),DATEDIF(Table1[[#This Row],[Hire]],Table1[[#This Row],[Exit]],"Y"))</f>
        <v>0</v>
      </c>
      <c r="N622">
        <f>FLOOR(Table1[[#This Row],[Age]],10)</f>
        <v>30</v>
      </c>
      <c r="O622" t="str">
        <f>IF(Table1[[#This Row],[Age]]&lt;30,"20-29",IF(Table1[[#This Row],[Age]]&lt;40,"30-39",IF(Table1[[#This Row],[Age]]&lt;50,"40-49",IF(Table1[[#This Row],[Age]]&lt;60,"50-59","60+"))))</f>
        <v>30-39</v>
      </c>
    </row>
    <row r="623" spans="1:15" x14ac:dyDescent="0.25">
      <c r="A623" t="s">
        <v>1231</v>
      </c>
      <c r="B623" t="s">
        <v>1232</v>
      </c>
      <c r="C623" t="s">
        <v>21</v>
      </c>
      <c r="D623">
        <v>38</v>
      </c>
      <c r="E623" t="s">
        <v>52</v>
      </c>
      <c r="F623" t="s">
        <v>16</v>
      </c>
      <c r="G623" t="s">
        <v>23</v>
      </c>
      <c r="H623" s="1">
        <v>45245</v>
      </c>
      <c r="I623" s="1">
        <v>45294</v>
      </c>
      <c r="J623">
        <v>1250000</v>
      </c>
      <c r="K623">
        <v>0</v>
      </c>
      <c r="L623" t="s">
        <v>18</v>
      </c>
      <c r="M623">
        <f ca="1">IF(Table1[[#This Row],[Exit]]="",DATEDIF(Table1[[#This Row],[Hire]],TODAY(),"Y"),DATEDIF(Table1[[#This Row],[Hire]],Table1[[#This Row],[Exit]],"Y"))</f>
        <v>0</v>
      </c>
      <c r="N623">
        <f>FLOOR(Table1[[#This Row],[Age]],10)</f>
        <v>30</v>
      </c>
      <c r="O623" t="str">
        <f>IF(Table1[[#This Row],[Age]]&lt;30,"20-29",IF(Table1[[#This Row],[Age]]&lt;40,"30-39",IF(Table1[[#This Row],[Age]]&lt;50,"40-49",IF(Table1[[#This Row],[Age]]&lt;60,"50-59","60+"))))</f>
        <v>30-39</v>
      </c>
    </row>
    <row r="624" spans="1:15" x14ac:dyDescent="0.25">
      <c r="A624" t="s">
        <v>1233</v>
      </c>
      <c r="B624" t="s">
        <v>1234</v>
      </c>
      <c r="C624" t="s">
        <v>14</v>
      </c>
      <c r="D624">
        <v>45</v>
      </c>
      <c r="E624" t="s">
        <v>52</v>
      </c>
      <c r="F624" t="s">
        <v>16</v>
      </c>
      <c r="G624" t="s">
        <v>34</v>
      </c>
      <c r="H624" s="1">
        <v>43851</v>
      </c>
      <c r="I624" s="1">
        <v>45206</v>
      </c>
      <c r="J624">
        <v>1252000</v>
      </c>
      <c r="K624">
        <v>0.32</v>
      </c>
      <c r="L624" t="s">
        <v>18</v>
      </c>
      <c r="M624">
        <f ca="1">IF(Table1[[#This Row],[Exit]]="",DATEDIF(Table1[[#This Row],[Hire]],TODAY(),"Y"),DATEDIF(Table1[[#This Row],[Hire]],Table1[[#This Row],[Exit]],"Y"))</f>
        <v>3</v>
      </c>
      <c r="N624">
        <f>FLOOR(Table1[[#This Row],[Age]],10)</f>
        <v>40</v>
      </c>
      <c r="O624" t="str">
        <f>IF(Table1[[#This Row],[Age]]&lt;30,"20-29",IF(Table1[[#This Row],[Age]]&lt;40,"30-39",IF(Table1[[#This Row],[Age]]&lt;50,"40-49",IF(Table1[[#This Row],[Age]]&lt;60,"50-59","60+"))))</f>
        <v>40-49</v>
      </c>
    </row>
    <row r="625" spans="1:15" x14ac:dyDescent="0.25">
      <c r="A625" t="s">
        <v>1235</v>
      </c>
      <c r="B625" t="s">
        <v>1236</v>
      </c>
      <c r="C625" t="s">
        <v>21</v>
      </c>
      <c r="D625">
        <v>51</v>
      </c>
      <c r="E625" t="s">
        <v>66</v>
      </c>
      <c r="F625" t="s">
        <v>16</v>
      </c>
      <c r="G625" t="s">
        <v>17</v>
      </c>
      <c r="H625" s="1">
        <v>45206</v>
      </c>
      <c r="J625">
        <v>1254000</v>
      </c>
      <c r="K625">
        <v>0.09</v>
      </c>
      <c r="L625" t="s">
        <v>24</v>
      </c>
      <c r="M625">
        <f ca="1">IF(Table1[[#This Row],[Exit]]="",DATEDIF(Table1[[#This Row],[Hire]],TODAY(),"Y"),DATEDIF(Table1[[#This Row],[Hire]],Table1[[#This Row],[Exit]],"Y"))</f>
        <v>2</v>
      </c>
      <c r="N625">
        <f>FLOOR(Table1[[#This Row],[Age]],10)</f>
        <v>50</v>
      </c>
      <c r="O625" t="str">
        <f>IF(Table1[[#This Row],[Age]]&lt;30,"20-29",IF(Table1[[#This Row],[Age]]&lt;40,"30-39",IF(Table1[[#This Row],[Age]]&lt;50,"40-49",IF(Table1[[#This Row],[Age]]&lt;60,"50-59","60+"))))</f>
        <v>50-59</v>
      </c>
    </row>
    <row r="626" spans="1:15" x14ac:dyDescent="0.25">
      <c r="A626" t="s">
        <v>69</v>
      </c>
      <c r="B626" t="s">
        <v>1237</v>
      </c>
      <c r="C626" t="s">
        <v>21</v>
      </c>
      <c r="D626">
        <v>56</v>
      </c>
      <c r="E626" t="s">
        <v>58</v>
      </c>
      <c r="F626" t="s">
        <v>59</v>
      </c>
      <c r="G626" t="s">
        <v>23</v>
      </c>
      <c r="H626" s="1">
        <v>45401</v>
      </c>
      <c r="J626">
        <v>1256000</v>
      </c>
      <c r="K626">
        <v>0</v>
      </c>
      <c r="L626" t="s">
        <v>24</v>
      </c>
      <c r="M626">
        <f ca="1">IF(Table1[[#This Row],[Exit]]="",DATEDIF(Table1[[#This Row],[Hire]],TODAY(),"Y"),DATEDIF(Table1[[#This Row],[Hire]],Table1[[#This Row],[Exit]],"Y"))</f>
        <v>1</v>
      </c>
      <c r="N626">
        <f>FLOOR(Table1[[#This Row],[Age]],10)</f>
        <v>50</v>
      </c>
      <c r="O626" t="str">
        <f>IF(Table1[[#This Row],[Age]]&lt;30,"20-29",IF(Table1[[#This Row],[Age]]&lt;40,"30-39",IF(Table1[[#This Row],[Age]]&lt;50,"40-49",IF(Table1[[#This Row],[Age]]&lt;60,"50-59","60+"))))</f>
        <v>50-59</v>
      </c>
    </row>
    <row r="627" spans="1:15" x14ac:dyDescent="0.25">
      <c r="A627" t="s">
        <v>260</v>
      </c>
      <c r="B627" t="s">
        <v>1238</v>
      </c>
      <c r="C627" t="s">
        <v>41</v>
      </c>
      <c r="D627">
        <v>53</v>
      </c>
      <c r="E627" t="s">
        <v>66</v>
      </c>
      <c r="F627" t="s">
        <v>16</v>
      </c>
      <c r="G627" t="s">
        <v>34</v>
      </c>
      <c r="H627" s="1">
        <v>44083</v>
      </c>
      <c r="J627">
        <v>1258000</v>
      </c>
      <c r="K627">
        <v>0.28000000000000003</v>
      </c>
      <c r="L627" t="s">
        <v>24</v>
      </c>
      <c r="M627">
        <f ca="1">IF(Table1[[#This Row],[Exit]]="",DATEDIF(Table1[[#This Row],[Hire]],TODAY(),"Y"),DATEDIF(Table1[[#This Row],[Hire]],Table1[[#This Row],[Exit]],"Y"))</f>
        <v>5</v>
      </c>
      <c r="N627">
        <f>FLOOR(Table1[[#This Row],[Age]],10)</f>
        <v>50</v>
      </c>
      <c r="O627" t="str">
        <f>IF(Table1[[#This Row],[Age]]&lt;30,"20-29",IF(Table1[[#This Row],[Age]]&lt;40,"30-39",IF(Table1[[#This Row],[Age]]&lt;50,"40-49",IF(Table1[[#This Row],[Age]]&lt;60,"50-59","60+"))))</f>
        <v>50-59</v>
      </c>
    </row>
    <row r="628" spans="1:15" x14ac:dyDescent="0.25">
      <c r="A628" t="s">
        <v>1239</v>
      </c>
      <c r="B628" t="s">
        <v>1240</v>
      </c>
      <c r="C628" t="s">
        <v>14</v>
      </c>
      <c r="D628">
        <v>47</v>
      </c>
      <c r="E628" t="s">
        <v>66</v>
      </c>
      <c r="F628" t="s">
        <v>16</v>
      </c>
      <c r="G628" t="s">
        <v>53</v>
      </c>
      <c r="H628" s="1">
        <v>45233</v>
      </c>
      <c r="J628">
        <v>1260000</v>
      </c>
      <c r="K628">
        <v>0</v>
      </c>
      <c r="L628" t="s">
        <v>24</v>
      </c>
      <c r="M628">
        <f ca="1">IF(Table1[[#This Row],[Exit]]="",DATEDIF(Table1[[#This Row],[Hire]],TODAY(),"Y"),DATEDIF(Table1[[#This Row],[Hire]],Table1[[#This Row],[Exit]],"Y"))</f>
        <v>2</v>
      </c>
      <c r="N628">
        <f>FLOOR(Table1[[#This Row],[Age]],10)</f>
        <v>40</v>
      </c>
      <c r="O628" t="str">
        <f>IF(Table1[[#This Row],[Age]]&lt;30,"20-29",IF(Table1[[#This Row],[Age]]&lt;40,"30-39",IF(Table1[[#This Row],[Age]]&lt;50,"40-49",IF(Table1[[#This Row],[Age]]&lt;60,"50-59","60+"))))</f>
        <v>40-49</v>
      </c>
    </row>
    <row r="629" spans="1:15" x14ac:dyDescent="0.25">
      <c r="A629" t="s">
        <v>1241</v>
      </c>
      <c r="B629" t="s">
        <v>1242</v>
      </c>
      <c r="C629" t="s">
        <v>41</v>
      </c>
      <c r="D629">
        <v>36</v>
      </c>
      <c r="E629" t="s">
        <v>58</v>
      </c>
      <c r="F629" t="s">
        <v>59</v>
      </c>
      <c r="G629" t="s">
        <v>53</v>
      </c>
      <c r="H629" s="1">
        <v>45412</v>
      </c>
      <c r="J629">
        <v>1262000</v>
      </c>
      <c r="K629">
        <v>0.33</v>
      </c>
      <c r="L629" t="s">
        <v>24</v>
      </c>
      <c r="M629">
        <f ca="1">IF(Table1[[#This Row],[Exit]]="",DATEDIF(Table1[[#This Row],[Hire]],TODAY(),"Y"),DATEDIF(Table1[[#This Row],[Hire]],Table1[[#This Row],[Exit]],"Y"))</f>
        <v>1</v>
      </c>
      <c r="N629">
        <f>FLOOR(Table1[[#This Row],[Age]],10)</f>
        <v>30</v>
      </c>
      <c r="O629" t="str">
        <f>IF(Table1[[#This Row],[Age]]&lt;30,"20-29",IF(Table1[[#This Row],[Age]]&lt;40,"30-39",IF(Table1[[#This Row],[Age]]&lt;50,"40-49",IF(Table1[[#This Row],[Age]]&lt;60,"50-59","60+"))))</f>
        <v>30-39</v>
      </c>
    </row>
    <row r="630" spans="1:15" x14ac:dyDescent="0.25">
      <c r="A630" t="s">
        <v>1243</v>
      </c>
      <c r="B630" t="s">
        <v>1244</v>
      </c>
      <c r="C630" t="s">
        <v>14</v>
      </c>
      <c r="D630">
        <v>41</v>
      </c>
      <c r="E630" t="s">
        <v>15</v>
      </c>
      <c r="F630" t="s">
        <v>16</v>
      </c>
      <c r="G630" t="s">
        <v>53</v>
      </c>
      <c r="H630" s="1">
        <v>43887</v>
      </c>
      <c r="J630">
        <v>1264000</v>
      </c>
      <c r="K630">
        <v>0</v>
      </c>
      <c r="L630" t="s">
        <v>24</v>
      </c>
      <c r="M630">
        <f ca="1">IF(Table1[[#This Row],[Exit]]="",DATEDIF(Table1[[#This Row],[Hire]],TODAY(),"Y"),DATEDIF(Table1[[#This Row],[Hire]],Table1[[#This Row],[Exit]],"Y"))</f>
        <v>5</v>
      </c>
      <c r="N630">
        <f>FLOOR(Table1[[#This Row],[Age]],10)</f>
        <v>40</v>
      </c>
      <c r="O630" t="str">
        <f>IF(Table1[[#This Row],[Age]]&lt;30,"20-29",IF(Table1[[#This Row],[Age]]&lt;40,"30-39",IF(Table1[[#This Row],[Age]]&lt;50,"40-49",IF(Table1[[#This Row],[Age]]&lt;60,"50-59","60+"))))</f>
        <v>40-49</v>
      </c>
    </row>
    <row r="631" spans="1:15" x14ac:dyDescent="0.25">
      <c r="A631" t="s">
        <v>1245</v>
      </c>
      <c r="B631" t="s">
        <v>1246</v>
      </c>
      <c r="C631" t="s">
        <v>21</v>
      </c>
      <c r="D631">
        <v>30</v>
      </c>
      <c r="E631" t="s">
        <v>22</v>
      </c>
      <c r="F631" t="s">
        <v>16</v>
      </c>
      <c r="G631" t="s">
        <v>53</v>
      </c>
      <c r="H631" s="1">
        <v>44815</v>
      </c>
      <c r="I631" s="1">
        <v>45074</v>
      </c>
      <c r="J631">
        <v>1266000</v>
      </c>
      <c r="K631">
        <v>0.08</v>
      </c>
      <c r="L631" t="s">
        <v>18</v>
      </c>
      <c r="M631">
        <f ca="1">IF(Table1[[#This Row],[Exit]]="",DATEDIF(Table1[[#This Row],[Hire]],TODAY(),"Y"),DATEDIF(Table1[[#This Row],[Hire]],Table1[[#This Row],[Exit]],"Y"))</f>
        <v>0</v>
      </c>
      <c r="N631">
        <f>FLOOR(Table1[[#This Row],[Age]],10)</f>
        <v>30</v>
      </c>
      <c r="O631" t="str">
        <f>IF(Table1[[#This Row],[Age]]&lt;30,"20-29",IF(Table1[[#This Row],[Age]]&lt;40,"30-39",IF(Table1[[#This Row],[Age]]&lt;50,"40-49",IF(Table1[[#This Row],[Age]]&lt;60,"50-59","60+"))))</f>
        <v>30-39</v>
      </c>
    </row>
    <row r="632" spans="1:15" x14ac:dyDescent="0.25">
      <c r="A632" t="s">
        <v>1247</v>
      </c>
      <c r="B632" t="s">
        <v>1248</v>
      </c>
      <c r="C632" t="s">
        <v>21</v>
      </c>
      <c r="D632">
        <v>30</v>
      </c>
      <c r="E632" t="s">
        <v>81</v>
      </c>
      <c r="F632" t="s">
        <v>43</v>
      </c>
      <c r="G632" t="s">
        <v>53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18</v>
      </c>
      <c r="M632">
        <f ca="1">IF(Table1[[#This Row],[Exit]]="",DATEDIF(Table1[[#This Row],[Hire]],TODAY(),"Y"),DATEDIF(Table1[[#This Row],[Hire]],Table1[[#This Row],[Exit]],"Y"))</f>
        <v>0</v>
      </c>
      <c r="N632">
        <f>FLOOR(Table1[[#This Row],[Age]],10)</f>
        <v>30</v>
      </c>
      <c r="O632" t="str">
        <f>IF(Table1[[#This Row],[Age]]&lt;30,"20-29",IF(Table1[[#This Row],[Age]]&lt;40,"30-39",IF(Table1[[#This Row],[Age]]&lt;50,"40-49",IF(Table1[[#This Row],[Age]]&lt;60,"50-59","60+"))))</f>
        <v>30-39</v>
      </c>
    </row>
    <row r="633" spans="1:15" x14ac:dyDescent="0.25">
      <c r="A633" t="s">
        <v>1249</v>
      </c>
      <c r="B633" t="s">
        <v>1250</v>
      </c>
      <c r="C633" t="s">
        <v>21</v>
      </c>
      <c r="D633">
        <v>38</v>
      </c>
      <c r="E633" t="s">
        <v>52</v>
      </c>
      <c r="F633" t="s">
        <v>16</v>
      </c>
      <c r="G633" t="s">
        <v>17</v>
      </c>
      <c r="H633" s="1">
        <v>44509</v>
      </c>
      <c r="J633">
        <v>1270000</v>
      </c>
      <c r="K633">
        <v>0.12</v>
      </c>
      <c r="L633" t="s">
        <v>24</v>
      </c>
      <c r="M633">
        <f ca="1">IF(Table1[[#This Row],[Exit]]="",DATEDIF(Table1[[#This Row],[Hire]],TODAY(),"Y"),DATEDIF(Table1[[#This Row],[Hire]],Table1[[#This Row],[Exit]],"Y"))</f>
        <v>4</v>
      </c>
      <c r="N633">
        <f>FLOOR(Table1[[#This Row],[Age]],10)</f>
        <v>30</v>
      </c>
      <c r="O633" t="str">
        <f>IF(Table1[[#This Row],[Age]]&lt;30,"20-29",IF(Table1[[#This Row],[Age]]&lt;40,"30-39",IF(Table1[[#This Row],[Age]]&lt;50,"40-49",IF(Table1[[#This Row],[Age]]&lt;60,"50-59","60+"))))</f>
        <v>30-39</v>
      </c>
    </row>
    <row r="634" spans="1:15" x14ac:dyDescent="0.25">
      <c r="A634" t="s">
        <v>1251</v>
      </c>
      <c r="B634" t="s">
        <v>1252</v>
      </c>
      <c r="C634" t="s">
        <v>21</v>
      </c>
      <c r="D634">
        <v>51</v>
      </c>
      <c r="E634" t="s">
        <v>66</v>
      </c>
      <c r="F634" t="s">
        <v>16</v>
      </c>
      <c r="G634" t="s">
        <v>23</v>
      </c>
      <c r="H634" s="1">
        <v>43963</v>
      </c>
      <c r="J634">
        <v>1272000</v>
      </c>
      <c r="K634">
        <v>0.28000000000000003</v>
      </c>
      <c r="L634" t="s">
        <v>24</v>
      </c>
      <c r="M634">
        <f ca="1">IF(Table1[[#This Row],[Exit]]="",DATEDIF(Table1[[#This Row],[Hire]],TODAY(),"Y"),DATEDIF(Table1[[#This Row],[Hire]],Table1[[#This Row],[Exit]],"Y"))</f>
        <v>5</v>
      </c>
      <c r="N634">
        <f>FLOOR(Table1[[#This Row],[Age]],10)</f>
        <v>50</v>
      </c>
      <c r="O634" t="str">
        <f>IF(Table1[[#This Row],[Age]]&lt;30,"20-29",IF(Table1[[#This Row],[Age]]&lt;40,"30-39",IF(Table1[[#This Row],[Age]]&lt;50,"40-49",IF(Table1[[#This Row],[Age]]&lt;60,"50-59","60+"))))</f>
        <v>50-59</v>
      </c>
    </row>
    <row r="635" spans="1:15" x14ac:dyDescent="0.25">
      <c r="A635" t="s">
        <v>1253</v>
      </c>
      <c r="B635" t="s">
        <v>1254</v>
      </c>
      <c r="C635" t="s">
        <v>21</v>
      </c>
      <c r="D635">
        <v>39</v>
      </c>
      <c r="E635" t="s">
        <v>31</v>
      </c>
      <c r="F635" t="s">
        <v>16</v>
      </c>
      <c r="G635" t="s">
        <v>53</v>
      </c>
      <c r="H635" s="1">
        <v>44815</v>
      </c>
      <c r="J635">
        <v>1274000</v>
      </c>
      <c r="K635">
        <v>0.39</v>
      </c>
      <c r="L635" t="s">
        <v>24</v>
      </c>
      <c r="M635">
        <f ca="1">IF(Table1[[#This Row],[Exit]]="",DATEDIF(Table1[[#This Row],[Hire]],TODAY(),"Y"),DATEDIF(Table1[[#This Row],[Hire]],Table1[[#This Row],[Exit]],"Y"))</f>
        <v>3</v>
      </c>
      <c r="N635">
        <f>FLOOR(Table1[[#This Row],[Age]],10)</f>
        <v>30</v>
      </c>
      <c r="O635" t="str">
        <f>IF(Table1[[#This Row],[Age]]&lt;30,"20-29",IF(Table1[[#This Row],[Age]]&lt;40,"30-39",IF(Table1[[#This Row],[Age]]&lt;50,"40-49",IF(Table1[[#This Row],[Age]]&lt;60,"50-59","60+"))))</f>
        <v>30-39</v>
      </c>
    </row>
    <row r="636" spans="1:15" x14ac:dyDescent="0.25">
      <c r="A636" t="s">
        <v>1255</v>
      </c>
      <c r="B636" t="s">
        <v>1256</v>
      </c>
      <c r="C636" t="s">
        <v>21</v>
      </c>
      <c r="D636">
        <v>31</v>
      </c>
      <c r="E636" t="s">
        <v>81</v>
      </c>
      <c r="F636" t="s">
        <v>49</v>
      </c>
      <c r="G636" t="s">
        <v>34</v>
      </c>
      <c r="H636" s="1">
        <v>44857</v>
      </c>
      <c r="I636" s="1">
        <v>45412</v>
      </c>
      <c r="J636">
        <v>1276000</v>
      </c>
      <c r="K636">
        <v>0</v>
      </c>
      <c r="L636" t="s">
        <v>18</v>
      </c>
      <c r="M636">
        <f ca="1">IF(Table1[[#This Row],[Exit]]="",DATEDIF(Table1[[#This Row],[Hire]],TODAY(),"Y"),DATEDIF(Table1[[#This Row],[Hire]],Table1[[#This Row],[Exit]],"Y"))</f>
        <v>1</v>
      </c>
      <c r="N636">
        <f>FLOOR(Table1[[#This Row],[Age]],10)</f>
        <v>30</v>
      </c>
      <c r="O636" t="str">
        <f>IF(Table1[[#This Row],[Age]]&lt;30,"20-29",IF(Table1[[#This Row],[Age]]&lt;40,"30-39",IF(Table1[[#This Row],[Age]]&lt;50,"40-49",IF(Table1[[#This Row],[Age]]&lt;60,"50-59","60+"))))</f>
        <v>30-39</v>
      </c>
    </row>
    <row r="637" spans="1:15" x14ac:dyDescent="0.25">
      <c r="A637" t="s">
        <v>1257</v>
      </c>
      <c r="B637" t="s">
        <v>1258</v>
      </c>
      <c r="C637" t="s">
        <v>14</v>
      </c>
      <c r="D637">
        <v>45</v>
      </c>
      <c r="E637" t="s">
        <v>92</v>
      </c>
      <c r="F637" t="s">
        <v>59</v>
      </c>
      <c r="G637" t="s">
        <v>53</v>
      </c>
      <c r="H637" s="1">
        <v>45527</v>
      </c>
      <c r="J637">
        <v>1278000</v>
      </c>
      <c r="K637">
        <v>0</v>
      </c>
      <c r="L637" t="s">
        <v>24</v>
      </c>
      <c r="M637">
        <f ca="1">IF(Table1[[#This Row],[Exit]]="",DATEDIF(Table1[[#This Row],[Hire]],TODAY(),"Y"),DATEDIF(Table1[[#This Row],[Hire]],Table1[[#This Row],[Exit]],"Y"))</f>
        <v>1</v>
      </c>
      <c r="N637">
        <f>FLOOR(Table1[[#This Row],[Age]],10)</f>
        <v>40</v>
      </c>
      <c r="O637" t="str">
        <f>IF(Table1[[#This Row],[Age]]&lt;30,"20-29",IF(Table1[[#This Row],[Age]]&lt;40,"30-39",IF(Table1[[#This Row],[Age]]&lt;50,"40-49",IF(Table1[[#This Row],[Age]]&lt;60,"50-59","60+"))))</f>
        <v>40-49</v>
      </c>
    </row>
    <row r="638" spans="1:15" x14ac:dyDescent="0.25">
      <c r="A638" t="s">
        <v>1259</v>
      </c>
      <c r="B638" t="s">
        <v>1260</v>
      </c>
      <c r="C638" t="s">
        <v>41</v>
      </c>
      <c r="D638">
        <v>50</v>
      </c>
      <c r="E638" t="s">
        <v>81</v>
      </c>
      <c r="F638" t="s">
        <v>46</v>
      </c>
      <c r="G638" t="s">
        <v>23</v>
      </c>
      <c r="H638" s="1">
        <v>45237</v>
      </c>
      <c r="I638" s="1">
        <v>45430</v>
      </c>
      <c r="J638">
        <v>1280000</v>
      </c>
      <c r="K638">
        <v>0</v>
      </c>
      <c r="L638" t="s">
        <v>18</v>
      </c>
      <c r="M638">
        <f ca="1">IF(Table1[[#This Row],[Exit]]="",DATEDIF(Table1[[#This Row],[Hire]],TODAY(),"Y"),DATEDIF(Table1[[#This Row],[Hire]],Table1[[#This Row],[Exit]],"Y"))</f>
        <v>0</v>
      </c>
      <c r="N638">
        <f>FLOOR(Table1[[#This Row],[Age]],10)</f>
        <v>50</v>
      </c>
      <c r="O638" t="str">
        <f>IF(Table1[[#This Row],[Age]]&lt;30,"20-29",IF(Table1[[#This Row],[Age]]&lt;40,"30-39",IF(Table1[[#This Row],[Age]]&lt;50,"40-49",IF(Table1[[#This Row],[Age]]&lt;60,"50-59","60+"))))</f>
        <v>50-59</v>
      </c>
    </row>
    <row r="639" spans="1:15" x14ac:dyDescent="0.25">
      <c r="A639" t="s">
        <v>119</v>
      </c>
      <c r="B639" t="s">
        <v>1261</v>
      </c>
      <c r="C639" t="s">
        <v>14</v>
      </c>
      <c r="D639">
        <v>36</v>
      </c>
      <c r="E639" t="s">
        <v>22</v>
      </c>
      <c r="F639" t="s">
        <v>16</v>
      </c>
      <c r="G639" t="s">
        <v>34</v>
      </c>
      <c r="H639" s="1">
        <v>45206</v>
      </c>
      <c r="J639">
        <v>1282000</v>
      </c>
      <c r="K639">
        <v>0.3</v>
      </c>
      <c r="L639" t="s">
        <v>24</v>
      </c>
      <c r="M639">
        <f ca="1">IF(Table1[[#This Row],[Exit]]="",DATEDIF(Table1[[#This Row],[Hire]],TODAY(),"Y"),DATEDIF(Table1[[#This Row],[Hire]],Table1[[#This Row],[Exit]],"Y"))</f>
        <v>2</v>
      </c>
      <c r="N639">
        <f>FLOOR(Table1[[#This Row],[Age]],10)</f>
        <v>30</v>
      </c>
      <c r="O639" t="str">
        <f>IF(Table1[[#This Row],[Age]]&lt;30,"20-29",IF(Table1[[#This Row],[Age]]&lt;40,"30-39",IF(Table1[[#This Row],[Age]]&lt;50,"40-49",IF(Table1[[#This Row],[Age]]&lt;60,"50-59","60+"))))</f>
        <v>30-39</v>
      </c>
    </row>
    <row r="640" spans="1:15" x14ac:dyDescent="0.25">
      <c r="A640" t="s">
        <v>1262</v>
      </c>
      <c r="B640" t="s">
        <v>1263</v>
      </c>
      <c r="C640" t="s">
        <v>21</v>
      </c>
      <c r="D640">
        <v>45</v>
      </c>
      <c r="E640" t="s">
        <v>92</v>
      </c>
      <c r="F640" t="s">
        <v>59</v>
      </c>
      <c r="G640" t="s">
        <v>34</v>
      </c>
      <c r="H640" s="1">
        <v>44677</v>
      </c>
      <c r="J640">
        <v>1284000</v>
      </c>
      <c r="K640">
        <v>0.18</v>
      </c>
      <c r="L640" t="s">
        <v>24</v>
      </c>
      <c r="M640">
        <f ca="1">IF(Table1[[#This Row],[Exit]]="",DATEDIF(Table1[[#This Row],[Hire]],TODAY(),"Y"),DATEDIF(Table1[[#This Row],[Hire]],Table1[[#This Row],[Exit]],"Y"))</f>
        <v>3</v>
      </c>
      <c r="N640">
        <f>FLOOR(Table1[[#This Row],[Age]],10)</f>
        <v>40</v>
      </c>
      <c r="O640" t="str">
        <f>IF(Table1[[#This Row],[Age]]&lt;30,"20-29",IF(Table1[[#This Row],[Age]]&lt;40,"30-39",IF(Table1[[#This Row],[Age]]&lt;50,"40-49",IF(Table1[[#This Row],[Age]]&lt;60,"50-59","60+"))))</f>
        <v>40-49</v>
      </c>
    </row>
    <row r="641" spans="1:15" x14ac:dyDescent="0.25">
      <c r="A641" t="s">
        <v>1264</v>
      </c>
      <c r="B641" t="s">
        <v>1265</v>
      </c>
      <c r="C641" t="s">
        <v>41</v>
      </c>
      <c r="D641">
        <v>29</v>
      </c>
      <c r="E641" t="s">
        <v>31</v>
      </c>
      <c r="F641" t="s">
        <v>16</v>
      </c>
      <c r="G641" t="s">
        <v>17</v>
      </c>
      <c r="H641" s="1">
        <v>43889</v>
      </c>
      <c r="I641" s="1">
        <v>44815</v>
      </c>
      <c r="J641">
        <v>1286000</v>
      </c>
      <c r="K641">
        <v>0</v>
      </c>
      <c r="L641" t="s">
        <v>18</v>
      </c>
      <c r="M641">
        <f ca="1">IF(Table1[[#This Row],[Exit]]="",DATEDIF(Table1[[#This Row],[Hire]],TODAY(),"Y"),DATEDIF(Table1[[#This Row],[Hire]],Table1[[#This Row],[Exit]],"Y"))</f>
        <v>2</v>
      </c>
      <c r="N641">
        <f>FLOOR(Table1[[#This Row],[Age]],10)</f>
        <v>20</v>
      </c>
      <c r="O641" t="str">
        <f>IF(Table1[[#This Row],[Age]]&lt;30,"20-29",IF(Table1[[#This Row],[Age]]&lt;40,"30-39",IF(Table1[[#This Row],[Age]]&lt;50,"40-49",IF(Table1[[#This Row],[Age]]&lt;60,"50-59","60+"))))</f>
        <v>20-29</v>
      </c>
    </row>
    <row r="642" spans="1:15" x14ac:dyDescent="0.25">
      <c r="A642" t="s">
        <v>1266</v>
      </c>
      <c r="B642" t="s">
        <v>1267</v>
      </c>
      <c r="C642" t="s">
        <v>14</v>
      </c>
      <c r="D642">
        <v>41</v>
      </c>
      <c r="E642" t="s">
        <v>15</v>
      </c>
      <c r="F642" t="s">
        <v>16</v>
      </c>
      <c r="G642" t="s">
        <v>17</v>
      </c>
      <c r="H642" s="1">
        <v>44116</v>
      </c>
      <c r="I642" s="1">
        <v>45206</v>
      </c>
      <c r="J642">
        <v>1288000</v>
      </c>
      <c r="K642">
        <v>0.24</v>
      </c>
      <c r="L642" t="s">
        <v>18</v>
      </c>
      <c r="M642">
        <f ca="1">IF(Table1[[#This Row],[Exit]]="",DATEDIF(Table1[[#This Row],[Hire]],TODAY(),"Y"),DATEDIF(Table1[[#This Row],[Hire]],Table1[[#This Row],[Exit]],"Y"))</f>
        <v>2</v>
      </c>
      <c r="N642">
        <f>FLOOR(Table1[[#This Row],[Age]],10)</f>
        <v>40</v>
      </c>
      <c r="O642" t="str">
        <f>IF(Table1[[#This Row],[Age]]&lt;30,"20-29",IF(Table1[[#This Row],[Age]]&lt;40,"30-39",IF(Table1[[#This Row],[Age]]&lt;50,"40-49",IF(Table1[[#This Row],[Age]]&lt;60,"50-59","60+"))))</f>
        <v>40-49</v>
      </c>
    </row>
    <row r="643" spans="1:15" x14ac:dyDescent="0.25">
      <c r="A643" t="s">
        <v>1268</v>
      </c>
      <c r="B643" t="s">
        <v>1269</v>
      </c>
      <c r="C643" t="s">
        <v>21</v>
      </c>
      <c r="D643">
        <v>47</v>
      </c>
      <c r="E643" t="s">
        <v>22</v>
      </c>
      <c r="F643" t="s">
        <v>16</v>
      </c>
      <c r="G643" t="s">
        <v>23</v>
      </c>
      <c r="H643" s="1">
        <v>44588</v>
      </c>
      <c r="J643">
        <v>1290000</v>
      </c>
      <c r="K643">
        <v>0</v>
      </c>
      <c r="L643" t="s">
        <v>24</v>
      </c>
      <c r="M643">
        <f ca="1">IF(Table1[[#This Row],[Exit]]="",DATEDIF(Table1[[#This Row],[Hire]],TODAY(),"Y"),DATEDIF(Table1[[#This Row],[Hire]],Table1[[#This Row],[Exit]],"Y"))</f>
        <v>4</v>
      </c>
      <c r="N643">
        <f>FLOOR(Table1[[#This Row],[Age]],10)</f>
        <v>40</v>
      </c>
      <c r="O643" t="str">
        <f>IF(Table1[[#This Row],[Age]]&lt;30,"20-29",IF(Table1[[#This Row],[Age]]&lt;40,"30-39",IF(Table1[[#This Row],[Age]]&lt;50,"40-49",IF(Table1[[#This Row],[Age]]&lt;60,"50-59","60+"))))</f>
        <v>40-49</v>
      </c>
    </row>
    <row r="644" spans="1:15" x14ac:dyDescent="0.25">
      <c r="A644" t="s">
        <v>1270</v>
      </c>
      <c r="B644" t="s">
        <v>1271</v>
      </c>
      <c r="C644" t="s">
        <v>21</v>
      </c>
      <c r="D644">
        <v>38</v>
      </c>
      <c r="E644" t="s">
        <v>27</v>
      </c>
      <c r="F644" t="s">
        <v>28</v>
      </c>
      <c r="G644" t="s">
        <v>17</v>
      </c>
      <c r="H644" s="1">
        <v>43876</v>
      </c>
      <c r="I644" s="1">
        <v>45440</v>
      </c>
      <c r="J644">
        <v>1292000</v>
      </c>
      <c r="K644">
        <v>0</v>
      </c>
      <c r="L644" t="s">
        <v>18</v>
      </c>
      <c r="M644">
        <f ca="1">IF(Table1[[#This Row],[Exit]]="",DATEDIF(Table1[[#This Row],[Hire]],TODAY(),"Y"),DATEDIF(Table1[[#This Row],[Hire]],Table1[[#This Row],[Exit]],"Y"))</f>
        <v>4</v>
      </c>
      <c r="N644">
        <f>FLOOR(Table1[[#This Row],[Age]],10)</f>
        <v>30</v>
      </c>
      <c r="O644" t="str">
        <f>IF(Table1[[#This Row],[Age]]&lt;30,"20-29",IF(Table1[[#This Row],[Age]]&lt;40,"30-39",IF(Table1[[#This Row],[Age]]&lt;50,"40-49",IF(Table1[[#This Row],[Age]]&lt;60,"50-59","60+"))))</f>
        <v>30-39</v>
      </c>
    </row>
    <row r="645" spans="1:15" x14ac:dyDescent="0.25">
      <c r="A645" t="s">
        <v>1272</v>
      </c>
      <c r="B645" t="s">
        <v>1273</v>
      </c>
      <c r="C645" t="s">
        <v>21</v>
      </c>
      <c r="D645">
        <v>40</v>
      </c>
      <c r="E645" t="s">
        <v>31</v>
      </c>
      <c r="F645" t="s">
        <v>16</v>
      </c>
      <c r="G645" t="s">
        <v>23</v>
      </c>
      <c r="H645" s="1">
        <v>45332</v>
      </c>
      <c r="J645">
        <v>1294000</v>
      </c>
      <c r="K645">
        <v>0</v>
      </c>
      <c r="L645" t="s">
        <v>24</v>
      </c>
      <c r="M645">
        <f ca="1">IF(Table1[[#This Row],[Exit]]="",DATEDIF(Table1[[#This Row],[Hire]],TODAY(),"Y"),DATEDIF(Table1[[#This Row],[Hire]],Table1[[#This Row],[Exit]],"Y"))</f>
        <v>1</v>
      </c>
      <c r="N645">
        <f>FLOOR(Table1[[#This Row],[Age]],10)</f>
        <v>40</v>
      </c>
      <c r="O645" t="str">
        <f>IF(Table1[[#This Row],[Age]]&lt;30,"20-29",IF(Table1[[#This Row],[Age]]&lt;40,"30-39",IF(Table1[[#This Row],[Age]]&lt;50,"40-49",IF(Table1[[#This Row],[Age]]&lt;60,"50-59","60+"))))</f>
        <v>40-49</v>
      </c>
    </row>
    <row r="646" spans="1:15" x14ac:dyDescent="0.25">
      <c r="A646" t="s">
        <v>1274</v>
      </c>
      <c r="B646" t="s">
        <v>1275</v>
      </c>
      <c r="C646" t="s">
        <v>21</v>
      </c>
      <c r="D646">
        <v>45</v>
      </c>
      <c r="E646" t="s">
        <v>27</v>
      </c>
      <c r="F646" t="s">
        <v>28</v>
      </c>
      <c r="G646" t="s">
        <v>34</v>
      </c>
      <c r="H646" s="1">
        <v>44183</v>
      </c>
      <c r="J646">
        <v>1296000</v>
      </c>
      <c r="K646">
        <v>0</v>
      </c>
      <c r="L646" t="s">
        <v>24</v>
      </c>
      <c r="M646">
        <f ca="1">IF(Table1[[#This Row],[Exit]]="",DATEDIF(Table1[[#This Row],[Hire]],TODAY(),"Y"),DATEDIF(Table1[[#This Row],[Hire]],Table1[[#This Row],[Exit]],"Y"))</f>
        <v>5</v>
      </c>
      <c r="N646">
        <f>FLOOR(Table1[[#This Row],[Age]],10)</f>
        <v>40</v>
      </c>
      <c r="O646" t="str">
        <f>IF(Table1[[#This Row],[Age]]&lt;30,"20-29",IF(Table1[[#This Row],[Age]]&lt;40,"30-39",IF(Table1[[#This Row],[Age]]&lt;50,"40-49",IF(Table1[[#This Row],[Age]]&lt;60,"50-59","60+"))))</f>
        <v>40-49</v>
      </c>
    </row>
    <row r="647" spans="1:15" x14ac:dyDescent="0.25">
      <c r="A647" t="s">
        <v>1276</v>
      </c>
      <c r="B647" t="s">
        <v>1277</v>
      </c>
      <c r="C647" t="s">
        <v>14</v>
      </c>
      <c r="D647">
        <v>46</v>
      </c>
      <c r="E647" t="s">
        <v>15</v>
      </c>
      <c r="F647" t="s">
        <v>16</v>
      </c>
      <c r="G647" t="s">
        <v>23</v>
      </c>
      <c r="H647" s="1">
        <v>43837</v>
      </c>
      <c r="J647">
        <v>1298000</v>
      </c>
      <c r="K647">
        <v>0.15</v>
      </c>
      <c r="L647" t="s">
        <v>24</v>
      </c>
      <c r="M647">
        <f ca="1">IF(Table1[[#This Row],[Exit]]="",DATEDIF(Table1[[#This Row],[Hire]],TODAY(),"Y"),DATEDIF(Table1[[#This Row],[Hire]],Table1[[#This Row],[Exit]],"Y"))</f>
        <v>6</v>
      </c>
      <c r="N647">
        <f>FLOOR(Table1[[#This Row],[Age]],10)</f>
        <v>40</v>
      </c>
      <c r="O647" t="str">
        <f>IF(Table1[[#This Row],[Age]]&lt;30,"20-29",IF(Table1[[#This Row],[Age]]&lt;40,"30-39",IF(Table1[[#This Row],[Age]]&lt;50,"40-49",IF(Table1[[#This Row],[Age]]&lt;60,"50-59","60+"))))</f>
        <v>40-49</v>
      </c>
    </row>
    <row r="648" spans="1:15" x14ac:dyDescent="0.25">
      <c r="A648" t="s">
        <v>1278</v>
      </c>
      <c r="B648" t="s">
        <v>1279</v>
      </c>
      <c r="C648" t="s">
        <v>21</v>
      </c>
      <c r="D648">
        <v>35</v>
      </c>
      <c r="E648" t="s">
        <v>15</v>
      </c>
      <c r="F648" t="s">
        <v>16</v>
      </c>
      <c r="G648" t="s">
        <v>34</v>
      </c>
      <c r="H648" s="1">
        <v>45206</v>
      </c>
      <c r="J648">
        <v>1300000</v>
      </c>
      <c r="K648">
        <v>0</v>
      </c>
      <c r="L648" t="s">
        <v>24</v>
      </c>
      <c r="M648">
        <f ca="1">IF(Table1[[#This Row],[Exit]]="",DATEDIF(Table1[[#This Row],[Hire]],TODAY(),"Y"),DATEDIF(Table1[[#This Row],[Hire]],Table1[[#This Row],[Exit]],"Y"))</f>
        <v>2</v>
      </c>
      <c r="N648">
        <f>FLOOR(Table1[[#This Row],[Age]],10)</f>
        <v>30</v>
      </c>
      <c r="O648" t="str">
        <f>IF(Table1[[#This Row],[Age]]&lt;30,"20-29",IF(Table1[[#This Row],[Age]]&lt;40,"30-39",IF(Table1[[#This Row],[Age]]&lt;50,"40-49",IF(Table1[[#This Row],[Age]]&lt;60,"50-59","60+"))))</f>
        <v>30-39</v>
      </c>
    </row>
    <row r="649" spans="1:15" x14ac:dyDescent="0.25">
      <c r="A649" t="s">
        <v>1280</v>
      </c>
      <c r="B649" t="s">
        <v>1281</v>
      </c>
      <c r="C649" t="s">
        <v>14</v>
      </c>
      <c r="D649">
        <v>46</v>
      </c>
      <c r="E649" t="s">
        <v>42</v>
      </c>
      <c r="F649" t="s">
        <v>43</v>
      </c>
      <c r="G649" t="s">
        <v>34</v>
      </c>
      <c r="H649" s="1">
        <v>44487</v>
      </c>
      <c r="J649">
        <v>1302000</v>
      </c>
      <c r="K649">
        <v>0.26</v>
      </c>
      <c r="L649" t="s">
        <v>24</v>
      </c>
      <c r="M649">
        <f ca="1">IF(Table1[[#This Row],[Exit]]="",DATEDIF(Table1[[#This Row],[Hire]],TODAY(),"Y"),DATEDIF(Table1[[#This Row],[Hire]],Table1[[#This Row],[Exit]],"Y"))</f>
        <v>4</v>
      </c>
      <c r="N649">
        <f>FLOOR(Table1[[#This Row],[Age]],10)</f>
        <v>40</v>
      </c>
      <c r="O649" t="str">
        <f>IF(Table1[[#This Row],[Age]]&lt;30,"20-29",IF(Table1[[#This Row],[Age]]&lt;40,"30-39",IF(Table1[[#This Row],[Age]]&lt;50,"40-49",IF(Table1[[#This Row],[Age]]&lt;60,"50-59","60+"))))</f>
        <v>40-49</v>
      </c>
    </row>
    <row r="650" spans="1:15" x14ac:dyDescent="0.25">
      <c r="A650" t="s">
        <v>1282</v>
      </c>
      <c r="B650" t="s">
        <v>1283</v>
      </c>
      <c r="C650" t="s">
        <v>14</v>
      </c>
      <c r="D650">
        <v>35</v>
      </c>
      <c r="E650" t="s">
        <v>42</v>
      </c>
      <c r="F650" t="s">
        <v>46</v>
      </c>
      <c r="G650" t="s">
        <v>23</v>
      </c>
      <c r="H650" s="1">
        <v>44791</v>
      </c>
      <c r="J650">
        <v>1304000</v>
      </c>
      <c r="K650">
        <v>0</v>
      </c>
      <c r="L650" t="s">
        <v>24</v>
      </c>
      <c r="M650">
        <f ca="1">IF(Table1[[#This Row],[Exit]]="",DATEDIF(Table1[[#This Row],[Hire]],TODAY(),"Y"),DATEDIF(Table1[[#This Row],[Hire]],Table1[[#This Row],[Exit]],"Y"))</f>
        <v>3</v>
      </c>
      <c r="N650">
        <f>FLOOR(Table1[[#This Row],[Age]],10)</f>
        <v>30</v>
      </c>
      <c r="O650" t="str">
        <f>IF(Table1[[#This Row],[Age]]&lt;30,"20-29",IF(Table1[[#This Row],[Age]]&lt;40,"30-39",IF(Table1[[#This Row],[Age]]&lt;50,"40-49",IF(Table1[[#This Row],[Age]]&lt;60,"50-59","60+"))))</f>
        <v>30-39</v>
      </c>
    </row>
    <row r="651" spans="1:15" x14ac:dyDescent="0.25">
      <c r="A651" t="s">
        <v>1284</v>
      </c>
      <c r="B651" t="s">
        <v>1285</v>
      </c>
      <c r="C651" t="s">
        <v>14</v>
      </c>
      <c r="D651">
        <v>46</v>
      </c>
      <c r="E651" t="s">
        <v>42</v>
      </c>
      <c r="F651" t="s">
        <v>49</v>
      </c>
      <c r="G651" t="s">
        <v>17</v>
      </c>
      <c r="H651" s="1">
        <v>45440</v>
      </c>
      <c r="J651">
        <v>1306000</v>
      </c>
      <c r="K651">
        <v>0.12</v>
      </c>
      <c r="L651" t="s">
        <v>24</v>
      </c>
      <c r="M651">
        <f ca="1">IF(Table1[[#This Row],[Exit]]="",DATEDIF(Table1[[#This Row],[Hire]],TODAY(),"Y"),DATEDIF(Table1[[#This Row],[Hire]],Table1[[#This Row],[Exit]],"Y"))</f>
        <v>1</v>
      </c>
      <c r="N651">
        <f>FLOOR(Table1[[#This Row],[Age]],10)</f>
        <v>40</v>
      </c>
      <c r="O651" t="str">
        <f>IF(Table1[[#This Row],[Age]]&lt;30,"20-29",IF(Table1[[#This Row],[Age]]&lt;40,"30-39",IF(Table1[[#This Row],[Age]]&lt;50,"40-49",IF(Table1[[#This Row],[Age]]&lt;60,"50-59","60+"))))</f>
        <v>40-49</v>
      </c>
    </row>
    <row r="652" spans="1:15" x14ac:dyDescent="0.25">
      <c r="A652" t="s">
        <v>1286</v>
      </c>
      <c r="B652" t="s">
        <v>1287</v>
      </c>
      <c r="C652" t="s">
        <v>14</v>
      </c>
      <c r="D652">
        <v>46</v>
      </c>
      <c r="E652" t="s">
        <v>52</v>
      </c>
      <c r="F652" t="s">
        <v>16</v>
      </c>
      <c r="G652" t="s">
        <v>53</v>
      </c>
      <c r="H652" s="1">
        <v>44811</v>
      </c>
      <c r="J652">
        <v>1308000</v>
      </c>
      <c r="K652">
        <v>0</v>
      </c>
      <c r="L652" t="s">
        <v>24</v>
      </c>
      <c r="M652">
        <f ca="1">IF(Table1[[#This Row],[Exit]]="",DATEDIF(Table1[[#This Row],[Hire]],TODAY(),"Y"),DATEDIF(Table1[[#This Row],[Hire]],Table1[[#This Row],[Exit]],"Y"))</f>
        <v>3</v>
      </c>
      <c r="N652">
        <f>FLOOR(Table1[[#This Row],[Age]],10)</f>
        <v>40</v>
      </c>
      <c r="O652" t="str">
        <f>IF(Table1[[#This Row],[Age]]&lt;30,"20-29",IF(Table1[[#This Row],[Age]]&lt;40,"30-39",IF(Table1[[#This Row],[Age]]&lt;50,"40-49",IF(Table1[[#This Row],[Age]]&lt;60,"50-59","60+"))))</f>
        <v>40-49</v>
      </c>
    </row>
    <row r="653" spans="1:15" x14ac:dyDescent="0.25">
      <c r="A653" t="s">
        <v>1288</v>
      </c>
      <c r="B653" t="s">
        <v>1289</v>
      </c>
      <c r="C653" t="s">
        <v>21</v>
      </c>
      <c r="D653">
        <v>51</v>
      </c>
      <c r="E653" t="s">
        <v>42</v>
      </c>
      <c r="F653" t="s">
        <v>46</v>
      </c>
      <c r="G653" t="s">
        <v>53</v>
      </c>
      <c r="H653" s="1">
        <v>45294</v>
      </c>
      <c r="J653">
        <v>1310000</v>
      </c>
      <c r="K653">
        <v>0</v>
      </c>
      <c r="L653" t="s">
        <v>24</v>
      </c>
      <c r="M653">
        <f ca="1">IF(Table1[[#This Row],[Exit]]="",DATEDIF(Table1[[#This Row],[Hire]],TODAY(),"Y"),DATEDIF(Table1[[#This Row],[Hire]],Table1[[#This Row],[Exit]],"Y"))</f>
        <v>2</v>
      </c>
      <c r="N653">
        <f>FLOOR(Table1[[#This Row],[Age]],10)</f>
        <v>50</v>
      </c>
      <c r="O653" t="str">
        <f>IF(Table1[[#This Row],[Age]]&lt;30,"20-29",IF(Table1[[#This Row],[Age]]&lt;40,"30-39",IF(Table1[[#This Row],[Age]]&lt;50,"40-49",IF(Table1[[#This Row],[Age]]&lt;60,"50-59","60+"))))</f>
        <v>50-59</v>
      </c>
    </row>
    <row r="654" spans="1:15" x14ac:dyDescent="0.25">
      <c r="A654" t="s">
        <v>1290</v>
      </c>
      <c r="B654" t="s">
        <v>1291</v>
      </c>
      <c r="C654" t="s">
        <v>14</v>
      </c>
      <c r="D654">
        <v>46</v>
      </c>
      <c r="E654" t="s">
        <v>58</v>
      </c>
      <c r="F654" t="s">
        <v>59</v>
      </c>
      <c r="G654" t="s">
        <v>34</v>
      </c>
      <c r="H654" s="1">
        <v>45074</v>
      </c>
      <c r="J654">
        <v>1312000</v>
      </c>
      <c r="K654">
        <v>0</v>
      </c>
      <c r="L654" t="s">
        <v>24</v>
      </c>
      <c r="M654">
        <f ca="1">IF(Table1[[#This Row],[Exit]]="",DATEDIF(Table1[[#This Row],[Hire]],TODAY(),"Y"),DATEDIF(Table1[[#This Row],[Hire]],Table1[[#This Row],[Exit]],"Y"))</f>
        <v>2</v>
      </c>
      <c r="N654">
        <f>FLOOR(Table1[[#This Row],[Age]],10)</f>
        <v>40</v>
      </c>
      <c r="O654" t="str">
        <f>IF(Table1[[#This Row],[Age]]&lt;30,"20-29",IF(Table1[[#This Row],[Age]]&lt;40,"30-39",IF(Table1[[#This Row],[Age]]&lt;50,"40-49",IF(Table1[[#This Row],[Age]]&lt;60,"50-59","60+"))))</f>
        <v>40-49</v>
      </c>
    </row>
    <row r="655" spans="1:15" x14ac:dyDescent="0.25">
      <c r="A655" t="s">
        <v>1292</v>
      </c>
      <c r="B655" t="s">
        <v>1293</v>
      </c>
      <c r="C655" t="s">
        <v>21</v>
      </c>
      <c r="D655">
        <v>36</v>
      </c>
      <c r="E655" t="s">
        <v>52</v>
      </c>
      <c r="F655" t="s">
        <v>16</v>
      </c>
      <c r="G655" t="s">
        <v>23</v>
      </c>
      <c r="H655" s="1">
        <v>45245</v>
      </c>
      <c r="J655">
        <v>1314000</v>
      </c>
      <c r="K655">
        <v>0.08</v>
      </c>
      <c r="L655" t="s">
        <v>24</v>
      </c>
      <c r="M655">
        <f ca="1">IF(Table1[[#This Row],[Exit]]="",DATEDIF(Table1[[#This Row],[Hire]],TODAY(),"Y"),DATEDIF(Table1[[#This Row],[Hire]],Table1[[#This Row],[Exit]],"Y"))</f>
        <v>2</v>
      </c>
      <c r="N655">
        <f>FLOOR(Table1[[#This Row],[Age]],10)</f>
        <v>30</v>
      </c>
      <c r="O655" t="str">
        <f>IF(Table1[[#This Row],[Age]]&lt;30,"20-29",IF(Table1[[#This Row],[Age]]&lt;40,"30-39",IF(Table1[[#This Row],[Age]]&lt;50,"40-49",IF(Table1[[#This Row],[Age]]&lt;60,"50-59","60+"))))</f>
        <v>30-39</v>
      </c>
    </row>
    <row r="656" spans="1:15" x14ac:dyDescent="0.25">
      <c r="A656" t="s">
        <v>1294</v>
      </c>
      <c r="B656" t="s">
        <v>1295</v>
      </c>
      <c r="C656" t="s">
        <v>14</v>
      </c>
      <c r="D656">
        <v>45</v>
      </c>
      <c r="E656" t="s">
        <v>52</v>
      </c>
      <c r="F656" t="s">
        <v>16</v>
      </c>
      <c r="G656" t="s">
        <v>34</v>
      </c>
      <c r="H656" s="1">
        <v>43851</v>
      </c>
      <c r="J656">
        <v>1316000</v>
      </c>
      <c r="K656">
        <v>0</v>
      </c>
      <c r="L656" t="s">
        <v>24</v>
      </c>
      <c r="M656">
        <f ca="1">IF(Table1[[#This Row],[Exit]]="",DATEDIF(Table1[[#This Row],[Hire]],TODAY(),"Y"),DATEDIF(Table1[[#This Row],[Hire]],Table1[[#This Row],[Exit]],"Y"))</f>
        <v>6</v>
      </c>
      <c r="N656">
        <f>FLOOR(Table1[[#This Row],[Age]],10)</f>
        <v>40</v>
      </c>
      <c r="O656" t="str">
        <f>IF(Table1[[#This Row],[Age]]&lt;30,"20-29",IF(Table1[[#This Row],[Age]]&lt;40,"30-39",IF(Table1[[#This Row],[Age]]&lt;50,"40-49",IF(Table1[[#This Row],[Age]]&lt;60,"50-59","60+"))))</f>
        <v>40-49</v>
      </c>
    </row>
    <row r="657" spans="1:15" x14ac:dyDescent="0.25">
      <c r="A657" t="s">
        <v>1296</v>
      </c>
      <c r="B657" t="s">
        <v>1297</v>
      </c>
      <c r="C657" t="s">
        <v>21</v>
      </c>
      <c r="D657">
        <v>37</v>
      </c>
      <c r="E657" t="s">
        <v>66</v>
      </c>
      <c r="F657" t="s">
        <v>16</v>
      </c>
      <c r="G657" t="s">
        <v>17</v>
      </c>
      <c r="H657" s="1">
        <v>45206</v>
      </c>
      <c r="J657">
        <v>1318000</v>
      </c>
      <c r="K657">
        <v>7.0000000000000007E-2</v>
      </c>
      <c r="L657" t="s">
        <v>24</v>
      </c>
      <c r="M657">
        <f ca="1">IF(Table1[[#This Row],[Exit]]="",DATEDIF(Table1[[#This Row],[Hire]],TODAY(),"Y"),DATEDIF(Table1[[#This Row],[Hire]],Table1[[#This Row],[Exit]],"Y"))</f>
        <v>2</v>
      </c>
      <c r="N657">
        <f>FLOOR(Table1[[#This Row],[Age]],10)</f>
        <v>30</v>
      </c>
      <c r="O657" t="str">
        <f>IF(Table1[[#This Row],[Age]]&lt;30,"20-29",IF(Table1[[#This Row],[Age]]&lt;40,"30-39",IF(Table1[[#This Row],[Age]]&lt;50,"40-49",IF(Table1[[#This Row],[Age]]&lt;60,"50-59","60+"))))</f>
        <v>30-39</v>
      </c>
    </row>
    <row r="658" spans="1:15" x14ac:dyDescent="0.25">
      <c r="A658" t="s">
        <v>452</v>
      </c>
      <c r="B658" t="s">
        <v>1298</v>
      </c>
      <c r="C658" t="s">
        <v>21</v>
      </c>
      <c r="D658">
        <v>38</v>
      </c>
      <c r="E658" t="s">
        <v>58</v>
      </c>
      <c r="F658" t="s">
        <v>59</v>
      </c>
      <c r="G658" t="s">
        <v>23</v>
      </c>
      <c r="H658" s="1">
        <v>45401</v>
      </c>
      <c r="J658">
        <v>1320000</v>
      </c>
      <c r="K658">
        <v>7.0000000000000007E-2</v>
      </c>
      <c r="L658" t="s">
        <v>24</v>
      </c>
      <c r="M658">
        <f ca="1">IF(Table1[[#This Row],[Exit]]="",DATEDIF(Table1[[#This Row],[Hire]],TODAY(),"Y"),DATEDIF(Table1[[#This Row],[Hire]],Table1[[#This Row],[Exit]],"Y"))</f>
        <v>1</v>
      </c>
      <c r="N658">
        <f>FLOOR(Table1[[#This Row],[Age]],10)</f>
        <v>30</v>
      </c>
      <c r="O658" t="str">
        <f>IF(Table1[[#This Row],[Age]]&lt;30,"20-29",IF(Table1[[#This Row],[Age]]&lt;40,"30-39",IF(Table1[[#This Row],[Age]]&lt;50,"40-49",IF(Table1[[#This Row],[Age]]&lt;60,"50-59","60+"))))</f>
        <v>30-39</v>
      </c>
    </row>
    <row r="659" spans="1:15" x14ac:dyDescent="0.25">
      <c r="A659" t="s">
        <v>1299</v>
      </c>
      <c r="B659" t="s">
        <v>1300</v>
      </c>
      <c r="C659" t="s">
        <v>41</v>
      </c>
      <c r="D659">
        <v>45</v>
      </c>
      <c r="E659" t="s">
        <v>66</v>
      </c>
      <c r="F659" t="s">
        <v>16</v>
      </c>
      <c r="G659" t="s">
        <v>34</v>
      </c>
      <c r="H659" s="1">
        <v>44083</v>
      </c>
      <c r="J659">
        <v>1322000</v>
      </c>
      <c r="K659">
        <v>0</v>
      </c>
      <c r="L659" t="s">
        <v>24</v>
      </c>
      <c r="M659">
        <f ca="1">IF(Table1[[#This Row],[Exit]]="",DATEDIF(Table1[[#This Row],[Hire]],TODAY(),"Y"),DATEDIF(Table1[[#This Row],[Hire]],Table1[[#This Row],[Exit]],"Y"))</f>
        <v>5</v>
      </c>
      <c r="N659">
        <f>FLOOR(Table1[[#This Row],[Age]],10)</f>
        <v>40</v>
      </c>
      <c r="O659" t="str">
        <f>IF(Table1[[#This Row],[Age]]&lt;30,"20-29",IF(Table1[[#This Row],[Age]]&lt;40,"30-39",IF(Table1[[#This Row],[Age]]&lt;50,"40-49",IF(Table1[[#This Row],[Age]]&lt;60,"50-59","60+"))))</f>
        <v>40-49</v>
      </c>
    </row>
    <row r="660" spans="1:15" x14ac:dyDescent="0.25">
      <c r="A660" t="s">
        <v>1301</v>
      </c>
      <c r="B660" t="s">
        <v>1302</v>
      </c>
      <c r="C660" t="s">
        <v>14</v>
      </c>
      <c r="D660">
        <v>51</v>
      </c>
      <c r="E660" t="s">
        <v>66</v>
      </c>
      <c r="F660" t="s">
        <v>16</v>
      </c>
      <c r="G660" t="s">
        <v>53</v>
      </c>
      <c r="H660" s="1">
        <v>45233</v>
      </c>
      <c r="J660">
        <v>1324000</v>
      </c>
      <c r="K660">
        <v>0.12</v>
      </c>
      <c r="L660" t="s">
        <v>24</v>
      </c>
      <c r="M660">
        <f ca="1">IF(Table1[[#This Row],[Exit]]="",DATEDIF(Table1[[#This Row],[Hire]],TODAY(),"Y"),DATEDIF(Table1[[#This Row],[Hire]],Table1[[#This Row],[Exit]],"Y"))</f>
        <v>2</v>
      </c>
      <c r="N660">
        <f>FLOOR(Table1[[#This Row],[Age]],10)</f>
        <v>50</v>
      </c>
      <c r="O660" t="str">
        <f>IF(Table1[[#This Row],[Age]]&lt;30,"20-29",IF(Table1[[#This Row],[Age]]&lt;40,"30-39",IF(Table1[[#This Row],[Age]]&lt;50,"40-49",IF(Table1[[#This Row],[Age]]&lt;60,"50-59","60+"))))</f>
        <v>50-59</v>
      </c>
    </row>
    <row r="661" spans="1:15" x14ac:dyDescent="0.25">
      <c r="A661" t="s">
        <v>1303</v>
      </c>
      <c r="B661" t="s">
        <v>1304</v>
      </c>
      <c r="C661" t="s">
        <v>41</v>
      </c>
      <c r="D661">
        <v>56</v>
      </c>
      <c r="E661" t="s">
        <v>58</v>
      </c>
      <c r="F661" t="s">
        <v>59</v>
      </c>
      <c r="G661" t="s">
        <v>53</v>
      </c>
      <c r="H661" s="1">
        <v>45412</v>
      </c>
      <c r="J661">
        <v>1326000</v>
      </c>
      <c r="K661">
        <v>0</v>
      </c>
      <c r="L661" t="s">
        <v>24</v>
      </c>
      <c r="M661">
        <f ca="1">IF(Table1[[#This Row],[Exit]]="",DATEDIF(Table1[[#This Row],[Hire]],TODAY(),"Y"),DATEDIF(Table1[[#This Row],[Hire]],Table1[[#This Row],[Exit]],"Y"))</f>
        <v>1</v>
      </c>
      <c r="N661">
        <f>FLOOR(Table1[[#This Row],[Age]],10)</f>
        <v>50</v>
      </c>
      <c r="O661" t="str">
        <f>IF(Table1[[#This Row],[Age]]&lt;30,"20-29",IF(Table1[[#This Row],[Age]]&lt;40,"30-39",IF(Table1[[#This Row],[Age]]&lt;50,"40-49",IF(Table1[[#This Row],[Age]]&lt;60,"50-59","60+"))))</f>
        <v>50-59</v>
      </c>
    </row>
    <row r="662" spans="1:15" x14ac:dyDescent="0.25">
      <c r="A662" t="s">
        <v>1305</v>
      </c>
      <c r="B662" t="s">
        <v>1306</v>
      </c>
      <c r="C662" t="s">
        <v>14</v>
      </c>
      <c r="D662">
        <v>53</v>
      </c>
      <c r="E662" t="s">
        <v>15</v>
      </c>
      <c r="F662" t="s">
        <v>16</v>
      </c>
      <c r="G662" t="s">
        <v>53</v>
      </c>
      <c r="H662" s="1">
        <v>43887</v>
      </c>
      <c r="J662">
        <v>1328000</v>
      </c>
      <c r="K662">
        <v>0.26</v>
      </c>
      <c r="L662" t="s">
        <v>24</v>
      </c>
      <c r="M662">
        <f ca="1">IF(Table1[[#This Row],[Exit]]="",DATEDIF(Table1[[#This Row],[Hire]],TODAY(),"Y"),DATEDIF(Table1[[#This Row],[Hire]],Table1[[#This Row],[Exit]],"Y"))</f>
        <v>5</v>
      </c>
      <c r="N662">
        <f>FLOOR(Table1[[#This Row],[Age]],10)</f>
        <v>50</v>
      </c>
      <c r="O662" t="str">
        <f>IF(Table1[[#This Row],[Age]]&lt;30,"20-29",IF(Table1[[#This Row],[Age]]&lt;40,"30-39",IF(Table1[[#This Row],[Age]]&lt;50,"40-49",IF(Table1[[#This Row],[Age]]&lt;60,"50-59","60+"))))</f>
        <v>50-59</v>
      </c>
    </row>
    <row r="663" spans="1:15" x14ac:dyDescent="0.25">
      <c r="A663" t="s">
        <v>1307</v>
      </c>
      <c r="B663" t="s">
        <v>1308</v>
      </c>
      <c r="C663" t="s">
        <v>21</v>
      </c>
      <c r="D663">
        <v>47</v>
      </c>
      <c r="E663" t="s">
        <v>22</v>
      </c>
      <c r="F663" t="s">
        <v>16</v>
      </c>
      <c r="G663" t="s">
        <v>53</v>
      </c>
      <c r="H663" s="1">
        <v>44815</v>
      </c>
      <c r="J663">
        <v>1330000</v>
      </c>
      <c r="K663">
        <v>0.13</v>
      </c>
      <c r="L663" t="s">
        <v>24</v>
      </c>
      <c r="M663">
        <f ca="1">IF(Table1[[#This Row],[Exit]]="",DATEDIF(Table1[[#This Row],[Hire]],TODAY(),"Y"),DATEDIF(Table1[[#This Row],[Hire]],Table1[[#This Row],[Exit]],"Y"))</f>
        <v>3</v>
      </c>
      <c r="N663">
        <f>FLOOR(Table1[[#This Row],[Age]],10)</f>
        <v>40</v>
      </c>
      <c r="O663" t="str">
        <f>IF(Table1[[#This Row],[Age]]&lt;30,"20-29",IF(Table1[[#This Row],[Age]]&lt;40,"30-39",IF(Table1[[#This Row],[Age]]&lt;50,"40-49",IF(Table1[[#This Row],[Age]]&lt;60,"50-59","60+"))))</f>
        <v>40-49</v>
      </c>
    </row>
    <row r="664" spans="1:15" x14ac:dyDescent="0.25">
      <c r="A664" t="s">
        <v>1309</v>
      </c>
      <c r="B664" t="s">
        <v>1310</v>
      </c>
      <c r="C664" t="s">
        <v>21</v>
      </c>
      <c r="D664">
        <v>36</v>
      </c>
      <c r="E664" t="s">
        <v>81</v>
      </c>
      <c r="F664" t="s">
        <v>43</v>
      </c>
      <c r="G664" t="s">
        <v>53</v>
      </c>
      <c r="H664" s="1">
        <v>45430</v>
      </c>
      <c r="J664">
        <v>1332000</v>
      </c>
      <c r="K664">
        <v>0</v>
      </c>
      <c r="L664" t="s">
        <v>24</v>
      </c>
      <c r="M664">
        <f ca="1">IF(Table1[[#This Row],[Exit]]="",DATEDIF(Table1[[#This Row],[Hire]],TODAY(),"Y"),DATEDIF(Table1[[#This Row],[Hire]],Table1[[#This Row],[Exit]],"Y"))</f>
        <v>1</v>
      </c>
      <c r="N664">
        <f>FLOOR(Table1[[#This Row],[Age]],10)</f>
        <v>30</v>
      </c>
      <c r="O664" t="str">
        <f>IF(Table1[[#This Row],[Age]]&lt;30,"20-29",IF(Table1[[#This Row],[Age]]&lt;40,"30-39",IF(Table1[[#This Row],[Age]]&lt;50,"40-49",IF(Table1[[#This Row],[Age]]&lt;60,"50-59","60+"))))</f>
        <v>30-39</v>
      </c>
    </row>
    <row r="665" spans="1:15" x14ac:dyDescent="0.25">
      <c r="A665" t="s">
        <v>1311</v>
      </c>
      <c r="B665" t="s">
        <v>1312</v>
      </c>
      <c r="C665" t="s">
        <v>21</v>
      </c>
      <c r="D665">
        <v>41</v>
      </c>
      <c r="E665" t="s">
        <v>52</v>
      </c>
      <c r="F665" t="s">
        <v>16</v>
      </c>
      <c r="G665" t="s">
        <v>17</v>
      </c>
      <c r="H665" s="1">
        <v>44509</v>
      </c>
      <c r="J665">
        <v>1334000</v>
      </c>
      <c r="K665">
        <v>0</v>
      </c>
      <c r="L665" t="s">
        <v>24</v>
      </c>
      <c r="M665">
        <f ca="1">IF(Table1[[#This Row],[Exit]]="",DATEDIF(Table1[[#This Row],[Hire]],TODAY(),"Y"),DATEDIF(Table1[[#This Row],[Hire]],Table1[[#This Row],[Exit]],"Y"))</f>
        <v>4</v>
      </c>
      <c r="N665">
        <f>FLOOR(Table1[[#This Row],[Age]],10)</f>
        <v>40</v>
      </c>
      <c r="O665" t="str">
        <f>IF(Table1[[#This Row],[Age]]&lt;30,"20-29",IF(Table1[[#This Row],[Age]]&lt;40,"30-39",IF(Table1[[#This Row],[Age]]&lt;50,"40-49",IF(Table1[[#This Row],[Age]]&lt;60,"50-59","60+"))))</f>
        <v>40-49</v>
      </c>
    </row>
    <row r="666" spans="1:15" x14ac:dyDescent="0.25">
      <c r="A666" t="s">
        <v>1313</v>
      </c>
      <c r="B666" t="s">
        <v>1314</v>
      </c>
      <c r="C666" t="s">
        <v>21</v>
      </c>
      <c r="D666">
        <v>51</v>
      </c>
      <c r="E666" t="s">
        <v>66</v>
      </c>
      <c r="F666" t="s">
        <v>16</v>
      </c>
      <c r="G666" t="s">
        <v>23</v>
      </c>
      <c r="H666" s="1">
        <v>43963</v>
      </c>
      <c r="J666">
        <v>1336000</v>
      </c>
      <c r="K666">
        <v>0.08</v>
      </c>
      <c r="L666" t="s">
        <v>24</v>
      </c>
      <c r="M666">
        <f ca="1">IF(Table1[[#This Row],[Exit]]="",DATEDIF(Table1[[#This Row],[Hire]],TODAY(),"Y"),DATEDIF(Table1[[#This Row],[Hire]],Table1[[#This Row],[Exit]],"Y"))</f>
        <v>5</v>
      </c>
      <c r="N666">
        <f>FLOOR(Table1[[#This Row],[Age]],10)</f>
        <v>50</v>
      </c>
      <c r="O666" t="str">
        <f>IF(Table1[[#This Row],[Age]]&lt;30,"20-29",IF(Table1[[#This Row],[Age]]&lt;40,"30-39",IF(Table1[[#This Row],[Age]]&lt;50,"40-49",IF(Table1[[#This Row],[Age]]&lt;60,"50-59","60+"))))</f>
        <v>50-59</v>
      </c>
    </row>
    <row r="667" spans="1:15" x14ac:dyDescent="0.25">
      <c r="A667" t="s">
        <v>71</v>
      </c>
      <c r="B667" t="s">
        <v>1315</v>
      </c>
      <c r="C667" t="s">
        <v>21</v>
      </c>
      <c r="D667">
        <v>51</v>
      </c>
      <c r="E667" t="s">
        <v>31</v>
      </c>
      <c r="F667" t="s">
        <v>16</v>
      </c>
      <c r="G667" t="s">
        <v>53</v>
      </c>
      <c r="H667" s="1">
        <v>44815</v>
      </c>
      <c r="J667">
        <v>1338000</v>
      </c>
      <c r="K667">
        <v>0</v>
      </c>
      <c r="L667" t="s">
        <v>24</v>
      </c>
      <c r="M667">
        <f ca="1">IF(Table1[[#This Row],[Exit]]="",DATEDIF(Table1[[#This Row],[Hire]],TODAY(),"Y"),DATEDIF(Table1[[#This Row],[Hire]],Table1[[#This Row],[Exit]],"Y"))</f>
        <v>3</v>
      </c>
      <c r="N667">
        <f>FLOOR(Table1[[#This Row],[Age]],10)</f>
        <v>50</v>
      </c>
      <c r="O667" t="str">
        <f>IF(Table1[[#This Row],[Age]]&lt;30,"20-29",IF(Table1[[#This Row],[Age]]&lt;40,"30-39",IF(Table1[[#This Row],[Age]]&lt;50,"40-49",IF(Table1[[#This Row],[Age]]&lt;60,"50-59","60+"))))</f>
        <v>50-59</v>
      </c>
    </row>
    <row r="668" spans="1:15" x14ac:dyDescent="0.25">
      <c r="A668" t="s">
        <v>1316</v>
      </c>
      <c r="B668" t="s">
        <v>1317</v>
      </c>
      <c r="C668" t="s">
        <v>21</v>
      </c>
      <c r="D668">
        <v>38</v>
      </c>
      <c r="E668" t="s">
        <v>81</v>
      </c>
      <c r="F668" t="s">
        <v>49</v>
      </c>
      <c r="G668" t="s">
        <v>34</v>
      </c>
      <c r="H668" s="1">
        <v>44857</v>
      </c>
      <c r="J668">
        <v>1340000</v>
      </c>
      <c r="K668">
        <v>0.1</v>
      </c>
      <c r="L668" t="s">
        <v>24</v>
      </c>
      <c r="M668">
        <f ca="1">IF(Table1[[#This Row],[Exit]]="",DATEDIF(Table1[[#This Row],[Hire]],TODAY(),"Y"),DATEDIF(Table1[[#This Row],[Hire]],Table1[[#This Row],[Exit]],"Y"))</f>
        <v>3</v>
      </c>
      <c r="N668">
        <f>FLOOR(Table1[[#This Row],[Age]],10)</f>
        <v>30</v>
      </c>
      <c r="O668" t="str">
        <f>IF(Table1[[#This Row],[Age]]&lt;30,"20-29",IF(Table1[[#This Row],[Age]]&lt;40,"30-39",IF(Table1[[#This Row],[Age]]&lt;50,"40-49",IF(Table1[[#This Row],[Age]]&lt;60,"50-59","60+"))))</f>
        <v>30-39</v>
      </c>
    </row>
    <row r="669" spans="1:15" x14ac:dyDescent="0.25">
      <c r="A669" t="s">
        <v>1318</v>
      </c>
      <c r="B669" t="s">
        <v>1319</v>
      </c>
      <c r="C669" t="s">
        <v>14</v>
      </c>
      <c r="D669">
        <v>46</v>
      </c>
      <c r="E669" t="s">
        <v>92</v>
      </c>
      <c r="F669" t="s">
        <v>59</v>
      </c>
      <c r="G669" t="s">
        <v>53</v>
      </c>
      <c r="H669" s="1">
        <v>45527</v>
      </c>
      <c r="J669">
        <v>1342000</v>
      </c>
      <c r="K669">
        <v>0</v>
      </c>
      <c r="L669" t="s">
        <v>24</v>
      </c>
      <c r="M669">
        <f ca="1">IF(Table1[[#This Row],[Exit]]="",DATEDIF(Table1[[#This Row],[Hire]],TODAY(),"Y"),DATEDIF(Table1[[#This Row],[Hire]],Table1[[#This Row],[Exit]],"Y"))</f>
        <v>1</v>
      </c>
      <c r="N669">
        <f>FLOOR(Table1[[#This Row],[Age]],10)</f>
        <v>40</v>
      </c>
      <c r="O669" t="str">
        <f>IF(Table1[[#This Row],[Age]]&lt;30,"20-29",IF(Table1[[#This Row],[Age]]&lt;40,"30-39",IF(Table1[[#This Row],[Age]]&lt;50,"40-49",IF(Table1[[#This Row],[Age]]&lt;60,"50-59","60+"))))</f>
        <v>40-49</v>
      </c>
    </row>
    <row r="670" spans="1:15" x14ac:dyDescent="0.25">
      <c r="A670" t="s">
        <v>1320</v>
      </c>
      <c r="B670" t="s">
        <v>1321</v>
      </c>
      <c r="C670" t="s">
        <v>41</v>
      </c>
      <c r="D670">
        <v>39</v>
      </c>
      <c r="E670" t="s">
        <v>81</v>
      </c>
      <c r="F670" t="s">
        <v>46</v>
      </c>
      <c r="G670" t="s">
        <v>23</v>
      </c>
      <c r="H670" s="1">
        <v>45237</v>
      </c>
      <c r="J670">
        <v>1344000</v>
      </c>
      <c r="K670">
        <v>0</v>
      </c>
      <c r="L670" t="s">
        <v>24</v>
      </c>
      <c r="M670">
        <f ca="1">IF(Table1[[#This Row],[Exit]]="",DATEDIF(Table1[[#This Row],[Hire]],TODAY(),"Y"),DATEDIF(Table1[[#This Row],[Hire]],Table1[[#This Row],[Exit]],"Y"))</f>
        <v>2</v>
      </c>
      <c r="N670">
        <f>FLOOR(Table1[[#This Row],[Age]],10)</f>
        <v>30</v>
      </c>
      <c r="O670" t="str">
        <f>IF(Table1[[#This Row],[Age]]&lt;30,"20-29",IF(Table1[[#This Row],[Age]]&lt;40,"30-39",IF(Table1[[#This Row],[Age]]&lt;50,"40-49",IF(Table1[[#This Row],[Age]]&lt;60,"50-59","60+"))))</f>
        <v>30-39</v>
      </c>
    </row>
    <row r="671" spans="1:15" x14ac:dyDescent="0.25">
      <c r="A671" t="s">
        <v>1322</v>
      </c>
      <c r="B671" t="s">
        <v>1323</v>
      </c>
      <c r="C671" t="s">
        <v>14</v>
      </c>
      <c r="D671">
        <v>31</v>
      </c>
      <c r="E671" t="s">
        <v>22</v>
      </c>
      <c r="F671" t="s">
        <v>16</v>
      </c>
      <c r="G671" t="s">
        <v>34</v>
      </c>
      <c r="H671" s="1">
        <v>45206</v>
      </c>
      <c r="J671">
        <v>1346000</v>
      </c>
      <c r="K671">
        <v>0</v>
      </c>
      <c r="L671" t="s">
        <v>24</v>
      </c>
      <c r="M671">
        <f ca="1">IF(Table1[[#This Row],[Exit]]="",DATEDIF(Table1[[#This Row],[Hire]],TODAY(),"Y"),DATEDIF(Table1[[#This Row],[Hire]],Table1[[#This Row],[Exit]],"Y"))</f>
        <v>2</v>
      </c>
      <c r="N671">
        <f>FLOOR(Table1[[#This Row],[Age]],10)</f>
        <v>30</v>
      </c>
      <c r="O671" t="str">
        <f>IF(Table1[[#This Row],[Age]]&lt;30,"20-29",IF(Table1[[#This Row],[Age]]&lt;40,"30-39",IF(Table1[[#This Row],[Age]]&lt;50,"40-49",IF(Table1[[#This Row],[Age]]&lt;60,"50-59","60+"))))</f>
        <v>30-39</v>
      </c>
    </row>
    <row r="672" spans="1:15" x14ac:dyDescent="0.25">
      <c r="A672" t="s">
        <v>1324</v>
      </c>
      <c r="B672" t="s">
        <v>1325</v>
      </c>
      <c r="C672" t="s">
        <v>21</v>
      </c>
      <c r="D672">
        <v>45</v>
      </c>
      <c r="E672" t="s">
        <v>92</v>
      </c>
      <c r="F672" t="s">
        <v>59</v>
      </c>
      <c r="G672" t="s">
        <v>34</v>
      </c>
      <c r="H672" s="1">
        <v>44677</v>
      </c>
      <c r="I672" s="1">
        <v>45440</v>
      </c>
      <c r="J672">
        <v>1348000</v>
      </c>
      <c r="K672">
        <v>0</v>
      </c>
      <c r="L672" t="s">
        <v>18</v>
      </c>
      <c r="M672">
        <f ca="1">IF(Table1[[#This Row],[Exit]]="",DATEDIF(Table1[[#This Row],[Hire]],TODAY(),"Y"),DATEDIF(Table1[[#This Row],[Hire]],Table1[[#This Row],[Exit]],"Y"))</f>
        <v>2</v>
      </c>
      <c r="N672">
        <f>FLOOR(Table1[[#This Row],[Age]],10)</f>
        <v>40</v>
      </c>
      <c r="O672" t="str">
        <f>IF(Table1[[#This Row],[Age]]&lt;30,"20-29",IF(Table1[[#This Row],[Age]]&lt;40,"30-39",IF(Table1[[#This Row],[Age]]&lt;50,"40-49",IF(Table1[[#This Row],[Age]]&lt;60,"50-59","60+"))))</f>
        <v>40-49</v>
      </c>
    </row>
    <row r="673" spans="1:15" x14ac:dyDescent="0.25">
      <c r="A673" t="s">
        <v>1326</v>
      </c>
      <c r="B673" t="s">
        <v>1327</v>
      </c>
      <c r="C673" t="s">
        <v>41</v>
      </c>
      <c r="D673">
        <v>50</v>
      </c>
      <c r="E673" t="s">
        <v>31</v>
      </c>
      <c r="F673" t="s">
        <v>16</v>
      </c>
      <c r="G673" t="s">
        <v>17</v>
      </c>
      <c r="H673" s="1">
        <v>43889</v>
      </c>
      <c r="I673" s="1">
        <v>45206</v>
      </c>
      <c r="J673">
        <v>1350000</v>
      </c>
      <c r="K673">
        <v>0</v>
      </c>
      <c r="L673" t="s">
        <v>18</v>
      </c>
      <c r="M673">
        <f ca="1">IF(Table1[[#This Row],[Exit]]="",DATEDIF(Table1[[#This Row],[Hire]],TODAY(),"Y"),DATEDIF(Table1[[#This Row],[Hire]],Table1[[#This Row],[Exit]],"Y"))</f>
        <v>3</v>
      </c>
      <c r="N673">
        <f>FLOOR(Table1[[#This Row],[Age]],10)</f>
        <v>50</v>
      </c>
      <c r="O673" t="str">
        <f>IF(Table1[[#This Row],[Age]]&lt;30,"20-29",IF(Table1[[#This Row],[Age]]&lt;40,"30-39",IF(Table1[[#This Row],[Age]]&lt;50,"40-49",IF(Table1[[#This Row],[Age]]&lt;60,"50-59","60+"))))</f>
        <v>50-59</v>
      </c>
    </row>
    <row r="674" spans="1:15" x14ac:dyDescent="0.25">
      <c r="A674" t="s">
        <v>1328</v>
      </c>
      <c r="B674" t="s">
        <v>1329</v>
      </c>
      <c r="C674" t="s">
        <v>14</v>
      </c>
      <c r="D674">
        <v>36</v>
      </c>
      <c r="E674" t="s">
        <v>15</v>
      </c>
      <c r="F674" t="s">
        <v>16</v>
      </c>
      <c r="G674" t="s">
        <v>17</v>
      </c>
      <c r="H674" s="1">
        <v>44116</v>
      </c>
      <c r="J674">
        <v>1352000</v>
      </c>
      <c r="K674">
        <v>0</v>
      </c>
      <c r="L674" t="s">
        <v>24</v>
      </c>
      <c r="M674">
        <f ca="1">IF(Table1[[#This Row],[Exit]]="",DATEDIF(Table1[[#This Row],[Hire]],TODAY(),"Y"),DATEDIF(Table1[[#This Row],[Hire]],Table1[[#This Row],[Exit]],"Y"))</f>
        <v>5</v>
      </c>
      <c r="N674">
        <f>FLOOR(Table1[[#This Row],[Age]],10)</f>
        <v>30</v>
      </c>
      <c r="O674" t="str">
        <f>IF(Table1[[#This Row],[Age]]&lt;30,"20-29",IF(Table1[[#This Row],[Age]]&lt;40,"30-39",IF(Table1[[#This Row],[Age]]&lt;50,"40-49",IF(Table1[[#This Row],[Age]]&lt;60,"50-59","60+"))))</f>
        <v>30-39</v>
      </c>
    </row>
    <row r="675" spans="1:15" x14ac:dyDescent="0.25">
      <c r="A675" t="s">
        <v>1330</v>
      </c>
      <c r="B675" t="s">
        <v>1331</v>
      </c>
      <c r="C675" t="s">
        <v>21</v>
      </c>
      <c r="D675">
        <v>45</v>
      </c>
      <c r="E675" t="s">
        <v>22</v>
      </c>
      <c r="F675" t="s">
        <v>16</v>
      </c>
      <c r="G675" t="s">
        <v>23</v>
      </c>
      <c r="H675" s="1">
        <v>44588</v>
      </c>
      <c r="J675">
        <v>1354000</v>
      </c>
      <c r="K675">
        <v>0</v>
      </c>
      <c r="L675" t="s">
        <v>24</v>
      </c>
      <c r="M675">
        <f ca="1">IF(Table1[[#This Row],[Exit]]="",DATEDIF(Table1[[#This Row],[Hire]],TODAY(),"Y"),DATEDIF(Table1[[#This Row],[Hire]],Table1[[#This Row],[Exit]],"Y"))</f>
        <v>4</v>
      </c>
      <c r="N675">
        <f>FLOOR(Table1[[#This Row],[Age]],10)</f>
        <v>40</v>
      </c>
      <c r="O675" t="str">
        <f>IF(Table1[[#This Row],[Age]]&lt;30,"20-29",IF(Table1[[#This Row],[Age]]&lt;40,"30-39",IF(Table1[[#This Row],[Age]]&lt;50,"40-49",IF(Table1[[#This Row],[Age]]&lt;60,"50-59","60+"))))</f>
        <v>40-49</v>
      </c>
    </row>
    <row r="676" spans="1:15" x14ac:dyDescent="0.25">
      <c r="A676" t="s">
        <v>73</v>
      </c>
      <c r="B676" t="s">
        <v>1332</v>
      </c>
      <c r="C676" t="s">
        <v>21</v>
      </c>
      <c r="D676">
        <v>51</v>
      </c>
      <c r="E676" t="s">
        <v>27</v>
      </c>
      <c r="F676" t="s">
        <v>28</v>
      </c>
      <c r="G676" t="s">
        <v>17</v>
      </c>
      <c r="H676" s="1">
        <v>45337</v>
      </c>
      <c r="J676">
        <v>1356000</v>
      </c>
      <c r="K676">
        <v>0</v>
      </c>
      <c r="L676" t="s">
        <v>24</v>
      </c>
      <c r="M676">
        <f ca="1">IF(Table1[[#This Row],[Exit]]="",DATEDIF(Table1[[#This Row],[Hire]],TODAY(),"Y"),DATEDIF(Table1[[#This Row],[Hire]],Table1[[#This Row],[Exit]],"Y"))</f>
        <v>1</v>
      </c>
      <c r="N676">
        <f>FLOOR(Table1[[#This Row],[Age]],10)</f>
        <v>50</v>
      </c>
      <c r="O676" t="str">
        <f>IF(Table1[[#This Row],[Age]]&lt;30,"20-29",IF(Table1[[#This Row],[Age]]&lt;40,"30-39",IF(Table1[[#This Row],[Age]]&lt;50,"40-49",IF(Table1[[#This Row],[Age]]&lt;60,"50-59","60+"))))</f>
        <v>50-59</v>
      </c>
    </row>
    <row r="677" spans="1:15" x14ac:dyDescent="0.25">
      <c r="A677" t="s">
        <v>75</v>
      </c>
      <c r="B677" t="s">
        <v>1333</v>
      </c>
      <c r="C677" t="s">
        <v>21</v>
      </c>
      <c r="D677">
        <v>41</v>
      </c>
      <c r="E677" t="s">
        <v>31</v>
      </c>
      <c r="F677" t="s">
        <v>16</v>
      </c>
      <c r="G677" t="s">
        <v>23</v>
      </c>
      <c r="H677" s="1">
        <v>44602</v>
      </c>
      <c r="I677" s="1">
        <v>45440</v>
      </c>
      <c r="J677">
        <v>1358000</v>
      </c>
      <c r="K677">
        <v>0</v>
      </c>
      <c r="L677" t="s">
        <v>18</v>
      </c>
      <c r="M677">
        <f ca="1">IF(Table1[[#This Row],[Exit]]="",DATEDIF(Table1[[#This Row],[Hire]],TODAY(),"Y"),DATEDIF(Table1[[#This Row],[Hire]],Table1[[#This Row],[Exit]],"Y"))</f>
        <v>2</v>
      </c>
      <c r="N677">
        <f>FLOOR(Table1[[#This Row],[Age]],10)</f>
        <v>40</v>
      </c>
      <c r="O677" t="str">
        <f>IF(Table1[[#This Row],[Age]]&lt;30,"20-29",IF(Table1[[#This Row],[Age]]&lt;40,"30-39",IF(Table1[[#This Row],[Age]]&lt;50,"40-49",IF(Table1[[#This Row],[Age]]&lt;60,"50-59","60+"))))</f>
        <v>40-49</v>
      </c>
    </row>
    <row r="678" spans="1:15" x14ac:dyDescent="0.25">
      <c r="A678" t="s">
        <v>1334</v>
      </c>
      <c r="B678" t="s">
        <v>1335</v>
      </c>
      <c r="C678" t="s">
        <v>21</v>
      </c>
      <c r="D678">
        <v>47</v>
      </c>
      <c r="E678" t="s">
        <v>27</v>
      </c>
      <c r="F678" t="s">
        <v>28</v>
      </c>
      <c r="G678" t="s">
        <v>34</v>
      </c>
      <c r="H678" s="1">
        <v>44183</v>
      </c>
      <c r="J678">
        <v>1360000</v>
      </c>
      <c r="K678">
        <v>0</v>
      </c>
      <c r="L678" t="s">
        <v>24</v>
      </c>
      <c r="M678">
        <f ca="1">IF(Table1[[#This Row],[Exit]]="",DATEDIF(Table1[[#This Row],[Hire]],TODAY(),"Y"),DATEDIF(Table1[[#This Row],[Hire]],Table1[[#This Row],[Exit]],"Y"))</f>
        <v>5</v>
      </c>
      <c r="N678">
        <f>FLOOR(Table1[[#This Row],[Age]],10)</f>
        <v>40</v>
      </c>
      <c r="O678" t="str">
        <f>IF(Table1[[#This Row],[Age]]&lt;30,"20-29",IF(Table1[[#This Row],[Age]]&lt;40,"30-39",IF(Table1[[#This Row],[Age]]&lt;50,"40-49",IF(Table1[[#This Row],[Age]]&lt;60,"50-59","60+"))))</f>
        <v>40-49</v>
      </c>
    </row>
    <row r="679" spans="1:15" x14ac:dyDescent="0.25">
      <c r="A679" t="s">
        <v>77</v>
      </c>
      <c r="B679" t="s">
        <v>1336</v>
      </c>
      <c r="C679" t="s">
        <v>14</v>
      </c>
      <c r="D679">
        <v>38</v>
      </c>
      <c r="E679" t="s">
        <v>15</v>
      </c>
      <c r="F679" t="s">
        <v>16</v>
      </c>
      <c r="G679" t="s">
        <v>23</v>
      </c>
      <c r="H679" s="1">
        <v>43837</v>
      </c>
      <c r="J679">
        <v>1362000</v>
      </c>
      <c r="K679">
        <v>0</v>
      </c>
      <c r="L679" t="s">
        <v>24</v>
      </c>
      <c r="M679">
        <f ca="1">IF(Table1[[#This Row],[Exit]]="",DATEDIF(Table1[[#This Row],[Hire]],TODAY(),"Y"),DATEDIF(Table1[[#This Row],[Hire]],Table1[[#This Row],[Exit]],"Y"))</f>
        <v>6</v>
      </c>
      <c r="N679">
        <f>FLOOR(Table1[[#This Row],[Age]],10)</f>
        <v>30</v>
      </c>
      <c r="O679" t="str">
        <f>IF(Table1[[#This Row],[Age]]&lt;30,"20-29",IF(Table1[[#This Row],[Age]]&lt;40,"30-39",IF(Table1[[#This Row],[Age]]&lt;50,"40-49",IF(Table1[[#This Row],[Age]]&lt;60,"50-59","60+"))))</f>
        <v>30-39</v>
      </c>
    </row>
    <row r="680" spans="1:15" x14ac:dyDescent="0.25">
      <c r="A680" t="s">
        <v>1337</v>
      </c>
      <c r="B680" t="s">
        <v>1338</v>
      </c>
      <c r="C680" t="s">
        <v>21</v>
      </c>
      <c r="D680">
        <v>40</v>
      </c>
      <c r="E680" t="s">
        <v>15</v>
      </c>
      <c r="F680" t="s">
        <v>16</v>
      </c>
      <c r="G680" t="s">
        <v>34</v>
      </c>
      <c r="H680" s="1">
        <v>45206</v>
      </c>
      <c r="J680">
        <v>1364000</v>
      </c>
      <c r="K680">
        <v>0</v>
      </c>
      <c r="L680" t="s">
        <v>24</v>
      </c>
      <c r="M680">
        <f ca="1">IF(Table1[[#This Row],[Exit]]="",DATEDIF(Table1[[#This Row],[Hire]],TODAY(),"Y"),DATEDIF(Table1[[#This Row],[Hire]],Table1[[#This Row],[Exit]],"Y"))</f>
        <v>2</v>
      </c>
      <c r="N680">
        <f>FLOOR(Table1[[#This Row],[Age]],10)</f>
        <v>40</v>
      </c>
      <c r="O680" t="str">
        <f>IF(Table1[[#This Row],[Age]]&lt;30,"20-29",IF(Table1[[#This Row],[Age]]&lt;40,"30-39",IF(Table1[[#This Row],[Age]]&lt;50,"40-49",IF(Table1[[#This Row],[Age]]&lt;60,"50-59","60+"))))</f>
        <v>40-49</v>
      </c>
    </row>
    <row r="681" spans="1:15" x14ac:dyDescent="0.25">
      <c r="A681" t="s">
        <v>1339</v>
      </c>
      <c r="B681" t="s">
        <v>1340</v>
      </c>
      <c r="C681" t="s">
        <v>14</v>
      </c>
      <c r="D681">
        <v>45</v>
      </c>
      <c r="E681" t="s">
        <v>42</v>
      </c>
      <c r="F681" t="s">
        <v>43</v>
      </c>
      <c r="G681" t="s">
        <v>34</v>
      </c>
      <c r="H681" s="1">
        <v>44487</v>
      </c>
      <c r="J681">
        <v>1366000</v>
      </c>
      <c r="K681">
        <v>0</v>
      </c>
      <c r="L681" t="s">
        <v>24</v>
      </c>
      <c r="M681">
        <f ca="1">IF(Table1[[#This Row],[Exit]]="",DATEDIF(Table1[[#This Row],[Hire]],TODAY(),"Y"),DATEDIF(Table1[[#This Row],[Hire]],Table1[[#This Row],[Exit]],"Y"))</f>
        <v>4</v>
      </c>
      <c r="N681">
        <f>FLOOR(Table1[[#This Row],[Age]],10)</f>
        <v>40</v>
      </c>
      <c r="O681" t="str">
        <f>IF(Table1[[#This Row],[Age]]&lt;30,"20-29",IF(Table1[[#This Row],[Age]]&lt;40,"30-39",IF(Table1[[#This Row],[Age]]&lt;50,"40-49",IF(Table1[[#This Row],[Age]]&lt;60,"50-59","60+"))))</f>
        <v>40-49</v>
      </c>
    </row>
    <row r="682" spans="1:15" x14ac:dyDescent="0.25">
      <c r="A682" t="s">
        <v>1341</v>
      </c>
      <c r="B682" t="s">
        <v>1342</v>
      </c>
      <c r="C682" t="s">
        <v>14</v>
      </c>
      <c r="D682">
        <v>26</v>
      </c>
      <c r="E682" t="s">
        <v>42</v>
      </c>
      <c r="F682" t="s">
        <v>46</v>
      </c>
      <c r="G682" t="s">
        <v>23</v>
      </c>
      <c r="H682" s="1">
        <v>44061</v>
      </c>
      <c r="I682" s="1">
        <v>44564</v>
      </c>
      <c r="J682">
        <v>1368000</v>
      </c>
      <c r="K682">
        <v>0.06</v>
      </c>
      <c r="L682" t="s">
        <v>18</v>
      </c>
      <c r="M682">
        <f ca="1">IF(Table1[[#This Row],[Exit]]="",DATEDIF(Table1[[#This Row],[Hire]],TODAY(),"Y"),DATEDIF(Table1[[#This Row],[Hire]],Table1[[#This Row],[Exit]],"Y"))</f>
        <v>1</v>
      </c>
      <c r="N682">
        <f>FLOOR(Table1[[#This Row],[Age]],10)</f>
        <v>20</v>
      </c>
      <c r="O682" t="str">
        <f>IF(Table1[[#This Row],[Age]]&lt;30,"20-29",IF(Table1[[#This Row],[Age]]&lt;40,"30-39",IF(Table1[[#This Row],[Age]]&lt;50,"40-49",IF(Table1[[#This Row],[Age]]&lt;60,"50-59","60+"))))</f>
        <v>20-29</v>
      </c>
    </row>
    <row r="683" spans="1:15" x14ac:dyDescent="0.25">
      <c r="A683" t="s">
        <v>1343</v>
      </c>
      <c r="B683" t="s">
        <v>1344</v>
      </c>
      <c r="C683" t="s">
        <v>14</v>
      </c>
      <c r="D683">
        <v>35</v>
      </c>
      <c r="E683" t="s">
        <v>42</v>
      </c>
      <c r="F683" t="s">
        <v>49</v>
      </c>
      <c r="G683" t="s">
        <v>17</v>
      </c>
      <c r="H683" s="1">
        <v>44344</v>
      </c>
      <c r="I683" s="1">
        <v>45074</v>
      </c>
      <c r="J683">
        <v>1370000</v>
      </c>
      <c r="K683">
        <v>0.05</v>
      </c>
      <c r="L683" t="s">
        <v>18</v>
      </c>
      <c r="M683">
        <f ca="1">IF(Table1[[#This Row],[Exit]]="",DATEDIF(Table1[[#This Row],[Hire]],TODAY(),"Y"),DATEDIF(Table1[[#This Row],[Hire]],Table1[[#This Row],[Exit]],"Y"))</f>
        <v>2</v>
      </c>
      <c r="N683">
        <f>FLOOR(Table1[[#This Row],[Age]],10)</f>
        <v>30</v>
      </c>
      <c r="O683" t="str">
        <f>IF(Table1[[#This Row],[Age]]&lt;30,"20-29",IF(Table1[[#This Row],[Age]]&lt;40,"30-39",IF(Table1[[#This Row],[Age]]&lt;50,"40-49",IF(Table1[[#This Row],[Age]]&lt;60,"50-59","60+"))))</f>
        <v>30-39</v>
      </c>
    </row>
    <row r="684" spans="1:15" x14ac:dyDescent="0.25">
      <c r="A684" t="s">
        <v>404</v>
      </c>
      <c r="B684" t="s">
        <v>1345</v>
      </c>
      <c r="C684" t="s">
        <v>355</v>
      </c>
      <c r="D684">
        <v>29</v>
      </c>
      <c r="E684" t="s">
        <v>52</v>
      </c>
      <c r="F684" t="s">
        <v>16</v>
      </c>
      <c r="G684" t="s">
        <v>53</v>
      </c>
      <c r="H684" s="1">
        <v>44811</v>
      </c>
      <c r="I684" s="1">
        <v>45245</v>
      </c>
      <c r="J684">
        <v>1372000</v>
      </c>
      <c r="K684">
        <v>0</v>
      </c>
      <c r="L684" t="s">
        <v>18</v>
      </c>
      <c r="M684">
        <f ca="1">IF(Table1[[#This Row],[Exit]]="",DATEDIF(Table1[[#This Row],[Hire]],TODAY(),"Y"),DATEDIF(Table1[[#This Row],[Hire]],Table1[[#This Row],[Exit]],"Y"))</f>
        <v>1</v>
      </c>
      <c r="N684">
        <f>FLOOR(Table1[[#This Row],[Age]],10)</f>
        <v>20</v>
      </c>
      <c r="O684" t="str">
        <f>IF(Table1[[#This Row],[Age]]&lt;30,"20-29",IF(Table1[[#This Row],[Age]]&lt;40,"30-39",IF(Table1[[#This Row],[Age]]&lt;50,"40-49",IF(Table1[[#This Row],[Age]]&lt;60,"50-59","60+"))))</f>
        <v>20-29</v>
      </c>
    </row>
    <row r="685" spans="1:15" x14ac:dyDescent="0.25">
      <c r="A685" t="s">
        <v>1346</v>
      </c>
      <c r="B685" t="s">
        <v>1347</v>
      </c>
      <c r="C685" t="s">
        <v>14</v>
      </c>
      <c r="D685">
        <v>35</v>
      </c>
      <c r="E685" t="s">
        <v>42</v>
      </c>
      <c r="F685" t="s">
        <v>46</v>
      </c>
      <c r="G685" t="s">
        <v>53</v>
      </c>
      <c r="H685" s="1">
        <v>43833</v>
      </c>
      <c r="I685" s="1">
        <v>45312</v>
      </c>
      <c r="J685">
        <v>1374000</v>
      </c>
      <c r="K685">
        <v>0.13</v>
      </c>
      <c r="L685" t="s">
        <v>18</v>
      </c>
      <c r="M685">
        <f ca="1">IF(Table1[[#This Row],[Exit]]="",DATEDIF(Table1[[#This Row],[Hire]],TODAY(),"Y"),DATEDIF(Table1[[#This Row],[Hire]],Table1[[#This Row],[Exit]],"Y"))</f>
        <v>4</v>
      </c>
      <c r="N685">
        <f>FLOOR(Table1[[#This Row],[Age]],10)</f>
        <v>30</v>
      </c>
      <c r="O685" t="str">
        <f>IF(Table1[[#This Row],[Age]]&lt;30,"20-29",IF(Table1[[#This Row],[Age]]&lt;40,"30-39",IF(Table1[[#This Row],[Age]]&lt;50,"40-49",IF(Table1[[#This Row],[Age]]&lt;60,"50-59","60+"))))</f>
        <v>30-39</v>
      </c>
    </row>
    <row r="686" spans="1:15" x14ac:dyDescent="0.25">
      <c r="A686" t="s">
        <v>1348</v>
      </c>
      <c r="B686" t="s">
        <v>1349</v>
      </c>
      <c r="C686" t="s">
        <v>21</v>
      </c>
      <c r="D686">
        <v>51</v>
      </c>
      <c r="E686" t="s">
        <v>58</v>
      </c>
      <c r="F686" t="s">
        <v>59</v>
      </c>
      <c r="G686" t="s">
        <v>34</v>
      </c>
      <c r="H686" s="1">
        <v>45074</v>
      </c>
      <c r="J686">
        <v>1376000</v>
      </c>
      <c r="K686">
        <v>0.2</v>
      </c>
      <c r="L686" t="s">
        <v>24</v>
      </c>
      <c r="M686">
        <f ca="1">IF(Table1[[#This Row],[Exit]]="",DATEDIF(Table1[[#This Row],[Hire]],TODAY(),"Y"),DATEDIF(Table1[[#This Row],[Hire]],Table1[[#This Row],[Exit]],"Y"))</f>
        <v>2</v>
      </c>
      <c r="N686">
        <f>FLOOR(Table1[[#This Row],[Age]],10)</f>
        <v>50</v>
      </c>
      <c r="O686" t="str">
        <f>IF(Table1[[#This Row],[Age]]&lt;30,"20-29",IF(Table1[[#This Row],[Age]]&lt;40,"30-39",IF(Table1[[#This Row],[Age]]&lt;50,"40-49",IF(Table1[[#This Row],[Age]]&lt;60,"50-59","60+"))))</f>
        <v>50-59</v>
      </c>
    </row>
    <row r="687" spans="1:15" x14ac:dyDescent="0.25">
      <c r="A687" t="s">
        <v>1350</v>
      </c>
      <c r="B687" t="s">
        <v>1351</v>
      </c>
      <c r="C687" t="s">
        <v>14</v>
      </c>
      <c r="D687">
        <v>46</v>
      </c>
      <c r="E687" t="s">
        <v>52</v>
      </c>
      <c r="F687" t="s">
        <v>16</v>
      </c>
      <c r="G687" t="s">
        <v>23</v>
      </c>
      <c r="H687" s="1">
        <v>45245</v>
      </c>
      <c r="J687">
        <v>1378000</v>
      </c>
      <c r="K687">
        <v>0</v>
      </c>
      <c r="L687" t="s">
        <v>24</v>
      </c>
      <c r="M687">
        <f ca="1">IF(Table1[[#This Row],[Exit]]="",DATEDIF(Table1[[#This Row],[Hire]],TODAY(),"Y"),DATEDIF(Table1[[#This Row],[Hire]],Table1[[#This Row],[Exit]],"Y"))</f>
        <v>2</v>
      </c>
      <c r="N687">
        <f>FLOOR(Table1[[#This Row],[Age]],10)</f>
        <v>40</v>
      </c>
      <c r="O687" t="str">
        <f>IF(Table1[[#This Row],[Age]]&lt;30,"20-29",IF(Table1[[#This Row],[Age]]&lt;40,"30-39",IF(Table1[[#This Row],[Age]]&lt;50,"40-49",IF(Table1[[#This Row],[Age]]&lt;60,"50-59","60+"))))</f>
        <v>40-49</v>
      </c>
    </row>
    <row r="688" spans="1:15" x14ac:dyDescent="0.25">
      <c r="A688" t="s">
        <v>1352</v>
      </c>
      <c r="B688" t="s">
        <v>1353</v>
      </c>
      <c r="C688" t="s">
        <v>21</v>
      </c>
      <c r="D688">
        <v>51</v>
      </c>
      <c r="E688" t="s">
        <v>52</v>
      </c>
      <c r="F688" t="s">
        <v>16</v>
      </c>
      <c r="G688" t="s">
        <v>34</v>
      </c>
      <c r="H688" s="1">
        <v>43851</v>
      </c>
      <c r="J688">
        <v>1380000</v>
      </c>
      <c r="K688">
        <v>0</v>
      </c>
      <c r="L688" t="s">
        <v>24</v>
      </c>
      <c r="M688">
        <f ca="1">IF(Table1[[#This Row],[Exit]]="",DATEDIF(Table1[[#This Row],[Hire]],TODAY(),"Y"),DATEDIF(Table1[[#This Row],[Hire]],Table1[[#This Row],[Exit]],"Y"))</f>
        <v>6</v>
      </c>
      <c r="N688">
        <f>FLOOR(Table1[[#This Row],[Age]],10)</f>
        <v>50</v>
      </c>
      <c r="O688" t="str">
        <f>IF(Table1[[#This Row],[Age]]&lt;30,"20-29",IF(Table1[[#This Row],[Age]]&lt;40,"30-39",IF(Table1[[#This Row],[Age]]&lt;50,"40-49",IF(Table1[[#This Row],[Age]]&lt;60,"50-59","60+"))))</f>
        <v>50-59</v>
      </c>
    </row>
    <row r="689" spans="1:15" x14ac:dyDescent="0.25">
      <c r="A689" t="s">
        <v>1354</v>
      </c>
      <c r="B689" t="s">
        <v>1355</v>
      </c>
      <c r="C689" t="s">
        <v>14</v>
      </c>
      <c r="D689">
        <v>46</v>
      </c>
      <c r="E689" t="s">
        <v>66</v>
      </c>
      <c r="F689" t="s">
        <v>16</v>
      </c>
      <c r="G689" t="s">
        <v>17</v>
      </c>
      <c r="H689" s="1">
        <v>45206</v>
      </c>
      <c r="J689">
        <v>1382000</v>
      </c>
      <c r="K689">
        <v>0</v>
      </c>
      <c r="L689" t="s">
        <v>24</v>
      </c>
      <c r="M689">
        <f ca="1">IF(Table1[[#This Row],[Exit]]="",DATEDIF(Table1[[#This Row],[Hire]],TODAY(),"Y"),DATEDIF(Table1[[#This Row],[Hire]],Table1[[#This Row],[Exit]],"Y"))</f>
        <v>2</v>
      </c>
      <c r="N689">
        <f>FLOOR(Table1[[#This Row],[Age]],10)</f>
        <v>40</v>
      </c>
      <c r="O689" t="str">
        <f>IF(Table1[[#This Row],[Age]]&lt;30,"20-29",IF(Table1[[#This Row],[Age]]&lt;40,"30-39",IF(Table1[[#This Row],[Age]]&lt;50,"40-49",IF(Table1[[#This Row],[Age]]&lt;60,"50-59","60+"))))</f>
        <v>40-49</v>
      </c>
    </row>
    <row r="690" spans="1:15" x14ac:dyDescent="0.25">
      <c r="A690" t="s">
        <v>374</v>
      </c>
      <c r="B690" t="s">
        <v>1356</v>
      </c>
      <c r="C690" t="s">
        <v>21</v>
      </c>
      <c r="D690">
        <v>36</v>
      </c>
      <c r="E690" t="s">
        <v>58</v>
      </c>
      <c r="F690" t="s">
        <v>59</v>
      </c>
      <c r="G690" t="s">
        <v>23</v>
      </c>
      <c r="H690" s="1">
        <v>45401</v>
      </c>
      <c r="J690">
        <v>1384000</v>
      </c>
      <c r="K690">
        <v>0</v>
      </c>
      <c r="L690" t="s">
        <v>24</v>
      </c>
      <c r="M690">
        <f ca="1">IF(Table1[[#This Row],[Exit]]="",DATEDIF(Table1[[#This Row],[Hire]],TODAY(),"Y"),DATEDIF(Table1[[#This Row],[Hire]],Table1[[#This Row],[Exit]],"Y"))</f>
        <v>1</v>
      </c>
      <c r="N690">
        <f>FLOOR(Table1[[#This Row],[Age]],10)</f>
        <v>30</v>
      </c>
      <c r="O690" t="str">
        <f>IF(Table1[[#This Row],[Age]]&lt;30,"20-29",IF(Table1[[#This Row],[Age]]&lt;40,"30-39",IF(Table1[[#This Row],[Age]]&lt;50,"40-49",IF(Table1[[#This Row],[Age]]&lt;60,"50-59","60+"))))</f>
        <v>30-39</v>
      </c>
    </row>
    <row r="691" spans="1:15" x14ac:dyDescent="0.25">
      <c r="A691" t="s">
        <v>1357</v>
      </c>
      <c r="B691" t="s">
        <v>1358</v>
      </c>
      <c r="C691" t="s">
        <v>21</v>
      </c>
      <c r="D691">
        <v>45</v>
      </c>
      <c r="E691" t="s">
        <v>66</v>
      </c>
      <c r="F691" t="s">
        <v>16</v>
      </c>
      <c r="G691" t="s">
        <v>34</v>
      </c>
      <c r="H691" s="1">
        <v>44083</v>
      </c>
      <c r="J691">
        <v>1386000</v>
      </c>
      <c r="K691">
        <v>0.09</v>
      </c>
      <c r="L691" t="s">
        <v>24</v>
      </c>
      <c r="M691">
        <f ca="1">IF(Table1[[#This Row],[Exit]]="",DATEDIF(Table1[[#This Row],[Hire]],TODAY(),"Y"),DATEDIF(Table1[[#This Row],[Hire]],Table1[[#This Row],[Exit]],"Y"))</f>
        <v>5</v>
      </c>
      <c r="N691">
        <f>FLOOR(Table1[[#This Row],[Age]],10)</f>
        <v>40</v>
      </c>
      <c r="O691" t="str">
        <f>IF(Table1[[#This Row],[Age]]&lt;30,"20-29",IF(Table1[[#This Row],[Age]]&lt;40,"30-39",IF(Table1[[#This Row],[Age]]&lt;50,"40-49",IF(Table1[[#This Row],[Age]]&lt;60,"50-59","60+"))))</f>
        <v>40-49</v>
      </c>
    </row>
    <row r="692" spans="1:15" x14ac:dyDescent="0.25">
      <c r="A692" t="s">
        <v>1359</v>
      </c>
      <c r="B692" t="s">
        <v>1360</v>
      </c>
      <c r="C692" t="s">
        <v>41</v>
      </c>
      <c r="D692">
        <v>37</v>
      </c>
      <c r="E692" t="s">
        <v>66</v>
      </c>
      <c r="F692" t="s">
        <v>16</v>
      </c>
      <c r="G692" t="s">
        <v>53</v>
      </c>
      <c r="H692" s="1">
        <v>45233</v>
      </c>
      <c r="J692">
        <v>1388000</v>
      </c>
      <c r="K692">
        <v>0</v>
      </c>
      <c r="L692" t="s">
        <v>24</v>
      </c>
      <c r="M692">
        <f ca="1">IF(Table1[[#This Row],[Exit]]="",DATEDIF(Table1[[#This Row],[Hire]],TODAY(),"Y"),DATEDIF(Table1[[#This Row],[Hire]],Table1[[#This Row],[Exit]],"Y"))</f>
        <v>2</v>
      </c>
      <c r="N692">
        <f>FLOOR(Table1[[#This Row],[Age]],10)</f>
        <v>30</v>
      </c>
      <c r="O692" t="str">
        <f>IF(Table1[[#This Row],[Age]]&lt;30,"20-29",IF(Table1[[#This Row],[Age]]&lt;40,"30-39",IF(Table1[[#This Row],[Age]]&lt;50,"40-49",IF(Table1[[#This Row],[Age]]&lt;60,"50-59","60+"))))</f>
        <v>30-39</v>
      </c>
    </row>
    <row r="693" spans="1:15" x14ac:dyDescent="0.25">
      <c r="A693" t="s">
        <v>93</v>
      </c>
      <c r="B693" t="s">
        <v>1361</v>
      </c>
      <c r="C693" t="s">
        <v>21</v>
      </c>
      <c r="D693">
        <v>51</v>
      </c>
      <c r="E693" t="s">
        <v>66</v>
      </c>
      <c r="F693" t="s">
        <v>49</v>
      </c>
      <c r="G693" t="s">
        <v>17</v>
      </c>
      <c r="H693" s="1">
        <v>45440</v>
      </c>
      <c r="J693">
        <v>1390000</v>
      </c>
      <c r="K693">
        <v>0.15</v>
      </c>
      <c r="L693" t="s">
        <v>24</v>
      </c>
      <c r="M693">
        <f ca="1">IF(Table1[[#This Row],[Exit]]="",DATEDIF(Table1[[#This Row],[Hire]],TODAY(),"Y"),DATEDIF(Table1[[#This Row],[Hire]],Table1[[#This Row],[Exit]],"Y"))</f>
        <v>1</v>
      </c>
      <c r="N693">
        <f>FLOOR(Table1[[#This Row],[Age]],10)</f>
        <v>50</v>
      </c>
      <c r="O693" t="str">
        <f>IF(Table1[[#This Row],[Age]]&lt;30,"20-29",IF(Table1[[#This Row],[Age]]&lt;40,"30-39",IF(Table1[[#This Row],[Age]]&lt;50,"40-49",IF(Table1[[#This Row],[Age]]&lt;60,"50-59","60+"))))</f>
        <v>50-59</v>
      </c>
    </row>
    <row r="694" spans="1:15" x14ac:dyDescent="0.25">
      <c r="A694" t="s">
        <v>1362</v>
      </c>
      <c r="B694" t="s">
        <v>1363</v>
      </c>
      <c r="C694" t="s">
        <v>14</v>
      </c>
      <c r="D694">
        <v>56</v>
      </c>
      <c r="E694" t="s">
        <v>58</v>
      </c>
      <c r="F694" t="s">
        <v>16</v>
      </c>
      <c r="G694" t="s">
        <v>53</v>
      </c>
      <c r="H694" s="1">
        <v>44811</v>
      </c>
      <c r="J694">
        <v>1392000</v>
      </c>
      <c r="K694">
        <v>0</v>
      </c>
      <c r="L694" t="s">
        <v>24</v>
      </c>
      <c r="M694">
        <f ca="1">IF(Table1[[#This Row],[Exit]]="",DATEDIF(Table1[[#This Row],[Hire]],TODAY(),"Y"),DATEDIF(Table1[[#This Row],[Hire]],Table1[[#This Row],[Exit]],"Y"))</f>
        <v>3</v>
      </c>
      <c r="N694">
        <f>FLOOR(Table1[[#This Row],[Age]],10)</f>
        <v>50</v>
      </c>
      <c r="O694" t="str">
        <f>IF(Table1[[#This Row],[Age]]&lt;30,"20-29",IF(Table1[[#This Row],[Age]]&lt;40,"30-39",IF(Table1[[#This Row],[Age]]&lt;50,"40-49",IF(Table1[[#This Row],[Age]]&lt;60,"50-59","60+"))))</f>
        <v>50-59</v>
      </c>
    </row>
    <row r="695" spans="1:15" x14ac:dyDescent="0.25">
      <c r="A695" t="s">
        <v>1364</v>
      </c>
      <c r="B695" t="s">
        <v>1365</v>
      </c>
      <c r="C695" t="s">
        <v>41</v>
      </c>
      <c r="D695">
        <v>53</v>
      </c>
      <c r="E695" t="s">
        <v>15</v>
      </c>
      <c r="F695" t="s">
        <v>46</v>
      </c>
      <c r="G695" t="s">
        <v>53</v>
      </c>
      <c r="H695" s="1">
        <v>44564</v>
      </c>
      <c r="I695" s="1">
        <v>45206</v>
      </c>
      <c r="J695">
        <v>1394000</v>
      </c>
      <c r="K695">
        <v>0.26</v>
      </c>
      <c r="L695" t="s">
        <v>18</v>
      </c>
      <c r="M695">
        <f ca="1">IF(Table1[[#This Row],[Exit]]="",DATEDIF(Table1[[#This Row],[Hire]],TODAY(),"Y"),DATEDIF(Table1[[#This Row],[Hire]],Table1[[#This Row],[Exit]],"Y"))</f>
        <v>1</v>
      </c>
      <c r="N695">
        <f>FLOOR(Table1[[#This Row],[Age]],10)</f>
        <v>50</v>
      </c>
      <c r="O695" t="str">
        <f>IF(Table1[[#This Row],[Age]]&lt;30,"20-29",IF(Table1[[#This Row],[Age]]&lt;40,"30-39",IF(Table1[[#This Row],[Age]]&lt;50,"40-49",IF(Table1[[#This Row],[Age]]&lt;60,"50-59","60+"))))</f>
        <v>50-59</v>
      </c>
    </row>
    <row r="696" spans="1:15" x14ac:dyDescent="0.25">
      <c r="A696" t="s">
        <v>1366</v>
      </c>
      <c r="B696" t="s">
        <v>1367</v>
      </c>
      <c r="C696" t="s">
        <v>14</v>
      </c>
      <c r="D696">
        <v>47</v>
      </c>
      <c r="E696" t="s">
        <v>22</v>
      </c>
      <c r="F696" t="s">
        <v>59</v>
      </c>
      <c r="G696" t="s">
        <v>34</v>
      </c>
      <c r="H696" s="1">
        <v>45074</v>
      </c>
      <c r="J696">
        <v>1396000</v>
      </c>
      <c r="K696">
        <v>0</v>
      </c>
      <c r="L696" t="s">
        <v>24</v>
      </c>
      <c r="M696">
        <f ca="1">IF(Table1[[#This Row],[Exit]]="",DATEDIF(Table1[[#This Row],[Hire]],TODAY(),"Y"),DATEDIF(Table1[[#This Row],[Hire]],Table1[[#This Row],[Exit]],"Y"))</f>
        <v>2</v>
      </c>
      <c r="N696">
        <f>FLOOR(Table1[[#This Row],[Age]],10)</f>
        <v>40</v>
      </c>
      <c r="O696" t="str">
        <f>IF(Table1[[#This Row],[Age]]&lt;30,"20-29",IF(Table1[[#This Row],[Age]]&lt;40,"30-39",IF(Table1[[#This Row],[Age]]&lt;50,"40-49",IF(Table1[[#This Row],[Age]]&lt;60,"50-59","60+"))))</f>
        <v>40-49</v>
      </c>
    </row>
    <row r="697" spans="1:15" x14ac:dyDescent="0.25">
      <c r="A697" t="s">
        <v>1368</v>
      </c>
      <c r="B697" t="s">
        <v>1369</v>
      </c>
      <c r="C697" t="s">
        <v>21</v>
      </c>
      <c r="D697">
        <v>36</v>
      </c>
      <c r="E697" t="s">
        <v>81</v>
      </c>
      <c r="F697" t="s">
        <v>16</v>
      </c>
      <c r="G697" t="s">
        <v>23</v>
      </c>
      <c r="H697" s="1">
        <v>45245</v>
      </c>
      <c r="J697">
        <v>1398000</v>
      </c>
      <c r="K697">
        <v>0.12</v>
      </c>
      <c r="L697" t="s">
        <v>24</v>
      </c>
      <c r="M697">
        <f ca="1">IF(Table1[[#This Row],[Exit]]="",DATEDIF(Table1[[#This Row],[Hire]],TODAY(),"Y"),DATEDIF(Table1[[#This Row],[Hire]],Table1[[#This Row],[Exit]],"Y"))</f>
        <v>2</v>
      </c>
      <c r="N697">
        <f>FLOOR(Table1[[#This Row],[Age]],10)</f>
        <v>30</v>
      </c>
      <c r="O697" t="str">
        <f>IF(Table1[[#This Row],[Age]]&lt;30,"20-29",IF(Table1[[#This Row],[Age]]&lt;40,"30-39",IF(Table1[[#This Row],[Age]]&lt;50,"40-49",IF(Table1[[#This Row],[Age]]&lt;60,"50-59","60+"))))</f>
        <v>30-39</v>
      </c>
    </row>
    <row r="698" spans="1:15" x14ac:dyDescent="0.25">
      <c r="A698" t="s">
        <v>448</v>
      </c>
      <c r="B698" t="s">
        <v>1370</v>
      </c>
      <c r="C698" t="s">
        <v>41</v>
      </c>
      <c r="D698">
        <v>41</v>
      </c>
      <c r="E698" t="s">
        <v>52</v>
      </c>
      <c r="F698" t="s">
        <v>16</v>
      </c>
      <c r="G698" t="s">
        <v>34</v>
      </c>
      <c r="H698" s="1">
        <v>43851</v>
      </c>
      <c r="J698">
        <v>1400000</v>
      </c>
      <c r="K698">
        <v>0</v>
      </c>
      <c r="L698" t="s">
        <v>24</v>
      </c>
      <c r="M698">
        <f ca="1">IF(Table1[[#This Row],[Exit]]="",DATEDIF(Table1[[#This Row],[Hire]],TODAY(),"Y"),DATEDIF(Table1[[#This Row],[Hire]],Table1[[#This Row],[Exit]],"Y"))</f>
        <v>6</v>
      </c>
      <c r="N698">
        <f>FLOOR(Table1[[#This Row],[Age]],10)</f>
        <v>40</v>
      </c>
      <c r="O698" t="str">
        <f>IF(Table1[[#This Row],[Age]]&lt;30,"20-29",IF(Table1[[#This Row],[Age]]&lt;40,"30-39",IF(Table1[[#This Row],[Age]]&lt;50,"40-49",IF(Table1[[#This Row],[Age]]&lt;60,"50-59","60+"))))</f>
        <v>40-49</v>
      </c>
    </row>
    <row r="699" spans="1:15" x14ac:dyDescent="0.25">
      <c r="A699" t="s">
        <v>1371</v>
      </c>
      <c r="B699" t="s">
        <v>1372</v>
      </c>
      <c r="C699" t="s">
        <v>14</v>
      </c>
      <c r="D699">
        <v>46</v>
      </c>
      <c r="E699" t="s">
        <v>66</v>
      </c>
      <c r="F699" t="s">
        <v>16</v>
      </c>
      <c r="G699" t="s">
        <v>17</v>
      </c>
      <c r="H699" s="1">
        <v>45206</v>
      </c>
      <c r="J699">
        <v>1402000</v>
      </c>
      <c r="K699">
        <v>0</v>
      </c>
      <c r="L699" t="s">
        <v>24</v>
      </c>
      <c r="M699">
        <f ca="1">IF(Table1[[#This Row],[Exit]]="",DATEDIF(Table1[[#This Row],[Hire]],TODAY(),"Y"),DATEDIF(Table1[[#This Row],[Hire]],Table1[[#This Row],[Exit]],"Y"))</f>
        <v>2</v>
      </c>
      <c r="N699">
        <f>FLOOR(Table1[[#This Row],[Age]],10)</f>
        <v>40</v>
      </c>
      <c r="O699" t="str">
        <f>IF(Table1[[#This Row],[Age]]&lt;30,"20-29",IF(Table1[[#This Row],[Age]]&lt;40,"30-39",IF(Table1[[#This Row],[Age]]&lt;50,"40-49",IF(Table1[[#This Row],[Age]]&lt;60,"50-59","60+"))))</f>
        <v>40-49</v>
      </c>
    </row>
    <row r="700" spans="1:15" x14ac:dyDescent="0.25">
      <c r="A700" t="s">
        <v>1373</v>
      </c>
      <c r="B700" t="s">
        <v>1374</v>
      </c>
      <c r="C700" t="s">
        <v>21</v>
      </c>
      <c r="D700">
        <v>51</v>
      </c>
      <c r="E700" t="s">
        <v>31</v>
      </c>
      <c r="F700" t="s">
        <v>59</v>
      </c>
      <c r="G700" t="s">
        <v>23</v>
      </c>
      <c r="H700" s="1">
        <v>45401</v>
      </c>
      <c r="J700">
        <v>1404000</v>
      </c>
      <c r="K700">
        <v>0</v>
      </c>
      <c r="L700" t="s">
        <v>24</v>
      </c>
      <c r="M700">
        <f ca="1">IF(Table1[[#This Row],[Exit]]="",DATEDIF(Table1[[#This Row],[Hire]],TODAY(),"Y"),DATEDIF(Table1[[#This Row],[Hire]],Table1[[#This Row],[Exit]],"Y"))</f>
        <v>1</v>
      </c>
      <c r="N700">
        <f>FLOOR(Table1[[#This Row],[Age]],10)</f>
        <v>50</v>
      </c>
      <c r="O700" t="str">
        <f>IF(Table1[[#This Row],[Age]]&lt;30,"20-29",IF(Table1[[#This Row],[Age]]&lt;40,"30-39",IF(Table1[[#This Row],[Age]]&lt;50,"40-49",IF(Table1[[#This Row],[Age]]&lt;60,"50-59","60+"))))</f>
        <v>50-59</v>
      </c>
    </row>
    <row r="701" spans="1:15" x14ac:dyDescent="0.25">
      <c r="A701" t="s">
        <v>1375</v>
      </c>
      <c r="B701" t="s">
        <v>1376</v>
      </c>
      <c r="C701" t="s">
        <v>21</v>
      </c>
      <c r="D701">
        <v>38</v>
      </c>
      <c r="E701" t="s">
        <v>81</v>
      </c>
      <c r="F701" t="s">
        <v>16</v>
      </c>
      <c r="G701" t="s">
        <v>34</v>
      </c>
      <c r="H701" s="1">
        <v>44083</v>
      </c>
      <c r="J701">
        <v>1406000</v>
      </c>
      <c r="K701">
        <v>0.08</v>
      </c>
      <c r="L701" t="s">
        <v>24</v>
      </c>
      <c r="M701">
        <f ca="1">IF(Table1[[#This Row],[Exit]]="",DATEDIF(Table1[[#This Row],[Hire]],TODAY(),"Y"),DATEDIF(Table1[[#This Row],[Hire]],Table1[[#This Row],[Exit]],"Y"))</f>
        <v>5</v>
      </c>
      <c r="N701">
        <f>FLOOR(Table1[[#This Row],[Age]],10)</f>
        <v>30</v>
      </c>
      <c r="O701" t="str">
        <f>IF(Table1[[#This Row],[Age]]&lt;30,"20-29",IF(Table1[[#This Row],[Age]]&lt;40,"30-39",IF(Table1[[#This Row],[Age]]&lt;50,"40-49",IF(Table1[[#This Row],[Age]]&lt;60,"50-59","60+"))))</f>
        <v>30-39</v>
      </c>
    </row>
    <row r="702" spans="1:15" x14ac:dyDescent="0.25">
      <c r="A702" t="s">
        <v>1320</v>
      </c>
      <c r="B702" t="s">
        <v>1377</v>
      </c>
      <c r="C702" t="s">
        <v>21</v>
      </c>
      <c r="D702">
        <v>51</v>
      </c>
      <c r="E702" t="s">
        <v>92</v>
      </c>
      <c r="F702" t="s">
        <v>16</v>
      </c>
      <c r="G702" t="s">
        <v>53</v>
      </c>
      <c r="H702" s="1">
        <v>45233</v>
      </c>
      <c r="J702">
        <v>1408000</v>
      </c>
      <c r="K702">
        <v>0</v>
      </c>
      <c r="L702" t="s">
        <v>24</v>
      </c>
      <c r="M702">
        <f ca="1">IF(Table1[[#This Row],[Exit]]="",DATEDIF(Table1[[#This Row],[Hire]],TODAY(),"Y"),DATEDIF(Table1[[#This Row],[Hire]],Table1[[#This Row],[Exit]],"Y"))</f>
        <v>2</v>
      </c>
      <c r="N702">
        <f>FLOOR(Table1[[#This Row],[Age]],10)</f>
        <v>50</v>
      </c>
      <c r="O702" t="str">
        <f>IF(Table1[[#This Row],[Age]]&lt;30,"20-29",IF(Table1[[#This Row],[Age]]&lt;40,"30-39",IF(Table1[[#This Row],[Age]]&lt;50,"40-49",IF(Table1[[#This Row],[Age]]&lt;60,"50-59","60+"))))</f>
        <v>50-59</v>
      </c>
    </row>
    <row r="703" spans="1:15" x14ac:dyDescent="0.25">
      <c r="A703" t="s">
        <v>1378</v>
      </c>
      <c r="B703" t="s">
        <v>1379</v>
      </c>
      <c r="C703" t="s">
        <v>21</v>
      </c>
      <c r="D703">
        <v>39</v>
      </c>
      <c r="E703" t="s">
        <v>81</v>
      </c>
      <c r="F703" t="s">
        <v>59</v>
      </c>
      <c r="G703" t="s">
        <v>53</v>
      </c>
      <c r="H703" s="1">
        <v>45412</v>
      </c>
      <c r="J703">
        <v>154892</v>
      </c>
      <c r="K703">
        <v>7.0000000000000007E-2</v>
      </c>
      <c r="L703" t="s">
        <v>24</v>
      </c>
      <c r="M703">
        <f ca="1">IF(Table1[[#This Row],[Exit]]="",DATEDIF(Table1[[#This Row],[Hire]],TODAY(),"Y"),DATEDIF(Table1[[#This Row],[Hire]],Table1[[#This Row],[Exit]],"Y"))</f>
        <v>1</v>
      </c>
      <c r="N703">
        <f>FLOOR(Table1[[#This Row],[Age]],10)</f>
        <v>30</v>
      </c>
      <c r="O703" t="str">
        <f>IF(Table1[[#This Row],[Age]]&lt;30,"20-29",IF(Table1[[#This Row],[Age]]&lt;40,"30-39",IF(Table1[[#This Row],[Age]]&lt;50,"40-49",IF(Table1[[#This Row],[Age]]&lt;60,"50-59","60+"))))</f>
        <v>30-39</v>
      </c>
    </row>
    <row r="704" spans="1:15" x14ac:dyDescent="0.25">
      <c r="A704" t="s">
        <v>1380</v>
      </c>
      <c r="B704" t="s">
        <v>1381</v>
      </c>
      <c r="C704" t="s">
        <v>14</v>
      </c>
      <c r="D704">
        <v>31</v>
      </c>
      <c r="E704" t="s">
        <v>22</v>
      </c>
      <c r="F704" t="s">
        <v>16</v>
      </c>
      <c r="G704" t="s">
        <v>53</v>
      </c>
      <c r="H704" s="1">
        <v>43887</v>
      </c>
      <c r="J704">
        <v>243879</v>
      </c>
      <c r="K704">
        <v>7.0000000000000007E-2</v>
      </c>
      <c r="L704" t="s">
        <v>24</v>
      </c>
      <c r="M704">
        <f ca="1">IF(Table1[[#This Row],[Exit]]="",DATEDIF(Table1[[#This Row],[Hire]],TODAY(),"Y"),DATEDIF(Table1[[#This Row],[Hire]],Table1[[#This Row],[Exit]],"Y"))</f>
        <v>5</v>
      </c>
      <c r="N704">
        <f>FLOOR(Table1[[#This Row],[Age]],10)</f>
        <v>30</v>
      </c>
      <c r="O704" t="str">
        <f>IF(Table1[[#This Row],[Age]]&lt;30,"20-29",IF(Table1[[#This Row],[Age]]&lt;40,"30-39",IF(Table1[[#This Row],[Age]]&lt;50,"40-49",IF(Table1[[#This Row],[Age]]&lt;60,"50-59","60+"))))</f>
        <v>30-39</v>
      </c>
    </row>
    <row r="705" spans="1:15" x14ac:dyDescent="0.25">
      <c r="A705" t="s">
        <v>1382</v>
      </c>
      <c r="B705" t="s">
        <v>1383</v>
      </c>
      <c r="C705" t="s">
        <v>21</v>
      </c>
      <c r="D705">
        <v>45</v>
      </c>
      <c r="E705" t="s">
        <v>92</v>
      </c>
      <c r="F705" t="s">
        <v>16</v>
      </c>
      <c r="G705" t="s">
        <v>53</v>
      </c>
      <c r="H705" s="1">
        <v>44815</v>
      </c>
      <c r="J705">
        <v>271490</v>
      </c>
      <c r="K705">
        <v>0</v>
      </c>
      <c r="L705" t="s">
        <v>24</v>
      </c>
      <c r="M705">
        <f ca="1">IF(Table1[[#This Row],[Exit]]="",DATEDIF(Table1[[#This Row],[Hire]],TODAY(),"Y"),DATEDIF(Table1[[#This Row],[Hire]],Table1[[#This Row],[Exit]],"Y"))</f>
        <v>3</v>
      </c>
      <c r="N705">
        <f>FLOOR(Table1[[#This Row],[Age]],10)</f>
        <v>40</v>
      </c>
      <c r="O705" t="str">
        <f>IF(Table1[[#This Row],[Age]]&lt;30,"20-29",IF(Table1[[#This Row],[Age]]&lt;40,"30-39",IF(Table1[[#This Row],[Age]]&lt;50,"40-49",IF(Table1[[#This Row],[Age]]&lt;60,"50-59","60+"))))</f>
        <v>40-49</v>
      </c>
    </row>
    <row r="706" spans="1:15" x14ac:dyDescent="0.25">
      <c r="A706" t="s">
        <v>1384</v>
      </c>
      <c r="B706" t="s">
        <v>1385</v>
      </c>
      <c r="C706" t="s">
        <v>14</v>
      </c>
      <c r="D706">
        <v>50</v>
      </c>
      <c r="E706" t="s">
        <v>31</v>
      </c>
      <c r="F706" t="s">
        <v>43</v>
      </c>
      <c r="G706" t="s">
        <v>53</v>
      </c>
      <c r="H706" s="1">
        <v>45430</v>
      </c>
      <c r="J706">
        <v>284760</v>
      </c>
      <c r="K706">
        <v>0.12</v>
      </c>
      <c r="L706" t="s">
        <v>24</v>
      </c>
      <c r="M706">
        <f ca="1">IF(Table1[[#This Row],[Exit]]="",DATEDIF(Table1[[#This Row],[Hire]],TODAY(),"Y"),DATEDIF(Table1[[#This Row],[Hire]],Table1[[#This Row],[Exit]],"Y"))</f>
        <v>1</v>
      </c>
      <c r="N706">
        <f>FLOOR(Table1[[#This Row],[Age]],10)</f>
        <v>50</v>
      </c>
      <c r="O706" t="str">
        <f>IF(Table1[[#This Row],[Age]]&lt;30,"20-29",IF(Table1[[#This Row],[Age]]&lt;40,"30-39",IF(Table1[[#This Row],[Age]]&lt;50,"40-49",IF(Table1[[#This Row],[Age]]&lt;60,"50-59","60+"))))</f>
        <v>50-59</v>
      </c>
    </row>
    <row r="707" spans="1:15" x14ac:dyDescent="0.25">
      <c r="A707" t="s">
        <v>1386</v>
      </c>
      <c r="B707" t="s">
        <v>1387</v>
      </c>
      <c r="C707" t="s">
        <v>14</v>
      </c>
      <c r="D707">
        <v>36</v>
      </c>
      <c r="E707" t="s">
        <v>15</v>
      </c>
      <c r="F707" t="s">
        <v>16</v>
      </c>
      <c r="G707" t="s">
        <v>17</v>
      </c>
      <c r="H707" s="1">
        <v>44509</v>
      </c>
      <c r="J707">
        <v>519382</v>
      </c>
      <c r="K707">
        <v>0</v>
      </c>
      <c r="L707" t="s">
        <v>24</v>
      </c>
      <c r="M707">
        <f ca="1">IF(Table1[[#This Row],[Exit]]="",DATEDIF(Table1[[#This Row],[Hire]],TODAY(),"Y"),DATEDIF(Table1[[#This Row],[Hire]],Table1[[#This Row],[Exit]],"Y"))</f>
        <v>4</v>
      </c>
      <c r="N707">
        <f>FLOOR(Table1[[#This Row],[Age]],10)</f>
        <v>30</v>
      </c>
      <c r="O707" t="str">
        <f>IF(Table1[[#This Row],[Age]]&lt;30,"20-29",IF(Table1[[#This Row],[Age]]&lt;40,"30-39",IF(Table1[[#This Row],[Age]]&lt;50,"40-49",IF(Table1[[#This Row],[Age]]&lt;60,"50-59","60+"))))</f>
        <v>30-39</v>
      </c>
    </row>
    <row r="708" spans="1:15" x14ac:dyDescent="0.25">
      <c r="A708" t="s">
        <v>1388</v>
      </c>
      <c r="B708" t="s">
        <v>1389</v>
      </c>
      <c r="C708" t="s">
        <v>14</v>
      </c>
      <c r="D708">
        <v>45</v>
      </c>
      <c r="E708" t="s">
        <v>22</v>
      </c>
      <c r="F708" t="s">
        <v>16</v>
      </c>
      <c r="G708" t="s">
        <v>23</v>
      </c>
      <c r="H708" s="1">
        <v>43963</v>
      </c>
      <c r="J708">
        <v>371296</v>
      </c>
      <c r="K708">
        <v>0.26</v>
      </c>
      <c r="L708" t="s">
        <v>24</v>
      </c>
      <c r="M708">
        <f ca="1">IF(Table1[[#This Row],[Exit]]="",DATEDIF(Table1[[#This Row],[Hire]],TODAY(),"Y"),DATEDIF(Table1[[#This Row],[Hire]],Table1[[#This Row],[Exit]],"Y"))</f>
        <v>5</v>
      </c>
      <c r="N708">
        <f>FLOOR(Table1[[#This Row],[Age]],10)</f>
        <v>40</v>
      </c>
      <c r="O708" t="str">
        <f>IF(Table1[[#This Row],[Age]]&lt;30,"20-29",IF(Table1[[#This Row],[Age]]&lt;40,"30-39",IF(Table1[[#This Row],[Age]]&lt;50,"40-49",IF(Table1[[#This Row],[Age]]&lt;60,"50-59","60+"))))</f>
        <v>40-49</v>
      </c>
    </row>
    <row r="709" spans="1:15" x14ac:dyDescent="0.25">
      <c r="A709" t="s">
        <v>1390</v>
      </c>
      <c r="B709" t="s">
        <v>1391</v>
      </c>
      <c r="C709" t="s">
        <v>14</v>
      </c>
      <c r="D709">
        <v>46</v>
      </c>
      <c r="E709" t="s">
        <v>27</v>
      </c>
      <c r="F709" t="s">
        <v>16</v>
      </c>
      <c r="G709" t="s">
        <v>53</v>
      </c>
      <c r="H709" s="1">
        <v>44815</v>
      </c>
      <c r="J709">
        <v>275439</v>
      </c>
      <c r="K709">
        <v>0.13</v>
      </c>
      <c r="L709" t="s">
        <v>24</v>
      </c>
      <c r="M709">
        <f ca="1">IF(Table1[[#This Row],[Exit]]="",DATEDIF(Table1[[#This Row],[Hire]],TODAY(),"Y"),DATEDIF(Table1[[#This Row],[Hire]],Table1[[#This Row],[Exit]],"Y"))</f>
        <v>3</v>
      </c>
      <c r="N709">
        <f>FLOOR(Table1[[#This Row],[Age]],10)</f>
        <v>40</v>
      </c>
      <c r="O709" t="str">
        <f>IF(Table1[[#This Row],[Age]]&lt;30,"20-29",IF(Table1[[#This Row],[Age]]&lt;40,"30-39",IF(Table1[[#This Row],[Age]]&lt;50,"40-49",IF(Table1[[#This Row],[Age]]&lt;60,"50-59","60+"))))</f>
        <v>40-49</v>
      </c>
    </row>
    <row r="710" spans="1:15" x14ac:dyDescent="0.25">
      <c r="A710" t="s">
        <v>1392</v>
      </c>
      <c r="B710" t="s">
        <v>1393</v>
      </c>
      <c r="C710" t="s">
        <v>21</v>
      </c>
      <c r="D710">
        <v>41</v>
      </c>
      <c r="E710" t="s">
        <v>31</v>
      </c>
      <c r="F710" t="s">
        <v>49</v>
      </c>
      <c r="G710" t="s">
        <v>34</v>
      </c>
      <c r="H710" s="1">
        <v>44857</v>
      </c>
      <c r="J710">
        <v>318902</v>
      </c>
      <c r="K710">
        <v>0</v>
      </c>
      <c r="L710" t="s">
        <v>24</v>
      </c>
      <c r="M710">
        <f ca="1">IF(Table1[[#This Row],[Exit]]="",DATEDIF(Table1[[#This Row],[Hire]],TODAY(),"Y"),DATEDIF(Table1[[#This Row],[Hire]],Table1[[#This Row],[Exit]],"Y"))</f>
        <v>3</v>
      </c>
      <c r="N710">
        <f>FLOOR(Table1[[#This Row],[Age]],10)</f>
        <v>40</v>
      </c>
      <c r="O710" t="str">
        <f>IF(Table1[[#This Row],[Age]]&lt;30,"20-29",IF(Table1[[#This Row],[Age]]&lt;40,"30-39",IF(Table1[[#This Row],[Age]]&lt;50,"40-49",IF(Table1[[#This Row],[Age]]&lt;60,"50-59","60+"))))</f>
        <v>40-49</v>
      </c>
    </row>
    <row r="711" spans="1:15" x14ac:dyDescent="0.25">
      <c r="A711" t="s">
        <v>1394</v>
      </c>
      <c r="B711" t="s">
        <v>1395</v>
      </c>
      <c r="C711" t="s">
        <v>14</v>
      </c>
      <c r="D711">
        <v>47</v>
      </c>
      <c r="E711" t="s">
        <v>27</v>
      </c>
      <c r="F711" t="s">
        <v>59</v>
      </c>
      <c r="G711" t="s">
        <v>53</v>
      </c>
      <c r="H711" s="1">
        <v>45527</v>
      </c>
      <c r="J711">
        <v>364982</v>
      </c>
      <c r="K711">
        <v>0</v>
      </c>
      <c r="L711" t="s">
        <v>24</v>
      </c>
      <c r="M711">
        <f ca="1">IF(Table1[[#This Row],[Exit]]="",DATEDIF(Table1[[#This Row],[Hire]],TODAY(),"Y"),DATEDIF(Table1[[#This Row],[Hire]],Table1[[#This Row],[Exit]],"Y"))</f>
        <v>1</v>
      </c>
      <c r="N711">
        <f>FLOOR(Table1[[#This Row],[Age]],10)</f>
        <v>40</v>
      </c>
      <c r="O711" t="str">
        <f>IF(Table1[[#This Row],[Age]]&lt;30,"20-29",IF(Table1[[#This Row],[Age]]&lt;40,"30-39",IF(Table1[[#This Row],[Age]]&lt;50,"40-49",IF(Table1[[#This Row],[Age]]&lt;60,"50-59","60+"))))</f>
        <v>40-49</v>
      </c>
    </row>
    <row r="712" spans="1:15" x14ac:dyDescent="0.25">
      <c r="A712" t="s">
        <v>1396</v>
      </c>
      <c r="B712" t="s">
        <v>1397</v>
      </c>
      <c r="C712" t="s">
        <v>21</v>
      </c>
      <c r="D712">
        <v>38</v>
      </c>
      <c r="E712" t="s">
        <v>15</v>
      </c>
      <c r="F712" t="s">
        <v>46</v>
      </c>
      <c r="G712" t="s">
        <v>23</v>
      </c>
      <c r="H712" s="1">
        <v>45237</v>
      </c>
      <c r="I712" s="1">
        <v>45401</v>
      </c>
      <c r="J712">
        <v>251398</v>
      </c>
      <c r="K712">
        <v>0.08</v>
      </c>
      <c r="L712" t="s">
        <v>18</v>
      </c>
      <c r="M712">
        <f ca="1">IF(Table1[[#This Row],[Exit]]="",DATEDIF(Table1[[#This Row],[Hire]],TODAY(),"Y"),DATEDIF(Table1[[#This Row],[Hire]],Table1[[#This Row],[Exit]],"Y"))</f>
        <v>0</v>
      </c>
      <c r="N712">
        <f>FLOOR(Table1[[#This Row],[Age]],10)</f>
        <v>30</v>
      </c>
      <c r="O712" t="str">
        <f>IF(Table1[[#This Row],[Age]]&lt;30,"20-29",IF(Table1[[#This Row],[Age]]&lt;40,"30-39",IF(Table1[[#This Row],[Age]]&lt;50,"40-49",IF(Table1[[#This Row],[Age]]&lt;60,"50-59","60+"))))</f>
        <v>30-39</v>
      </c>
    </row>
    <row r="713" spans="1:15" x14ac:dyDescent="0.25">
      <c r="A713" t="s">
        <v>1398</v>
      </c>
      <c r="B713" t="s">
        <v>1399</v>
      </c>
      <c r="C713" t="s">
        <v>14</v>
      </c>
      <c r="D713">
        <v>40</v>
      </c>
      <c r="E713" t="s">
        <v>15</v>
      </c>
      <c r="F713" t="s">
        <v>16</v>
      </c>
      <c r="G713" t="s">
        <v>34</v>
      </c>
      <c r="H713" s="1">
        <v>45206</v>
      </c>
      <c r="J713">
        <v>195478</v>
      </c>
      <c r="K713">
        <v>0</v>
      </c>
      <c r="L713" t="s">
        <v>24</v>
      </c>
      <c r="M713">
        <f ca="1">IF(Table1[[#This Row],[Exit]]="",DATEDIF(Table1[[#This Row],[Hire]],TODAY(),"Y"),DATEDIF(Table1[[#This Row],[Hire]],Table1[[#This Row],[Exit]],"Y"))</f>
        <v>2</v>
      </c>
      <c r="N713">
        <f>FLOOR(Table1[[#This Row],[Age]],10)</f>
        <v>40</v>
      </c>
      <c r="O713" t="str">
        <f>IF(Table1[[#This Row],[Age]]&lt;30,"20-29",IF(Table1[[#This Row],[Age]]&lt;40,"30-39",IF(Table1[[#This Row],[Age]]&lt;50,"40-49",IF(Table1[[#This Row],[Age]]&lt;60,"50-59","60+"))))</f>
        <v>40-49</v>
      </c>
    </row>
    <row r="714" spans="1:15" x14ac:dyDescent="0.25">
      <c r="A714" t="s">
        <v>1400</v>
      </c>
      <c r="B714" t="s">
        <v>1401</v>
      </c>
      <c r="C714" t="s">
        <v>21</v>
      </c>
      <c r="D714">
        <v>45</v>
      </c>
      <c r="E714" t="s">
        <v>42</v>
      </c>
      <c r="F714" t="s">
        <v>59</v>
      </c>
      <c r="G714" t="s">
        <v>34</v>
      </c>
      <c r="H714" s="1">
        <v>44677</v>
      </c>
      <c r="J714">
        <v>367920</v>
      </c>
      <c r="K714">
        <v>0.1</v>
      </c>
      <c r="L714" t="s">
        <v>24</v>
      </c>
      <c r="M714">
        <f ca="1">IF(Table1[[#This Row],[Exit]]="",DATEDIF(Table1[[#This Row],[Hire]],TODAY(),"Y"),DATEDIF(Table1[[#This Row],[Hire]],Table1[[#This Row],[Exit]],"Y"))</f>
        <v>3</v>
      </c>
      <c r="N714">
        <f>FLOOR(Table1[[#This Row],[Age]],10)</f>
        <v>40</v>
      </c>
      <c r="O714" t="str">
        <f>IF(Table1[[#This Row],[Age]]&lt;30,"20-29",IF(Table1[[#This Row],[Age]]&lt;40,"30-39",IF(Table1[[#This Row],[Age]]&lt;50,"40-49",IF(Table1[[#This Row],[Age]]&lt;60,"50-59","60+"))))</f>
        <v>40-49</v>
      </c>
    </row>
    <row r="715" spans="1:15" x14ac:dyDescent="0.25">
      <c r="A715" t="s">
        <v>1198</v>
      </c>
      <c r="B715" t="s">
        <v>1402</v>
      </c>
      <c r="C715" t="s">
        <v>21</v>
      </c>
      <c r="D715">
        <v>26</v>
      </c>
      <c r="E715" t="s">
        <v>42</v>
      </c>
      <c r="F715" t="s">
        <v>16</v>
      </c>
      <c r="G715" t="s">
        <v>17</v>
      </c>
      <c r="H715" s="1">
        <v>43889</v>
      </c>
      <c r="I715" s="1">
        <v>44815</v>
      </c>
      <c r="J715">
        <v>295274</v>
      </c>
      <c r="K715">
        <v>0</v>
      </c>
      <c r="L715" t="s">
        <v>18</v>
      </c>
      <c r="M715">
        <f ca="1">IF(Table1[[#This Row],[Exit]]="",DATEDIF(Table1[[#This Row],[Hire]],TODAY(),"Y"),DATEDIF(Table1[[#This Row],[Hire]],Table1[[#This Row],[Exit]],"Y"))</f>
        <v>2</v>
      </c>
      <c r="N715">
        <f>FLOOR(Table1[[#This Row],[Age]],10)</f>
        <v>20</v>
      </c>
      <c r="O715" t="str">
        <f>IF(Table1[[#This Row],[Age]]&lt;30,"20-29",IF(Table1[[#This Row],[Age]]&lt;40,"30-39",IF(Table1[[#This Row],[Age]]&lt;50,"40-49",IF(Table1[[#This Row],[Age]]&lt;60,"50-59","60+"))))</f>
        <v>20-29</v>
      </c>
    </row>
    <row r="716" spans="1:15" x14ac:dyDescent="0.25">
      <c r="A716" t="s">
        <v>1403</v>
      </c>
      <c r="B716" t="s">
        <v>1404</v>
      </c>
      <c r="C716" t="s">
        <v>41</v>
      </c>
      <c r="D716">
        <v>35</v>
      </c>
      <c r="E716" t="s">
        <v>42</v>
      </c>
      <c r="F716" t="s">
        <v>16</v>
      </c>
      <c r="G716" t="s">
        <v>17</v>
      </c>
      <c r="H716" s="1">
        <v>44116</v>
      </c>
      <c r="J716">
        <v>358972</v>
      </c>
      <c r="K716">
        <v>0</v>
      </c>
      <c r="L716" t="s">
        <v>24</v>
      </c>
      <c r="M716">
        <f ca="1">IF(Table1[[#This Row],[Exit]]="",DATEDIF(Table1[[#This Row],[Hire]],TODAY(),"Y"),DATEDIF(Table1[[#This Row],[Hire]],Table1[[#This Row],[Exit]],"Y"))</f>
        <v>5</v>
      </c>
      <c r="N716">
        <f>FLOOR(Table1[[#This Row],[Age]],10)</f>
        <v>30</v>
      </c>
      <c r="O716" t="str">
        <f>IF(Table1[[#This Row],[Age]]&lt;30,"20-29",IF(Table1[[#This Row],[Age]]&lt;40,"30-39",IF(Table1[[#This Row],[Age]]&lt;50,"40-49",IF(Table1[[#This Row],[Age]]&lt;60,"50-59","60+"))))</f>
        <v>30-39</v>
      </c>
    </row>
    <row r="717" spans="1:15" x14ac:dyDescent="0.25">
      <c r="A717" t="s">
        <v>1405</v>
      </c>
      <c r="B717" t="s">
        <v>1406</v>
      </c>
      <c r="C717" t="s">
        <v>14</v>
      </c>
      <c r="D717">
        <v>51</v>
      </c>
      <c r="E717" t="s">
        <v>52</v>
      </c>
      <c r="F717" t="s">
        <v>16</v>
      </c>
      <c r="G717" t="s">
        <v>23</v>
      </c>
      <c r="H717" s="1">
        <v>44588</v>
      </c>
      <c r="J717">
        <v>310294</v>
      </c>
      <c r="K717">
        <v>0</v>
      </c>
      <c r="L717" t="s">
        <v>24</v>
      </c>
      <c r="M717">
        <f ca="1">IF(Table1[[#This Row],[Exit]]="",DATEDIF(Table1[[#This Row],[Hire]],TODAY(),"Y"),DATEDIF(Table1[[#This Row],[Hire]],Table1[[#This Row],[Exit]],"Y"))</f>
        <v>4</v>
      </c>
      <c r="N717">
        <f>FLOOR(Table1[[#This Row],[Age]],10)</f>
        <v>50</v>
      </c>
      <c r="O717" t="str">
        <f>IF(Table1[[#This Row],[Age]]&lt;30,"20-29",IF(Table1[[#This Row],[Age]]&lt;40,"30-39",IF(Table1[[#This Row],[Age]]&lt;50,"40-49",IF(Table1[[#This Row],[Age]]&lt;60,"50-59","60+"))))</f>
        <v>50-59</v>
      </c>
    </row>
    <row r="718" spans="1:15" x14ac:dyDescent="0.25">
      <c r="A718" t="s">
        <v>1407</v>
      </c>
      <c r="B718" t="s">
        <v>1408</v>
      </c>
      <c r="C718" t="s">
        <v>41</v>
      </c>
      <c r="D718">
        <v>35</v>
      </c>
      <c r="E718" t="s">
        <v>42</v>
      </c>
      <c r="F718" t="s">
        <v>28</v>
      </c>
      <c r="G718" t="s">
        <v>17</v>
      </c>
      <c r="H718" s="1">
        <v>45337</v>
      </c>
      <c r="J718">
        <v>375480</v>
      </c>
      <c r="K718">
        <v>0</v>
      </c>
      <c r="L718" t="s">
        <v>24</v>
      </c>
      <c r="M718">
        <f ca="1">IF(Table1[[#This Row],[Exit]]="",DATEDIF(Table1[[#This Row],[Hire]],TODAY(),"Y"),DATEDIF(Table1[[#This Row],[Hire]],Table1[[#This Row],[Exit]],"Y"))</f>
        <v>1</v>
      </c>
      <c r="N718">
        <f>FLOOR(Table1[[#This Row],[Age]],10)</f>
        <v>30</v>
      </c>
      <c r="O718" t="str">
        <f>IF(Table1[[#This Row],[Age]]&lt;30,"20-29",IF(Table1[[#This Row],[Age]]&lt;40,"30-39",IF(Table1[[#This Row],[Age]]&lt;50,"40-49",IF(Table1[[#This Row],[Age]]&lt;60,"50-59","60+"))))</f>
        <v>30-39</v>
      </c>
    </row>
    <row r="719" spans="1:15" x14ac:dyDescent="0.25">
      <c r="A719" t="s">
        <v>1409</v>
      </c>
      <c r="B719" t="s">
        <v>1410</v>
      </c>
      <c r="C719" t="s">
        <v>14</v>
      </c>
      <c r="D719">
        <v>51</v>
      </c>
      <c r="E719" t="s">
        <v>58</v>
      </c>
      <c r="F719" t="s">
        <v>16</v>
      </c>
      <c r="G719" t="s">
        <v>23</v>
      </c>
      <c r="H719" s="1">
        <v>45332</v>
      </c>
      <c r="J719">
        <v>253972</v>
      </c>
      <c r="K719">
        <v>0</v>
      </c>
      <c r="L719" t="s">
        <v>24</v>
      </c>
      <c r="M719">
        <f ca="1">IF(Table1[[#This Row],[Exit]]="",DATEDIF(Table1[[#This Row],[Hire]],TODAY(),"Y"),DATEDIF(Table1[[#This Row],[Hire]],Table1[[#This Row],[Exit]],"Y"))</f>
        <v>1</v>
      </c>
      <c r="N719">
        <f>FLOOR(Table1[[#This Row],[Age]],10)</f>
        <v>50</v>
      </c>
      <c r="O719" t="str">
        <f>IF(Table1[[#This Row],[Age]]&lt;30,"20-29",IF(Table1[[#This Row],[Age]]&lt;40,"30-39",IF(Table1[[#This Row],[Age]]&lt;50,"40-49",IF(Table1[[#This Row],[Age]]&lt;60,"50-59","60+"))))</f>
        <v>50-59</v>
      </c>
    </row>
    <row r="720" spans="1:15" x14ac:dyDescent="0.25">
      <c r="A720" t="s">
        <v>1411</v>
      </c>
      <c r="B720" t="s">
        <v>1412</v>
      </c>
      <c r="C720" t="s">
        <v>21</v>
      </c>
      <c r="D720">
        <v>51</v>
      </c>
      <c r="E720" t="s">
        <v>52</v>
      </c>
      <c r="F720" t="s">
        <v>28</v>
      </c>
      <c r="G720" t="s">
        <v>34</v>
      </c>
      <c r="H720" s="1">
        <v>44183</v>
      </c>
      <c r="J720">
        <v>265870</v>
      </c>
      <c r="K720">
        <v>0</v>
      </c>
      <c r="L720" t="s">
        <v>24</v>
      </c>
      <c r="M720">
        <f ca="1">IF(Table1[[#This Row],[Exit]]="",DATEDIF(Table1[[#This Row],[Hire]],TODAY(),"Y"),DATEDIF(Table1[[#This Row],[Hire]],Table1[[#This Row],[Exit]],"Y"))</f>
        <v>5</v>
      </c>
      <c r="N720">
        <f>FLOOR(Table1[[#This Row],[Age]],10)</f>
        <v>50</v>
      </c>
      <c r="O720" t="str">
        <f>IF(Table1[[#This Row],[Age]]&lt;30,"20-29",IF(Table1[[#This Row],[Age]]&lt;40,"30-39",IF(Table1[[#This Row],[Age]]&lt;50,"40-49",IF(Table1[[#This Row],[Age]]&lt;60,"50-59","60+"))))</f>
        <v>50-59</v>
      </c>
    </row>
    <row r="721" spans="1:15" x14ac:dyDescent="0.25">
      <c r="A721" t="s">
        <v>1413</v>
      </c>
      <c r="B721" t="s">
        <v>1414</v>
      </c>
      <c r="C721" t="s">
        <v>21</v>
      </c>
      <c r="D721">
        <v>51</v>
      </c>
      <c r="E721" t="s">
        <v>52</v>
      </c>
      <c r="F721" t="s">
        <v>16</v>
      </c>
      <c r="G721" t="s">
        <v>23</v>
      </c>
      <c r="H721" s="1">
        <v>43837</v>
      </c>
      <c r="J721">
        <v>154396</v>
      </c>
      <c r="K721">
        <v>0</v>
      </c>
      <c r="L721" t="s">
        <v>24</v>
      </c>
      <c r="M721">
        <f ca="1">IF(Table1[[#This Row],[Exit]]="",DATEDIF(Table1[[#This Row],[Hire]],TODAY(),"Y"),DATEDIF(Table1[[#This Row],[Hire]],Table1[[#This Row],[Exit]],"Y"))</f>
        <v>6</v>
      </c>
      <c r="N721">
        <f>FLOOR(Table1[[#This Row],[Age]],10)</f>
        <v>50</v>
      </c>
      <c r="O721" t="str">
        <f>IF(Table1[[#This Row],[Age]]&lt;30,"20-29",IF(Table1[[#This Row],[Age]]&lt;40,"30-39",IF(Table1[[#This Row],[Age]]&lt;50,"40-49",IF(Table1[[#This Row],[Age]]&lt;60,"50-59","60+"))))</f>
        <v>50-59</v>
      </c>
    </row>
    <row r="722" spans="1:15" x14ac:dyDescent="0.25">
      <c r="A722" t="s">
        <v>1415</v>
      </c>
      <c r="B722" t="s">
        <v>1416</v>
      </c>
      <c r="C722" t="s">
        <v>21</v>
      </c>
      <c r="D722">
        <v>51</v>
      </c>
      <c r="E722" t="s">
        <v>66</v>
      </c>
      <c r="F722" t="s">
        <v>16</v>
      </c>
      <c r="G722" t="s">
        <v>34</v>
      </c>
      <c r="H722" s="1">
        <v>45206</v>
      </c>
      <c r="J722">
        <v>413290</v>
      </c>
      <c r="K722">
        <v>0</v>
      </c>
      <c r="L722" t="s">
        <v>24</v>
      </c>
      <c r="M722">
        <f ca="1">IF(Table1[[#This Row],[Exit]]="",DATEDIF(Table1[[#This Row],[Hire]],TODAY(),"Y"),DATEDIF(Table1[[#This Row],[Hire]],Table1[[#This Row],[Exit]],"Y"))</f>
        <v>2</v>
      </c>
      <c r="N722">
        <f>FLOOR(Table1[[#This Row],[Age]],10)</f>
        <v>50</v>
      </c>
      <c r="O722" t="str">
        <f>IF(Table1[[#This Row],[Age]]&lt;30,"20-29",IF(Table1[[#This Row],[Age]]&lt;40,"30-39",IF(Table1[[#This Row],[Age]]&lt;50,"40-49",IF(Table1[[#This Row],[Age]]&lt;60,"50-59","60+"))))</f>
        <v>50-59</v>
      </c>
    </row>
    <row r="723" spans="1:15" x14ac:dyDescent="0.25">
      <c r="A723" t="s">
        <v>1417</v>
      </c>
      <c r="B723" t="s">
        <v>1418</v>
      </c>
      <c r="C723" t="s">
        <v>21</v>
      </c>
      <c r="D723">
        <v>36</v>
      </c>
      <c r="E723" t="s">
        <v>58</v>
      </c>
      <c r="F723" t="s">
        <v>43</v>
      </c>
      <c r="G723" t="s">
        <v>34</v>
      </c>
      <c r="H723" s="1">
        <v>44487</v>
      </c>
      <c r="J723">
        <v>375420</v>
      </c>
      <c r="K723">
        <v>0</v>
      </c>
      <c r="L723" t="s">
        <v>24</v>
      </c>
      <c r="M723">
        <f ca="1">IF(Table1[[#This Row],[Exit]]="",DATEDIF(Table1[[#This Row],[Hire]],TODAY(),"Y"),DATEDIF(Table1[[#This Row],[Hire]],Table1[[#This Row],[Exit]],"Y"))</f>
        <v>4</v>
      </c>
      <c r="N723">
        <f>FLOOR(Table1[[#This Row],[Age]],10)</f>
        <v>30</v>
      </c>
      <c r="O723" t="str">
        <f>IF(Table1[[#This Row],[Age]]&lt;30,"20-29",IF(Table1[[#This Row],[Age]]&lt;40,"30-39",IF(Table1[[#This Row],[Age]]&lt;50,"40-49",IF(Table1[[#This Row],[Age]]&lt;60,"50-59","60+"))))</f>
        <v>30-39</v>
      </c>
    </row>
    <row r="724" spans="1:15" x14ac:dyDescent="0.25">
      <c r="A724" t="s">
        <v>1419</v>
      </c>
      <c r="B724" t="s">
        <v>1420</v>
      </c>
      <c r="C724" t="s">
        <v>21</v>
      </c>
      <c r="D724">
        <v>45</v>
      </c>
      <c r="E724" t="s">
        <v>66</v>
      </c>
      <c r="F724" t="s">
        <v>46</v>
      </c>
      <c r="G724" t="s">
        <v>23</v>
      </c>
      <c r="H724" s="1">
        <v>44791</v>
      </c>
      <c r="J724">
        <v>286739</v>
      </c>
      <c r="K724">
        <v>0</v>
      </c>
      <c r="L724" t="s">
        <v>24</v>
      </c>
      <c r="M724">
        <f ca="1">IF(Table1[[#This Row],[Exit]]="",DATEDIF(Table1[[#This Row],[Hire]],TODAY(),"Y"),DATEDIF(Table1[[#This Row],[Hire]],Table1[[#This Row],[Exit]],"Y"))</f>
        <v>3</v>
      </c>
      <c r="N724">
        <f>FLOOR(Table1[[#This Row],[Age]],10)</f>
        <v>40</v>
      </c>
      <c r="O724" t="str">
        <f>IF(Table1[[#This Row],[Age]]&lt;30,"20-29",IF(Table1[[#This Row],[Age]]&lt;40,"30-39",IF(Table1[[#This Row],[Age]]&lt;50,"40-49",IF(Table1[[#This Row],[Age]]&lt;60,"50-59","60+"))))</f>
        <v>40-49</v>
      </c>
    </row>
    <row r="725" spans="1:15" x14ac:dyDescent="0.25">
      <c r="A725" t="s">
        <v>1421</v>
      </c>
      <c r="B725" t="s">
        <v>1422</v>
      </c>
      <c r="C725" t="s">
        <v>21</v>
      </c>
      <c r="D725">
        <v>37</v>
      </c>
      <c r="E725" t="s">
        <v>66</v>
      </c>
      <c r="F725" t="s">
        <v>49</v>
      </c>
      <c r="G725" t="s">
        <v>17</v>
      </c>
      <c r="H725" s="1">
        <v>45440</v>
      </c>
      <c r="J725">
        <v>295374</v>
      </c>
      <c r="K725">
        <v>0</v>
      </c>
      <c r="L725" t="s">
        <v>24</v>
      </c>
      <c r="M725">
        <f ca="1">IF(Table1[[#This Row],[Exit]]="",DATEDIF(Table1[[#This Row],[Hire]],TODAY(),"Y"),DATEDIF(Table1[[#This Row],[Hire]],Table1[[#This Row],[Exit]],"Y"))</f>
        <v>1</v>
      </c>
      <c r="N725">
        <f>FLOOR(Table1[[#This Row],[Age]],10)</f>
        <v>30</v>
      </c>
      <c r="O725" t="str">
        <f>IF(Table1[[#This Row],[Age]]&lt;30,"20-29",IF(Table1[[#This Row],[Age]]&lt;40,"30-39",IF(Table1[[#This Row],[Age]]&lt;50,"40-49",IF(Table1[[#This Row],[Age]]&lt;60,"50-59","60+"))))</f>
        <v>30-39</v>
      </c>
    </row>
    <row r="726" spans="1:15" x14ac:dyDescent="0.25">
      <c r="A726" t="s">
        <v>1423</v>
      </c>
      <c r="B726" t="s">
        <v>1424</v>
      </c>
      <c r="C726" t="s">
        <v>14</v>
      </c>
      <c r="D726">
        <v>38</v>
      </c>
      <c r="E726" t="s">
        <v>58</v>
      </c>
      <c r="F726" t="s">
        <v>16</v>
      </c>
      <c r="G726" t="s">
        <v>53</v>
      </c>
      <c r="H726" s="1">
        <v>44811</v>
      </c>
      <c r="J726">
        <v>312874</v>
      </c>
      <c r="K726">
        <v>0</v>
      </c>
      <c r="L726" t="s">
        <v>24</v>
      </c>
      <c r="M726">
        <f ca="1">IF(Table1[[#This Row],[Exit]]="",DATEDIF(Table1[[#This Row],[Hire]],TODAY(),"Y"),DATEDIF(Table1[[#This Row],[Hire]],Table1[[#This Row],[Exit]],"Y"))</f>
        <v>3</v>
      </c>
      <c r="N726">
        <f>FLOOR(Table1[[#This Row],[Age]],10)</f>
        <v>30</v>
      </c>
      <c r="O726" t="str">
        <f>IF(Table1[[#This Row],[Age]]&lt;30,"20-29",IF(Table1[[#This Row],[Age]]&lt;40,"30-39",IF(Table1[[#This Row],[Age]]&lt;50,"40-49",IF(Table1[[#This Row],[Age]]&lt;60,"50-59","60+"))))</f>
        <v>30-39</v>
      </c>
    </row>
    <row r="727" spans="1:15" x14ac:dyDescent="0.25">
      <c r="A727" t="s">
        <v>1425</v>
      </c>
      <c r="B727" t="s">
        <v>1426</v>
      </c>
      <c r="C727" t="s">
        <v>41</v>
      </c>
      <c r="D727">
        <v>45</v>
      </c>
      <c r="E727" t="s">
        <v>15</v>
      </c>
      <c r="F727" t="s">
        <v>46</v>
      </c>
      <c r="G727" t="s">
        <v>53</v>
      </c>
      <c r="H727" s="1">
        <v>45294</v>
      </c>
      <c r="J727">
        <v>350974</v>
      </c>
      <c r="K727">
        <v>0</v>
      </c>
      <c r="L727" t="s">
        <v>24</v>
      </c>
      <c r="M727">
        <f ca="1">IF(Table1[[#This Row],[Exit]]="",DATEDIF(Table1[[#This Row],[Hire]],TODAY(),"Y"),DATEDIF(Table1[[#This Row],[Hire]],Table1[[#This Row],[Exit]],"Y"))</f>
        <v>2</v>
      </c>
      <c r="N727">
        <f>FLOOR(Table1[[#This Row],[Age]],10)</f>
        <v>40</v>
      </c>
      <c r="O727" t="str">
        <f>IF(Table1[[#This Row],[Age]]&lt;30,"20-29",IF(Table1[[#This Row],[Age]]&lt;40,"30-39",IF(Table1[[#This Row],[Age]]&lt;50,"40-49",IF(Table1[[#This Row],[Age]]&lt;60,"50-59","60+"))))</f>
        <v>40-49</v>
      </c>
    </row>
    <row r="728" spans="1:15" x14ac:dyDescent="0.25">
      <c r="A728" t="s">
        <v>1427</v>
      </c>
      <c r="B728" t="s">
        <v>1428</v>
      </c>
      <c r="C728" t="s">
        <v>14</v>
      </c>
      <c r="D728">
        <v>51</v>
      </c>
      <c r="E728" t="s">
        <v>22</v>
      </c>
      <c r="F728" t="s">
        <v>59</v>
      </c>
      <c r="G728" t="s">
        <v>34</v>
      </c>
      <c r="H728" s="1">
        <v>45074</v>
      </c>
      <c r="I728" s="1">
        <v>45337</v>
      </c>
      <c r="J728">
        <v>278964</v>
      </c>
      <c r="K728">
        <v>0.06</v>
      </c>
      <c r="L728" t="s">
        <v>18</v>
      </c>
      <c r="M728">
        <f ca="1">IF(Table1[[#This Row],[Exit]]="",DATEDIF(Table1[[#This Row],[Hire]],TODAY(),"Y"),DATEDIF(Table1[[#This Row],[Hire]],Table1[[#This Row],[Exit]],"Y"))</f>
        <v>0</v>
      </c>
      <c r="N728">
        <f>FLOOR(Table1[[#This Row],[Age]],10)</f>
        <v>50</v>
      </c>
      <c r="O728" t="str">
        <f>IF(Table1[[#This Row],[Age]]&lt;30,"20-29",IF(Table1[[#This Row],[Age]]&lt;40,"30-39",IF(Table1[[#This Row],[Age]]&lt;50,"40-49",IF(Table1[[#This Row],[Age]]&lt;60,"50-59","60+"))))</f>
        <v>50-59</v>
      </c>
    </row>
    <row r="729" spans="1:15" x14ac:dyDescent="0.25">
      <c r="A729" t="s">
        <v>1429</v>
      </c>
      <c r="B729" t="s">
        <v>1430</v>
      </c>
      <c r="C729" t="s">
        <v>21</v>
      </c>
      <c r="D729">
        <v>56</v>
      </c>
      <c r="E729" t="s">
        <v>81</v>
      </c>
      <c r="F729" t="s">
        <v>16</v>
      </c>
      <c r="G729" t="s">
        <v>23</v>
      </c>
      <c r="H729" s="1">
        <v>45245</v>
      </c>
      <c r="I729" s="1">
        <v>45294</v>
      </c>
      <c r="J729">
        <v>543290</v>
      </c>
      <c r="K729">
        <v>0.05</v>
      </c>
      <c r="L729" t="s">
        <v>18</v>
      </c>
      <c r="M729">
        <f ca="1">IF(Table1[[#This Row],[Exit]]="",DATEDIF(Table1[[#This Row],[Hire]],TODAY(),"Y"),DATEDIF(Table1[[#This Row],[Hire]],Table1[[#This Row],[Exit]],"Y"))</f>
        <v>0</v>
      </c>
      <c r="N729">
        <f>FLOOR(Table1[[#This Row],[Age]],10)</f>
        <v>50</v>
      </c>
      <c r="O729" t="str">
        <f>IF(Table1[[#This Row],[Age]]&lt;30,"20-29",IF(Table1[[#This Row],[Age]]&lt;40,"30-39",IF(Table1[[#This Row],[Age]]&lt;50,"40-49",IF(Table1[[#This Row],[Age]]&lt;60,"50-59","60+"))))</f>
        <v>50-59</v>
      </c>
    </row>
    <row r="730" spans="1:15" x14ac:dyDescent="0.25">
      <c r="A730" t="s">
        <v>1431</v>
      </c>
      <c r="B730" t="s">
        <v>1432</v>
      </c>
      <c r="C730" t="s">
        <v>41</v>
      </c>
      <c r="D730">
        <v>53</v>
      </c>
      <c r="E730" t="s">
        <v>52</v>
      </c>
      <c r="F730" t="s">
        <v>16</v>
      </c>
      <c r="G730" t="s">
        <v>34</v>
      </c>
      <c r="H730" s="1">
        <v>43851</v>
      </c>
      <c r="I730" s="1">
        <v>45206</v>
      </c>
      <c r="J730">
        <v>415290</v>
      </c>
      <c r="K730">
        <v>0</v>
      </c>
      <c r="L730" t="s">
        <v>18</v>
      </c>
      <c r="M730">
        <f ca="1">IF(Table1[[#This Row],[Exit]]="",DATEDIF(Table1[[#This Row],[Hire]],TODAY(),"Y"),DATEDIF(Table1[[#This Row],[Hire]],Table1[[#This Row],[Exit]],"Y"))</f>
        <v>3</v>
      </c>
      <c r="N730">
        <f>FLOOR(Table1[[#This Row],[Age]],10)</f>
        <v>50</v>
      </c>
      <c r="O730" t="str">
        <f>IF(Table1[[#This Row],[Age]]&lt;30,"20-29",IF(Table1[[#This Row],[Age]]&lt;40,"30-39",IF(Table1[[#This Row],[Age]]&lt;50,"40-49",IF(Table1[[#This Row],[Age]]&lt;60,"50-59","60+"))))</f>
        <v>50-59</v>
      </c>
    </row>
    <row r="731" spans="1:15" x14ac:dyDescent="0.25">
      <c r="A731" t="s">
        <v>1433</v>
      </c>
      <c r="B731" t="s">
        <v>1434</v>
      </c>
      <c r="C731" t="s">
        <v>14</v>
      </c>
      <c r="D731">
        <v>47</v>
      </c>
      <c r="E731" t="s">
        <v>66</v>
      </c>
      <c r="F731" t="s">
        <v>16</v>
      </c>
      <c r="G731" t="s">
        <v>17</v>
      </c>
      <c r="H731" s="1">
        <v>45206</v>
      </c>
      <c r="J731">
        <v>271890</v>
      </c>
      <c r="K731">
        <v>0.13</v>
      </c>
      <c r="L731" t="s">
        <v>24</v>
      </c>
      <c r="M731">
        <f ca="1">IF(Table1[[#This Row],[Exit]]="",DATEDIF(Table1[[#This Row],[Hire]],TODAY(),"Y"),DATEDIF(Table1[[#This Row],[Hire]],Table1[[#This Row],[Exit]],"Y"))</f>
        <v>2</v>
      </c>
      <c r="N731">
        <f>FLOOR(Table1[[#This Row],[Age]],10)</f>
        <v>40</v>
      </c>
      <c r="O731" t="str">
        <f>IF(Table1[[#This Row],[Age]]&lt;30,"20-29",IF(Table1[[#This Row],[Age]]&lt;40,"30-39",IF(Table1[[#This Row],[Age]]&lt;50,"40-49",IF(Table1[[#This Row],[Age]]&lt;60,"50-59","60+"))))</f>
        <v>40-49</v>
      </c>
    </row>
    <row r="732" spans="1:15" x14ac:dyDescent="0.25">
      <c r="A732" t="s">
        <v>1435</v>
      </c>
      <c r="B732" t="s">
        <v>1436</v>
      </c>
      <c r="C732" t="s">
        <v>21</v>
      </c>
      <c r="D732">
        <v>36</v>
      </c>
      <c r="E732" t="s">
        <v>31</v>
      </c>
      <c r="F732" t="s">
        <v>59</v>
      </c>
      <c r="G732" t="s">
        <v>23</v>
      </c>
      <c r="H732" s="1">
        <v>45401</v>
      </c>
      <c r="J732">
        <v>429871</v>
      </c>
      <c r="K732">
        <v>0.2</v>
      </c>
      <c r="L732" t="s">
        <v>24</v>
      </c>
      <c r="M732">
        <f ca="1">IF(Table1[[#This Row],[Exit]]="",DATEDIF(Table1[[#This Row],[Hire]],TODAY(),"Y"),DATEDIF(Table1[[#This Row],[Hire]],Table1[[#This Row],[Exit]],"Y"))</f>
        <v>1</v>
      </c>
      <c r="N732">
        <f>FLOOR(Table1[[#This Row],[Age]],10)</f>
        <v>30</v>
      </c>
      <c r="O732" t="str">
        <f>IF(Table1[[#This Row],[Age]]&lt;30,"20-29",IF(Table1[[#This Row],[Age]]&lt;40,"30-39",IF(Table1[[#This Row],[Age]]&lt;50,"40-49",IF(Table1[[#This Row],[Age]]&lt;60,"50-59","60+"))))</f>
        <v>30-39</v>
      </c>
    </row>
    <row r="733" spans="1:15" x14ac:dyDescent="0.25">
      <c r="A733" t="s">
        <v>1437</v>
      </c>
      <c r="B733" t="s">
        <v>1438</v>
      </c>
      <c r="C733" t="s">
        <v>21</v>
      </c>
      <c r="D733">
        <v>41</v>
      </c>
      <c r="E733" t="s">
        <v>81</v>
      </c>
      <c r="F733" t="s">
        <v>16</v>
      </c>
      <c r="G733" t="s">
        <v>34</v>
      </c>
      <c r="H733" s="1">
        <v>44083</v>
      </c>
      <c r="J733">
        <v>354782</v>
      </c>
      <c r="K733">
        <v>0</v>
      </c>
      <c r="L733" t="s">
        <v>24</v>
      </c>
      <c r="M733">
        <f ca="1">IF(Table1[[#This Row],[Exit]]="",DATEDIF(Table1[[#This Row],[Hire]],TODAY(),"Y"),DATEDIF(Table1[[#This Row],[Hire]],Table1[[#This Row],[Exit]],"Y"))</f>
        <v>5</v>
      </c>
      <c r="N733">
        <f>FLOOR(Table1[[#This Row],[Age]],10)</f>
        <v>40</v>
      </c>
      <c r="O733" t="str">
        <f>IF(Table1[[#This Row],[Age]]&lt;30,"20-29",IF(Table1[[#This Row],[Age]]&lt;40,"30-39",IF(Table1[[#This Row],[Age]]&lt;50,"40-49",IF(Table1[[#This Row],[Age]]&lt;60,"50-59","60+"))))</f>
        <v>40-49</v>
      </c>
    </row>
    <row r="734" spans="1:15" x14ac:dyDescent="0.25">
      <c r="A734" t="s">
        <v>169</v>
      </c>
      <c r="B734" t="s">
        <v>1439</v>
      </c>
      <c r="C734" t="s">
        <v>21</v>
      </c>
      <c r="D734">
        <v>46</v>
      </c>
      <c r="E734" t="s">
        <v>92</v>
      </c>
      <c r="F734" t="s">
        <v>16</v>
      </c>
      <c r="G734" t="s">
        <v>53</v>
      </c>
      <c r="H734" s="1">
        <v>45233</v>
      </c>
      <c r="J734">
        <v>415972</v>
      </c>
      <c r="K734">
        <v>0</v>
      </c>
      <c r="L734" t="s">
        <v>24</v>
      </c>
      <c r="M734">
        <f ca="1">IF(Table1[[#This Row],[Exit]]="",DATEDIF(Table1[[#This Row],[Hire]],TODAY(),"Y"),DATEDIF(Table1[[#This Row],[Hire]],Table1[[#This Row],[Exit]],"Y"))</f>
        <v>2</v>
      </c>
      <c r="N734">
        <f>FLOOR(Table1[[#This Row],[Age]],10)</f>
        <v>40</v>
      </c>
      <c r="O734" t="str">
        <f>IF(Table1[[#This Row],[Age]]&lt;30,"20-29",IF(Table1[[#This Row],[Age]]&lt;40,"30-39",IF(Table1[[#This Row],[Age]]&lt;50,"40-49",IF(Table1[[#This Row],[Age]]&lt;60,"50-59","60+"))))</f>
        <v>40-49</v>
      </c>
    </row>
    <row r="735" spans="1:15" x14ac:dyDescent="0.25">
      <c r="A735" t="s">
        <v>1440</v>
      </c>
      <c r="B735" t="s">
        <v>1441</v>
      </c>
      <c r="C735" t="s">
        <v>21</v>
      </c>
      <c r="D735">
        <v>46</v>
      </c>
      <c r="E735" t="s">
        <v>81</v>
      </c>
      <c r="F735" t="s">
        <v>59</v>
      </c>
      <c r="G735" t="s">
        <v>53</v>
      </c>
      <c r="H735" s="1">
        <v>45412</v>
      </c>
      <c r="J735">
        <v>251472</v>
      </c>
      <c r="K735">
        <v>0</v>
      </c>
      <c r="L735" t="s">
        <v>24</v>
      </c>
      <c r="M735">
        <f ca="1">IF(Table1[[#This Row],[Exit]]="",DATEDIF(Table1[[#This Row],[Hire]],TODAY(),"Y"),DATEDIF(Table1[[#This Row],[Hire]],Table1[[#This Row],[Exit]],"Y"))</f>
        <v>1</v>
      </c>
      <c r="N735">
        <f>FLOOR(Table1[[#This Row],[Age]],10)</f>
        <v>40</v>
      </c>
      <c r="O735" t="str">
        <f>IF(Table1[[#This Row],[Age]]&lt;30,"20-29",IF(Table1[[#This Row],[Age]]&lt;40,"30-39",IF(Table1[[#This Row],[Age]]&lt;50,"40-49",IF(Table1[[#This Row],[Age]]&lt;60,"50-59","60+"))))</f>
        <v>40-49</v>
      </c>
    </row>
    <row r="736" spans="1:15" x14ac:dyDescent="0.25">
      <c r="A736" t="s">
        <v>1442</v>
      </c>
      <c r="B736" t="s">
        <v>1443</v>
      </c>
      <c r="C736" t="s">
        <v>14</v>
      </c>
      <c r="D736">
        <v>38</v>
      </c>
      <c r="E736" t="s">
        <v>22</v>
      </c>
      <c r="F736" t="s">
        <v>16</v>
      </c>
      <c r="G736" t="s">
        <v>53</v>
      </c>
      <c r="H736" s="1">
        <v>43887</v>
      </c>
      <c r="J736">
        <v>358974</v>
      </c>
      <c r="K736">
        <v>0</v>
      </c>
      <c r="L736" t="s">
        <v>18</v>
      </c>
      <c r="M736">
        <f ca="1">IF(Table1[[#This Row],[Exit]]="",DATEDIF(Table1[[#This Row],[Hire]],TODAY(),"Y"),DATEDIF(Table1[[#This Row],[Hire]],Table1[[#This Row],[Exit]],"Y"))</f>
        <v>5</v>
      </c>
      <c r="N736">
        <f>FLOOR(Table1[[#This Row],[Age]],10)</f>
        <v>30</v>
      </c>
      <c r="O736" t="str">
        <f>IF(Table1[[#This Row],[Age]]&lt;30,"20-29",IF(Table1[[#This Row],[Age]]&lt;40,"30-39",IF(Table1[[#This Row],[Age]]&lt;50,"40-49",IF(Table1[[#This Row],[Age]]&lt;60,"50-59","60+"))))</f>
        <v>30-39</v>
      </c>
    </row>
    <row r="737" spans="1:15" x14ac:dyDescent="0.25">
      <c r="A737" t="s">
        <v>1444</v>
      </c>
      <c r="B737" t="s">
        <v>1445</v>
      </c>
      <c r="C737" t="s">
        <v>21</v>
      </c>
      <c r="D737">
        <v>46</v>
      </c>
      <c r="E737" t="s">
        <v>92</v>
      </c>
      <c r="F737" t="s">
        <v>16</v>
      </c>
      <c r="G737" t="s">
        <v>53</v>
      </c>
      <c r="H737" s="1">
        <v>44815</v>
      </c>
      <c r="I737" s="1">
        <v>45074</v>
      </c>
      <c r="J737">
        <v>154928</v>
      </c>
      <c r="K737">
        <v>0.09</v>
      </c>
      <c r="L737" t="s">
        <v>24</v>
      </c>
      <c r="M737">
        <f ca="1">IF(Table1[[#This Row],[Exit]]="",DATEDIF(Table1[[#This Row],[Hire]],TODAY(),"Y"),DATEDIF(Table1[[#This Row],[Hire]],Table1[[#This Row],[Exit]],"Y"))</f>
        <v>0</v>
      </c>
      <c r="N737">
        <f>FLOOR(Table1[[#This Row],[Age]],10)</f>
        <v>40</v>
      </c>
      <c r="O737" t="str">
        <f>IF(Table1[[#This Row],[Age]]&lt;30,"20-29",IF(Table1[[#This Row],[Age]]&lt;40,"30-39",IF(Table1[[#This Row],[Age]]&lt;50,"40-49",IF(Table1[[#This Row],[Age]]&lt;60,"50-59","60+"))))</f>
        <v>40-49</v>
      </c>
    </row>
    <row r="738" spans="1:15" x14ac:dyDescent="0.25">
      <c r="A738" t="s">
        <v>1446</v>
      </c>
      <c r="B738" t="s">
        <v>1447</v>
      </c>
      <c r="C738" t="s">
        <v>14</v>
      </c>
      <c r="D738">
        <v>39</v>
      </c>
      <c r="E738" t="s">
        <v>31</v>
      </c>
      <c r="F738" t="s">
        <v>43</v>
      </c>
      <c r="G738" t="s">
        <v>53</v>
      </c>
      <c r="H738" s="1">
        <v>45064</v>
      </c>
      <c r="I738" s="1">
        <v>45401</v>
      </c>
      <c r="J738">
        <v>162493</v>
      </c>
      <c r="K738">
        <v>0</v>
      </c>
      <c r="L738" t="s">
        <v>18</v>
      </c>
      <c r="M738">
        <f ca="1">IF(Table1[[#This Row],[Exit]]="",DATEDIF(Table1[[#This Row],[Hire]],TODAY(),"Y"),DATEDIF(Table1[[#This Row],[Hire]],Table1[[#This Row],[Exit]],"Y"))</f>
        <v>0</v>
      </c>
      <c r="N738">
        <f>FLOOR(Table1[[#This Row],[Age]],10)</f>
        <v>30</v>
      </c>
      <c r="O738" t="str">
        <f>IF(Table1[[#This Row],[Age]]&lt;30,"20-29",IF(Table1[[#This Row],[Age]]&lt;40,"30-39",IF(Table1[[#This Row],[Age]]&lt;50,"40-49",IF(Table1[[#This Row],[Age]]&lt;60,"50-59","60+"))))</f>
        <v>30-39</v>
      </c>
    </row>
    <row r="739" spans="1:15" x14ac:dyDescent="0.25">
      <c r="A739" t="s">
        <v>1448</v>
      </c>
      <c r="B739" t="s">
        <v>1449</v>
      </c>
      <c r="C739" t="s">
        <v>14</v>
      </c>
      <c r="D739">
        <v>31</v>
      </c>
      <c r="E739" t="s">
        <v>15</v>
      </c>
      <c r="F739" t="s">
        <v>16</v>
      </c>
      <c r="G739" t="s">
        <v>17</v>
      </c>
      <c r="H739" s="1">
        <v>44509</v>
      </c>
      <c r="J739">
        <v>364972</v>
      </c>
      <c r="K739">
        <v>0.15</v>
      </c>
      <c r="L739" t="s">
        <v>24</v>
      </c>
      <c r="M739">
        <f ca="1">IF(Table1[[#This Row],[Exit]]="",DATEDIF(Table1[[#This Row],[Hire]],TODAY(),"Y"),DATEDIF(Table1[[#This Row],[Hire]],Table1[[#This Row],[Exit]],"Y"))</f>
        <v>4</v>
      </c>
      <c r="N739">
        <f>FLOOR(Table1[[#This Row],[Age]],10)</f>
        <v>30</v>
      </c>
      <c r="O739" t="str">
        <f>IF(Table1[[#This Row],[Age]]&lt;30,"20-29",IF(Table1[[#This Row],[Age]]&lt;40,"30-39",IF(Table1[[#This Row],[Age]]&lt;50,"40-49",IF(Table1[[#This Row],[Age]]&lt;60,"50-59","60+"))))</f>
        <v>30-39</v>
      </c>
    </row>
    <row r="740" spans="1:15" x14ac:dyDescent="0.25">
      <c r="A740" t="s">
        <v>1450</v>
      </c>
      <c r="B740" t="s">
        <v>1451</v>
      </c>
      <c r="C740" t="s">
        <v>14</v>
      </c>
      <c r="D740">
        <v>45</v>
      </c>
      <c r="E740" t="s">
        <v>22</v>
      </c>
      <c r="F740" t="s">
        <v>16</v>
      </c>
      <c r="G740" t="s">
        <v>23</v>
      </c>
      <c r="H740" s="1">
        <v>43963</v>
      </c>
      <c r="J740">
        <v>154873</v>
      </c>
      <c r="K740">
        <v>0</v>
      </c>
      <c r="L740" t="s">
        <v>24</v>
      </c>
      <c r="M740">
        <f ca="1">IF(Table1[[#This Row],[Exit]]="",DATEDIF(Table1[[#This Row],[Hire]],TODAY(),"Y"),DATEDIF(Table1[[#This Row],[Hire]],Table1[[#This Row],[Exit]],"Y"))</f>
        <v>5</v>
      </c>
      <c r="N740">
        <f>FLOOR(Table1[[#This Row],[Age]],10)</f>
        <v>40</v>
      </c>
      <c r="O740" t="str">
        <f>IF(Table1[[#This Row],[Age]]&lt;30,"20-29",IF(Table1[[#This Row],[Age]]&lt;40,"30-39",IF(Table1[[#This Row],[Age]]&lt;50,"40-49",IF(Table1[[#This Row],[Age]]&lt;60,"50-59","60+"))))</f>
        <v>40-49</v>
      </c>
    </row>
    <row r="741" spans="1:15" x14ac:dyDescent="0.25">
      <c r="A741" t="s">
        <v>1452</v>
      </c>
      <c r="B741" t="s">
        <v>1453</v>
      </c>
      <c r="C741" t="s">
        <v>355</v>
      </c>
      <c r="D741">
        <v>50</v>
      </c>
      <c r="E741" t="s">
        <v>27</v>
      </c>
      <c r="F741" t="s">
        <v>16</v>
      </c>
      <c r="G741" t="s">
        <v>53</v>
      </c>
      <c r="H741" s="1">
        <v>44815</v>
      </c>
      <c r="J741">
        <v>347920</v>
      </c>
      <c r="K741">
        <v>0.26</v>
      </c>
      <c r="L741" t="s">
        <v>24</v>
      </c>
      <c r="M741">
        <f ca="1">IF(Table1[[#This Row],[Exit]]="",DATEDIF(Table1[[#This Row],[Hire]],TODAY(),"Y"),DATEDIF(Table1[[#This Row],[Hire]],Table1[[#This Row],[Exit]],"Y"))</f>
        <v>3</v>
      </c>
      <c r="N741">
        <f>FLOOR(Table1[[#This Row],[Age]],10)</f>
        <v>50</v>
      </c>
      <c r="O741" t="str">
        <f>IF(Table1[[#This Row],[Age]]&lt;30,"20-29",IF(Table1[[#This Row],[Age]]&lt;40,"30-39",IF(Table1[[#This Row],[Age]]&lt;50,"40-49",IF(Table1[[#This Row],[Age]]&lt;60,"50-59","60+"))))</f>
        <v>50-59</v>
      </c>
    </row>
    <row r="742" spans="1:15" x14ac:dyDescent="0.25">
      <c r="A742" t="s">
        <v>1454</v>
      </c>
      <c r="B742" t="s">
        <v>1455</v>
      </c>
      <c r="C742" t="s">
        <v>14</v>
      </c>
      <c r="D742">
        <v>36</v>
      </c>
      <c r="E742" t="s">
        <v>31</v>
      </c>
      <c r="F742" t="s">
        <v>49</v>
      </c>
      <c r="G742" t="s">
        <v>34</v>
      </c>
      <c r="H742" s="1">
        <v>44857</v>
      </c>
      <c r="I742" s="1">
        <v>45412</v>
      </c>
      <c r="J742">
        <v>371928</v>
      </c>
      <c r="K742">
        <v>0</v>
      </c>
      <c r="L742" t="s">
        <v>18</v>
      </c>
      <c r="M742">
        <f ca="1">IF(Table1[[#This Row],[Exit]]="",DATEDIF(Table1[[#This Row],[Hire]],TODAY(),"Y"),DATEDIF(Table1[[#This Row],[Hire]],Table1[[#This Row],[Exit]],"Y"))</f>
        <v>1</v>
      </c>
      <c r="N742">
        <f>FLOOR(Table1[[#This Row],[Age]],10)</f>
        <v>30</v>
      </c>
      <c r="O742" t="str">
        <f>IF(Table1[[#This Row],[Age]]&lt;30,"20-29",IF(Table1[[#This Row],[Age]]&lt;40,"30-39",IF(Table1[[#This Row],[Age]]&lt;50,"40-49",IF(Table1[[#This Row],[Age]]&lt;60,"50-59","60+"))))</f>
        <v>30-39</v>
      </c>
    </row>
    <row r="743" spans="1:15" x14ac:dyDescent="0.25">
      <c r="A743" t="s">
        <v>1456</v>
      </c>
      <c r="B743" t="s">
        <v>1457</v>
      </c>
      <c r="C743" t="s">
        <v>21</v>
      </c>
      <c r="D743">
        <v>45</v>
      </c>
      <c r="E743" t="s">
        <v>27</v>
      </c>
      <c r="F743" t="s">
        <v>59</v>
      </c>
      <c r="G743" t="s">
        <v>53</v>
      </c>
      <c r="H743" s="1">
        <v>45527</v>
      </c>
      <c r="J743">
        <v>283794</v>
      </c>
      <c r="K743">
        <v>0.12</v>
      </c>
      <c r="L743" t="s">
        <v>24</v>
      </c>
      <c r="M743">
        <f ca="1">IF(Table1[[#This Row],[Exit]]="",DATEDIF(Table1[[#This Row],[Hire]],TODAY(),"Y"),DATEDIF(Table1[[#This Row],[Hire]],Table1[[#This Row],[Exit]],"Y"))</f>
        <v>1</v>
      </c>
      <c r="N743">
        <f>FLOOR(Table1[[#This Row],[Age]],10)</f>
        <v>40</v>
      </c>
      <c r="O743" t="str">
        <f>IF(Table1[[#This Row],[Age]]&lt;30,"20-29",IF(Table1[[#This Row],[Age]]&lt;40,"30-39",IF(Table1[[#This Row],[Age]]&lt;50,"40-49",IF(Table1[[#This Row],[Age]]&lt;60,"50-59","60+"))))</f>
        <v>40-49</v>
      </c>
    </row>
    <row r="744" spans="1:15" x14ac:dyDescent="0.25">
      <c r="A744" t="s">
        <v>1458</v>
      </c>
      <c r="B744" t="s">
        <v>1459</v>
      </c>
      <c r="C744" t="s">
        <v>14</v>
      </c>
      <c r="D744">
        <v>29</v>
      </c>
      <c r="E744" t="s">
        <v>15</v>
      </c>
      <c r="F744" t="s">
        <v>46</v>
      </c>
      <c r="G744" t="s">
        <v>23</v>
      </c>
      <c r="H744" s="1">
        <v>45237</v>
      </c>
      <c r="I744" s="1">
        <v>45430</v>
      </c>
      <c r="J744">
        <v>254983</v>
      </c>
      <c r="K744">
        <v>0</v>
      </c>
      <c r="L744" t="s">
        <v>18</v>
      </c>
      <c r="M744">
        <f ca="1">IF(Table1[[#This Row],[Exit]]="",DATEDIF(Table1[[#This Row],[Hire]],TODAY(),"Y"),DATEDIF(Table1[[#This Row],[Hire]],Table1[[#This Row],[Exit]],"Y"))</f>
        <v>0</v>
      </c>
      <c r="N744">
        <f>FLOOR(Table1[[#This Row],[Age]],10)</f>
        <v>20</v>
      </c>
      <c r="O744" t="str">
        <f>IF(Table1[[#This Row],[Age]]&lt;30,"20-29",IF(Table1[[#This Row],[Age]]&lt;40,"30-39",IF(Table1[[#This Row],[Age]]&lt;50,"40-49",IF(Table1[[#This Row],[Age]]&lt;60,"50-59","60+"))))</f>
        <v>20-29</v>
      </c>
    </row>
    <row r="745" spans="1:15" x14ac:dyDescent="0.25">
      <c r="A745" t="s">
        <v>1460</v>
      </c>
      <c r="B745" t="s">
        <v>1461</v>
      </c>
      <c r="C745" t="s">
        <v>21</v>
      </c>
      <c r="D745">
        <v>46</v>
      </c>
      <c r="E745" t="s">
        <v>15</v>
      </c>
      <c r="F745" t="s">
        <v>16</v>
      </c>
      <c r="G745" t="s">
        <v>34</v>
      </c>
      <c r="H745" s="1">
        <v>45206</v>
      </c>
      <c r="J745">
        <v>145972</v>
      </c>
      <c r="K745">
        <v>0</v>
      </c>
      <c r="L745" t="s">
        <v>24</v>
      </c>
      <c r="M745">
        <f ca="1">IF(Table1[[#This Row],[Exit]]="",DATEDIF(Table1[[#This Row],[Hire]],TODAY(),"Y"),DATEDIF(Table1[[#This Row],[Hire]],Table1[[#This Row],[Exit]],"Y"))</f>
        <v>2</v>
      </c>
      <c r="N745">
        <f>FLOOR(Table1[[#This Row],[Age]],10)</f>
        <v>40</v>
      </c>
      <c r="O745" t="str">
        <f>IF(Table1[[#This Row],[Age]]&lt;30,"20-29",IF(Table1[[#This Row],[Age]]&lt;40,"30-39",IF(Table1[[#This Row],[Age]]&lt;50,"40-49",IF(Table1[[#This Row],[Age]]&lt;60,"50-59","60+"))))</f>
        <v>40-49</v>
      </c>
    </row>
    <row r="746" spans="1:15" x14ac:dyDescent="0.25">
      <c r="A746" t="s">
        <v>1462</v>
      </c>
      <c r="B746" t="s">
        <v>1463</v>
      </c>
      <c r="C746" t="s">
        <v>14</v>
      </c>
      <c r="D746">
        <v>47</v>
      </c>
      <c r="E746" t="s">
        <v>42</v>
      </c>
      <c r="F746" t="s">
        <v>59</v>
      </c>
      <c r="G746" t="s">
        <v>34</v>
      </c>
      <c r="H746" s="1">
        <v>44677</v>
      </c>
      <c r="J746">
        <v>306491</v>
      </c>
      <c r="K746">
        <v>0</v>
      </c>
      <c r="L746" t="s">
        <v>24</v>
      </c>
      <c r="M746">
        <f ca="1">IF(Table1[[#This Row],[Exit]]="",DATEDIF(Table1[[#This Row],[Hire]],TODAY(),"Y"),DATEDIF(Table1[[#This Row],[Hire]],Table1[[#This Row],[Exit]],"Y"))</f>
        <v>3</v>
      </c>
      <c r="N746">
        <f>FLOOR(Table1[[#This Row],[Age]],10)</f>
        <v>40</v>
      </c>
      <c r="O746" t="str">
        <f>IF(Table1[[#This Row],[Age]]&lt;30,"20-29",IF(Table1[[#This Row],[Age]]&lt;40,"30-39",IF(Table1[[#This Row],[Age]]&lt;50,"40-49",IF(Table1[[#This Row],[Age]]&lt;60,"50-59","60+"))))</f>
        <v>40-49</v>
      </c>
    </row>
    <row r="747" spans="1:15" x14ac:dyDescent="0.25">
      <c r="A747" t="s">
        <v>1464</v>
      </c>
      <c r="B747" t="s">
        <v>1465</v>
      </c>
      <c r="C747" t="s">
        <v>21</v>
      </c>
      <c r="D747">
        <v>38</v>
      </c>
      <c r="E747" t="s">
        <v>42</v>
      </c>
      <c r="F747" t="s">
        <v>16</v>
      </c>
      <c r="G747" t="s">
        <v>17</v>
      </c>
      <c r="H747" s="1">
        <v>43889</v>
      </c>
      <c r="I747" s="1">
        <v>44815</v>
      </c>
      <c r="J747">
        <v>290478</v>
      </c>
      <c r="K747">
        <v>0.08</v>
      </c>
      <c r="L747" t="s">
        <v>18</v>
      </c>
      <c r="M747">
        <f ca="1">IF(Table1[[#This Row],[Exit]]="",DATEDIF(Table1[[#This Row],[Hire]],TODAY(),"Y"),DATEDIF(Table1[[#This Row],[Hire]],Table1[[#This Row],[Exit]],"Y"))</f>
        <v>2</v>
      </c>
      <c r="N747">
        <f>FLOOR(Table1[[#This Row],[Age]],10)</f>
        <v>30</v>
      </c>
      <c r="O747" t="str">
        <f>IF(Table1[[#This Row],[Age]]&lt;30,"20-29",IF(Table1[[#This Row],[Age]]&lt;40,"30-39",IF(Table1[[#This Row],[Age]]&lt;50,"40-49",IF(Table1[[#This Row],[Age]]&lt;60,"50-59","60+"))))</f>
        <v>30-39</v>
      </c>
    </row>
    <row r="748" spans="1:15" x14ac:dyDescent="0.25">
      <c r="A748" t="s">
        <v>1466</v>
      </c>
      <c r="B748" t="s">
        <v>1467</v>
      </c>
      <c r="C748" t="s">
        <v>21</v>
      </c>
      <c r="D748">
        <v>40</v>
      </c>
      <c r="E748" t="s">
        <v>42</v>
      </c>
      <c r="F748" t="s">
        <v>16</v>
      </c>
      <c r="G748" t="s">
        <v>17</v>
      </c>
      <c r="H748" s="1">
        <v>44116</v>
      </c>
      <c r="I748" s="1">
        <v>45206</v>
      </c>
      <c r="J748">
        <v>374820</v>
      </c>
      <c r="K748">
        <v>0</v>
      </c>
      <c r="L748" t="s">
        <v>18</v>
      </c>
      <c r="M748">
        <f ca="1">IF(Table1[[#This Row],[Exit]]="",DATEDIF(Table1[[#This Row],[Hire]],TODAY(),"Y"),DATEDIF(Table1[[#This Row],[Hire]],Table1[[#This Row],[Exit]],"Y"))</f>
        <v>2</v>
      </c>
      <c r="N748">
        <f>FLOOR(Table1[[#This Row],[Age]],10)</f>
        <v>40</v>
      </c>
      <c r="O748" t="str">
        <f>IF(Table1[[#This Row],[Age]]&lt;30,"20-29",IF(Table1[[#This Row],[Age]]&lt;40,"30-39",IF(Table1[[#This Row],[Age]]&lt;50,"40-49",IF(Table1[[#This Row],[Age]]&lt;60,"50-59","60+"))))</f>
        <v>40-49</v>
      </c>
    </row>
    <row r="749" spans="1:15" x14ac:dyDescent="0.25">
      <c r="A749" t="s">
        <v>1468</v>
      </c>
      <c r="B749" t="s">
        <v>1469</v>
      </c>
      <c r="C749" t="s">
        <v>41</v>
      </c>
      <c r="D749">
        <v>46</v>
      </c>
      <c r="E749" t="s">
        <v>52</v>
      </c>
      <c r="F749" t="s">
        <v>16</v>
      </c>
      <c r="G749" t="s">
        <v>23</v>
      </c>
      <c r="H749" s="1">
        <v>44588</v>
      </c>
      <c r="J749">
        <v>367394</v>
      </c>
      <c r="K749">
        <v>7.0000000000000007E-2</v>
      </c>
      <c r="L749" t="s">
        <v>24</v>
      </c>
      <c r="M749">
        <f ca="1">IF(Table1[[#This Row],[Exit]]="",DATEDIF(Table1[[#This Row],[Hire]],TODAY(),"Y"),DATEDIF(Table1[[#This Row],[Hire]],Table1[[#This Row],[Exit]],"Y"))</f>
        <v>4</v>
      </c>
      <c r="N749">
        <f>FLOOR(Table1[[#This Row],[Age]],10)</f>
        <v>40</v>
      </c>
      <c r="O749" t="str">
        <f>IF(Table1[[#This Row],[Age]]&lt;30,"20-29",IF(Table1[[#This Row],[Age]]&lt;40,"30-39",IF(Table1[[#This Row],[Age]]&lt;50,"40-49",IF(Table1[[#This Row],[Age]]&lt;60,"50-59","60+"))))</f>
        <v>40-49</v>
      </c>
    </row>
    <row r="750" spans="1:15" x14ac:dyDescent="0.25">
      <c r="A750" t="s">
        <v>1470</v>
      </c>
      <c r="B750" t="s">
        <v>1471</v>
      </c>
      <c r="C750" t="s">
        <v>14</v>
      </c>
      <c r="D750">
        <v>26</v>
      </c>
      <c r="E750" t="s">
        <v>42</v>
      </c>
      <c r="F750" t="s">
        <v>28</v>
      </c>
      <c r="G750" t="s">
        <v>17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18</v>
      </c>
      <c r="M750">
        <f ca="1">IF(Table1[[#This Row],[Exit]]="",DATEDIF(Table1[[#This Row],[Hire]],TODAY(),"Y"),DATEDIF(Table1[[#This Row],[Hire]],Table1[[#This Row],[Exit]],"Y"))</f>
        <v>4</v>
      </c>
      <c r="N750">
        <f>FLOOR(Table1[[#This Row],[Age]],10)</f>
        <v>20</v>
      </c>
      <c r="O750" t="str">
        <f>IF(Table1[[#This Row],[Age]]&lt;30,"20-29",IF(Table1[[#This Row],[Age]]&lt;40,"30-39",IF(Table1[[#This Row],[Age]]&lt;50,"40-49",IF(Table1[[#This Row],[Age]]&lt;60,"50-59","60+"))))</f>
        <v>20-29</v>
      </c>
    </row>
    <row r="751" spans="1:15" x14ac:dyDescent="0.25">
      <c r="A751" t="s">
        <v>1472</v>
      </c>
      <c r="B751" t="s">
        <v>1473</v>
      </c>
      <c r="C751" t="s">
        <v>41</v>
      </c>
      <c r="D751">
        <v>35</v>
      </c>
      <c r="E751" t="s">
        <v>58</v>
      </c>
      <c r="F751" t="s">
        <v>16</v>
      </c>
      <c r="G751" t="s">
        <v>23</v>
      </c>
      <c r="H751" s="1">
        <v>45332</v>
      </c>
      <c r="J751">
        <v>320879</v>
      </c>
      <c r="K751">
        <v>0</v>
      </c>
      <c r="L751" t="s">
        <v>24</v>
      </c>
      <c r="M751">
        <f ca="1">IF(Table1[[#This Row],[Exit]]="",DATEDIF(Table1[[#This Row],[Hire]],TODAY(),"Y"),DATEDIF(Table1[[#This Row],[Hire]],Table1[[#This Row],[Exit]],"Y"))</f>
        <v>1</v>
      </c>
      <c r="N751">
        <f>FLOOR(Table1[[#This Row],[Age]],10)</f>
        <v>30</v>
      </c>
      <c r="O751" t="str">
        <f>IF(Table1[[#This Row],[Age]]&lt;30,"20-29",IF(Table1[[#This Row],[Age]]&lt;40,"30-39",IF(Table1[[#This Row],[Age]]&lt;50,"40-49",IF(Table1[[#This Row],[Age]]&lt;60,"50-59","60+"))))</f>
        <v>30-39</v>
      </c>
    </row>
    <row r="752" spans="1:15" x14ac:dyDescent="0.25">
      <c r="A752" t="s">
        <v>867</v>
      </c>
      <c r="B752" t="s">
        <v>1474</v>
      </c>
      <c r="C752" t="s">
        <v>14</v>
      </c>
      <c r="D752">
        <v>51</v>
      </c>
      <c r="E752" t="s">
        <v>52</v>
      </c>
      <c r="F752" t="s">
        <v>28</v>
      </c>
      <c r="G752" t="s">
        <v>34</v>
      </c>
      <c r="H752" s="1">
        <v>44183</v>
      </c>
      <c r="J752">
        <v>290376</v>
      </c>
      <c r="K752">
        <v>0.12</v>
      </c>
      <c r="L752" t="s">
        <v>24</v>
      </c>
      <c r="M752">
        <f ca="1">IF(Table1[[#This Row],[Exit]]="",DATEDIF(Table1[[#This Row],[Hire]],TODAY(),"Y"),DATEDIF(Table1[[#This Row],[Hire]],Table1[[#This Row],[Exit]],"Y"))</f>
        <v>5</v>
      </c>
      <c r="N752">
        <f>FLOOR(Table1[[#This Row],[Age]],10)</f>
        <v>50</v>
      </c>
      <c r="O752" t="str">
        <f>IF(Table1[[#This Row],[Age]]&lt;30,"20-29",IF(Table1[[#This Row],[Age]]&lt;40,"30-39",IF(Table1[[#This Row],[Age]]&lt;50,"40-49",IF(Table1[[#This Row],[Age]]&lt;60,"50-59","60+"))))</f>
        <v>50-59</v>
      </c>
    </row>
    <row r="753" spans="1:15" x14ac:dyDescent="0.25">
      <c r="A753" t="s">
        <v>1475</v>
      </c>
      <c r="B753" t="s">
        <v>1476</v>
      </c>
      <c r="C753" t="s">
        <v>21</v>
      </c>
      <c r="D753">
        <v>35</v>
      </c>
      <c r="E753" t="s">
        <v>52</v>
      </c>
      <c r="F753" t="s">
        <v>16</v>
      </c>
      <c r="G753" t="s">
        <v>23</v>
      </c>
      <c r="H753" s="1">
        <v>43837</v>
      </c>
      <c r="J753">
        <v>416920</v>
      </c>
      <c r="K753">
        <v>0</v>
      </c>
      <c r="L753" t="s">
        <v>24</v>
      </c>
      <c r="M753">
        <f ca="1">IF(Table1[[#This Row],[Exit]]="",DATEDIF(Table1[[#This Row],[Hire]],TODAY(),"Y"),DATEDIF(Table1[[#This Row],[Hire]],Table1[[#This Row],[Exit]],"Y"))</f>
        <v>6</v>
      </c>
      <c r="N753">
        <f>FLOOR(Table1[[#This Row],[Age]],10)</f>
        <v>30</v>
      </c>
      <c r="O753" t="str">
        <f>IF(Table1[[#This Row],[Age]]&lt;30,"20-29",IF(Table1[[#This Row],[Age]]&lt;40,"30-39",IF(Table1[[#This Row],[Age]]&lt;50,"40-49",IF(Table1[[#This Row],[Age]]&lt;60,"50-59","60+"))))</f>
        <v>30-39</v>
      </c>
    </row>
    <row r="754" spans="1:15" x14ac:dyDescent="0.25">
      <c r="A754" t="s">
        <v>1069</v>
      </c>
      <c r="B754" t="s">
        <v>1477</v>
      </c>
      <c r="C754" t="s">
        <v>21</v>
      </c>
      <c r="D754">
        <v>46</v>
      </c>
      <c r="E754" t="s">
        <v>66</v>
      </c>
      <c r="F754" t="s">
        <v>16</v>
      </c>
      <c r="G754" t="s">
        <v>34</v>
      </c>
      <c r="H754" s="1">
        <v>45206</v>
      </c>
      <c r="J754">
        <v>527380</v>
      </c>
      <c r="K754">
        <v>0.26</v>
      </c>
      <c r="L754" t="s">
        <v>24</v>
      </c>
      <c r="M754">
        <f ca="1">IF(Table1[[#This Row],[Exit]]="",DATEDIF(Table1[[#This Row],[Hire]],TODAY(),"Y"),DATEDIF(Table1[[#This Row],[Hire]],Table1[[#This Row],[Exit]],"Y"))</f>
        <v>2</v>
      </c>
      <c r="N754">
        <f>FLOOR(Table1[[#This Row],[Age]],10)</f>
        <v>40</v>
      </c>
      <c r="O754" t="str">
        <f>IF(Table1[[#This Row],[Age]]&lt;30,"20-29",IF(Table1[[#This Row],[Age]]&lt;40,"30-39",IF(Table1[[#This Row],[Age]]&lt;50,"40-49",IF(Table1[[#This Row],[Age]]&lt;60,"50-59","60+"))))</f>
        <v>40-49</v>
      </c>
    </row>
    <row r="755" spans="1:15" x14ac:dyDescent="0.25">
      <c r="A755" t="s">
        <v>1280</v>
      </c>
      <c r="B755" t="s">
        <v>1478</v>
      </c>
      <c r="C755" t="s">
        <v>21</v>
      </c>
      <c r="D755">
        <v>46</v>
      </c>
      <c r="E755" t="s">
        <v>58</v>
      </c>
      <c r="F755" t="s">
        <v>43</v>
      </c>
      <c r="G755" t="s">
        <v>34</v>
      </c>
      <c r="H755" s="1">
        <v>44487</v>
      </c>
      <c r="J755">
        <v>154927</v>
      </c>
      <c r="K755">
        <v>0.13</v>
      </c>
      <c r="L755" t="s">
        <v>24</v>
      </c>
      <c r="M755">
        <f ca="1">IF(Table1[[#This Row],[Exit]]="",DATEDIF(Table1[[#This Row],[Hire]],TODAY(),"Y"),DATEDIF(Table1[[#This Row],[Hire]],Table1[[#This Row],[Exit]],"Y"))</f>
        <v>4</v>
      </c>
      <c r="N755">
        <f>FLOOR(Table1[[#This Row],[Age]],10)</f>
        <v>40</v>
      </c>
      <c r="O755" t="str">
        <f>IF(Table1[[#This Row],[Age]]&lt;30,"20-29",IF(Table1[[#This Row],[Age]]&lt;40,"30-39",IF(Table1[[#This Row],[Age]]&lt;50,"40-49",IF(Table1[[#This Row],[Age]]&lt;60,"50-59","60+"))))</f>
        <v>40-49</v>
      </c>
    </row>
    <row r="756" spans="1:15" x14ac:dyDescent="0.25">
      <c r="A756" t="s">
        <v>1479</v>
      </c>
      <c r="B756" t="s">
        <v>1480</v>
      </c>
      <c r="C756" t="s">
        <v>21</v>
      </c>
      <c r="D756">
        <v>27</v>
      </c>
      <c r="E756" t="s">
        <v>66</v>
      </c>
      <c r="F756" t="s">
        <v>46</v>
      </c>
      <c r="G756" t="s">
        <v>23</v>
      </c>
      <c r="H756" s="1">
        <v>44791</v>
      </c>
      <c r="I756" s="1">
        <v>45337</v>
      </c>
      <c r="J756">
        <v>263479</v>
      </c>
      <c r="K756">
        <v>0</v>
      </c>
      <c r="L756" t="s">
        <v>18</v>
      </c>
      <c r="M756">
        <f ca="1">IF(Table1[[#This Row],[Exit]]="",DATEDIF(Table1[[#This Row],[Hire]],TODAY(),"Y"),DATEDIF(Table1[[#This Row],[Hire]],Table1[[#This Row],[Exit]],"Y"))</f>
        <v>1</v>
      </c>
      <c r="N756">
        <f>FLOOR(Table1[[#This Row],[Age]],10)</f>
        <v>20</v>
      </c>
      <c r="O756" t="str">
        <f>IF(Table1[[#This Row],[Age]]&lt;30,"20-29",IF(Table1[[#This Row],[Age]]&lt;40,"30-39",IF(Table1[[#This Row],[Age]]&lt;50,"40-49",IF(Table1[[#This Row],[Age]]&lt;60,"50-59","60+"))))</f>
        <v>20-29</v>
      </c>
    </row>
    <row r="757" spans="1:15" x14ac:dyDescent="0.25">
      <c r="A757" t="s">
        <v>1481</v>
      </c>
      <c r="B757" t="s">
        <v>1482</v>
      </c>
      <c r="C757" t="s">
        <v>21</v>
      </c>
      <c r="D757">
        <v>30</v>
      </c>
      <c r="E757" t="s">
        <v>66</v>
      </c>
      <c r="F757" t="s">
        <v>49</v>
      </c>
      <c r="G757" t="s">
        <v>17</v>
      </c>
      <c r="H757" s="1">
        <v>43979</v>
      </c>
      <c r="I757" s="1">
        <v>45294</v>
      </c>
      <c r="J757">
        <v>278394</v>
      </c>
      <c r="K757">
        <v>0</v>
      </c>
      <c r="L757" t="s">
        <v>18</v>
      </c>
      <c r="M757">
        <f ca="1">IF(Table1[[#This Row],[Exit]]="",DATEDIF(Table1[[#This Row],[Hire]],TODAY(),"Y"),DATEDIF(Table1[[#This Row],[Hire]],Table1[[#This Row],[Exit]],"Y"))</f>
        <v>3</v>
      </c>
      <c r="N757">
        <f>FLOOR(Table1[[#This Row],[Age]],10)</f>
        <v>30</v>
      </c>
      <c r="O757" t="str">
        <f>IF(Table1[[#This Row],[Age]]&lt;30,"20-29",IF(Table1[[#This Row],[Age]]&lt;40,"30-39",IF(Table1[[#This Row],[Age]]&lt;50,"40-49",IF(Table1[[#This Row],[Age]]&lt;60,"50-59","60+"))))</f>
        <v>30-39</v>
      </c>
    </row>
    <row r="758" spans="1:15" x14ac:dyDescent="0.25">
      <c r="A758" t="s">
        <v>1033</v>
      </c>
      <c r="B758" t="s">
        <v>1483</v>
      </c>
      <c r="C758" t="s">
        <v>21</v>
      </c>
      <c r="D758">
        <v>36</v>
      </c>
      <c r="E758" t="s">
        <v>58</v>
      </c>
      <c r="F758" t="s">
        <v>16</v>
      </c>
      <c r="G758" t="s">
        <v>53</v>
      </c>
      <c r="H758" s="1">
        <v>44811</v>
      </c>
      <c r="I758" s="1">
        <v>45206</v>
      </c>
      <c r="J758">
        <v>253478</v>
      </c>
      <c r="K758">
        <v>0.08</v>
      </c>
      <c r="L758" t="s">
        <v>18</v>
      </c>
      <c r="M758">
        <f ca="1">IF(Table1[[#This Row],[Exit]]="",DATEDIF(Table1[[#This Row],[Hire]],TODAY(),"Y"),DATEDIF(Table1[[#This Row],[Hire]],Table1[[#This Row],[Exit]],"Y"))</f>
        <v>1</v>
      </c>
      <c r="N758">
        <f>FLOOR(Table1[[#This Row],[Age]],10)</f>
        <v>30</v>
      </c>
      <c r="O758" t="str">
        <f>IF(Table1[[#This Row],[Age]]&lt;30,"20-29",IF(Table1[[#This Row],[Age]]&lt;40,"30-39",IF(Table1[[#This Row],[Age]]&lt;50,"40-49",IF(Table1[[#This Row],[Age]]&lt;60,"50-59","60+"))))</f>
        <v>30-39</v>
      </c>
    </row>
    <row r="759" spans="1:15" x14ac:dyDescent="0.25">
      <c r="A759" t="s">
        <v>1484</v>
      </c>
      <c r="B759" t="s">
        <v>1485</v>
      </c>
      <c r="C759" t="s">
        <v>14</v>
      </c>
      <c r="D759">
        <v>45</v>
      </c>
      <c r="E759" t="s">
        <v>15</v>
      </c>
      <c r="F759" t="s">
        <v>46</v>
      </c>
      <c r="G759" t="s">
        <v>53</v>
      </c>
      <c r="H759" s="1">
        <v>44564</v>
      </c>
      <c r="I759" s="1">
        <v>45074</v>
      </c>
      <c r="J759">
        <v>254970</v>
      </c>
      <c r="K759">
        <v>0</v>
      </c>
      <c r="L759" t="s">
        <v>18</v>
      </c>
      <c r="M759">
        <f ca="1">IF(Table1[[#This Row],[Exit]]="",DATEDIF(Table1[[#This Row],[Hire]],TODAY(),"Y"),DATEDIF(Table1[[#This Row],[Hire]],Table1[[#This Row],[Exit]],"Y"))</f>
        <v>1</v>
      </c>
      <c r="N759">
        <f>FLOOR(Table1[[#This Row],[Age]],10)</f>
        <v>40</v>
      </c>
      <c r="O759" t="str">
        <f>IF(Table1[[#This Row],[Age]]&lt;30,"20-29",IF(Table1[[#This Row],[Age]]&lt;40,"30-39",IF(Table1[[#This Row],[Age]]&lt;50,"40-49",IF(Table1[[#This Row],[Age]]&lt;60,"50-59","60+"))))</f>
        <v>40-49</v>
      </c>
    </row>
    <row r="760" spans="1:15" x14ac:dyDescent="0.25">
      <c r="A760" t="s">
        <v>1486</v>
      </c>
      <c r="B760" t="s">
        <v>1487</v>
      </c>
      <c r="C760" t="s">
        <v>41</v>
      </c>
      <c r="D760">
        <v>37</v>
      </c>
      <c r="E760" t="s">
        <v>22</v>
      </c>
      <c r="F760" t="s">
        <v>59</v>
      </c>
      <c r="G760" t="s">
        <v>34</v>
      </c>
      <c r="H760" s="1">
        <v>45074</v>
      </c>
      <c r="I760" s="1">
        <v>45401</v>
      </c>
      <c r="J760">
        <v>348920</v>
      </c>
      <c r="K760">
        <v>0.1</v>
      </c>
      <c r="L760" t="s">
        <v>18</v>
      </c>
      <c r="M760">
        <f ca="1">IF(Table1[[#This Row],[Exit]]="",DATEDIF(Table1[[#This Row],[Hire]],TODAY(),"Y"),DATEDIF(Table1[[#This Row],[Hire]],Table1[[#This Row],[Exit]],"Y"))</f>
        <v>0</v>
      </c>
      <c r="N760">
        <f>FLOOR(Table1[[#This Row],[Age]],10)</f>
        <v>30</v>
      </c>
      <c r="O760" t="str">
        <f>IF(Table1[[#This Row],[Age]]&lt;30,"20-29",IF(Table1[[#This Row],[Age]]&lt;40,"30-39",IF(Table1[[#This Row],[Age]]&lt;50,"40-49",IF(Table1[[#This Row],[Age]]&lt;60,"50-59","60+"))))</f>
        <v>30-39</v>
      </c>
    </row>
    <row r="761" spans="1:15" x14ac:dyDescent="0.25">
      <c r="A761" t="s">
        <v>95</v>
      </c>
      <c r="B761" t="s">
        <v>1488</v>
      </c>
      <c r="C761" t="s">
        <v>14</v>
      </c>
      <c r="D761">
        <v>51</v>
      </c>
      <c r="E761" t="s">
        <v>81</v>
      </c>
      <c r="F761" t="s">
        <v>16</v>
      </c>
      <c r="G761" t="s">
        <v>23</v>
      </c>
      <c r="H761" s="1">
        <v>45245</v>
      </c>
      <c r="I761" s="1">
        <v>45412</v>
      </c>
      <c r="J761">
        <v>290379</v>
      </c>
      <c r="K761">
        <v>0</v>
      </c>
      <c r="L761" t="s">
        <v>18</v>
      </c>
      <c r="M761">
        <f ca="1">IF(Table1[[#This Row],[Exit]]="",DATEDIF(Table1[[#This Row],[Hire]],TODAY(),"Y"),DATEDIF(Table1[[#This Row],[Hire]],Table1[[#This Row],[Exit]],"Y"))</f>
        <v>0</v>
      </c>
      <c r="N761">
        <f>FLOOR(Table1[[#This Row],[Age]],10)</f>
        <v>50</v>
      </c>
      <c r="O761" t="str">
        <f>IF(Table1[[#This Row],[Age]]&lt;30,"20-29",IF(Table1[[#This Row],[Age]]&lt;40,"30-39",IF(Table1[[#This Row],[Age]]&lt;50,"40-49",IF(Table1[[#This Row],[Age]]&lt;60,"50-59","60+"))))</f>
        <v>50-59</v>
      </c>
    </row>
    <row r="762" spans="1:15" x14ac:dyDescent="0.25">
      <c r="A762" t="s">
        <v>1489</v>
      </c>
      <c r="B762" t="s">
        <v>1490</v>
      </c>
      <c r="C762" t="s">
        <v>21</v>
      </c>
      <c r="D762">
        <v>56</v>
      </c>
      <c r="E762" t="s">
        <v>52</v>
      </c>
      <c r="F762" t="s">
        <v>16</v>
      </c>
      <c r="G762" t="s">
        <v>34</v>
      </c>
      <c r="H762" s="1">
        <v>43851</v>
      </c>
      <c r="I762" s="1">
        <v>45430</v>
      </c>
      <c r="J762">
        <v>315490</v>
      </c>
      <c r="K762">
        <v>0</v>
      </c>
      <c r="L762" t="s">
        <v>18</v>
      </c>
      <c r="M762">
        <f ca="1">IF(Table1[[#This Row],[Exit]]="",DATEDIF(Table1[[#This Row],[Hire]],TODAY(),"Y"),DATEDIF(Table1[[#This Row],[Hire]],Table1[[#This Row],[Exit]],"Y"))</f>
        <v>4</v>
      </c>
      <c r="N762">
        <f>FLOOR(Table1[[#This Row],[Age]],10)</f>
        <v>50</v>
      </c>
      <c r="O762" t="str">
        <f>IF(Table1[[#This Row],[Age]]&lt;30,"20-29",IF(Table1[[#This Row],[Age]]&lt;40,"30-39",IF(Table1[[#This Row],[Age]]&lt;50,"40-49",IF(Table1[[#This Row],[Age]]&lt;60,"50-59","60+"))))</f>
        <v>50-59</v>
      </c>
    </row>
    <row r="763" spans="1:15" x14ac:dyDescent="0.25">
      <c r="A763" t="s">
        <v>1491</v>
      </c>
      <c r="B763" t="s">
        <v>1492</v>
      </c>
      <c r="C763" t="s">
        <v>41</v>
      </c>
      <c r="D763">
        <v>53</v>
      </c>
      <c r="E763" t="s">
        <v>66</v>
      </c>
      <c r="F763" t="s">
        <v>16</v>
      </c>
      <c r="G763" t="s">
        <v>17</v>
      </c>
      <c r="H763" s="1">
        <v>44476</v>
      </c>
      <c r="I763" s="1">
        <v>44815</v>
      </c>
      <c r="J763">
        <v>172398</v>
      </c>
      <c r="K763">
        <v>0</v>
      </c>
      <c r="L763" t="s">
        <v>18</v>
      </c>
      <c r="M763">
        <f ca="1">IF(Table1[[#This Row],[Exit]]="",DATEDIF(Table1[[#This Row],[Hire]],TODAY(),"Y"),DATEDIF(Table1[[#This Row],[Hire]],Table1[[#This Row],[Exit]],"Y"))</f>
        <v>0</v>
      </c>
      <c r="N763">
        <f>FLOOR(Table1[[#This Row],[Age]],10)</f>
        <v>50</v>
      </c>
      <c r="O763" t="str">
        <f>IF(Table1[[#This Row],[Age]]&lt;30,"20-29",IF(Table1[[#This Row],[Age]]&lt;40,"30-39",IF(Table1[[#This Row],[Age]]&lt;50,"40-49",IF(Table1[[#This Row],[Age]]&lt;60,"50-59","60+"))))</f>
        <v>50-59</v>
      </c>
    </row>
    <row r="764" spans="1:15" x14ac:dyDescent="0.25">
      <c r="A764" t="s">
        <v>97</v>
      </c>
      <c r="B764" t="s">
        <v>1493</v>
      </c>
      <c r="C764" t="s">
        <v>14</v>
      </c>
      <c r="D764">
        <v>47</v>
      </c>
      <c r="E764" t="s">
        <v>31</v>
      </c>
      <c r="F764" t="s">
        <v>59</v>
      </c>
      <c r="G764" t="s">
        <v>23</v>
      </c>
      <c r="H764" s="1">
        <v>43940</v>
      </c>
      <c r="I764" s="1">
        <v>45206</v>
      </c>
      <c r="J764">
        <v>310274</v>
      </c>
      <c r="K764">
        <v>0</v>
      </c>
      <c r="L764" t="s">
        <v>18</v>
      </c>
      <c r="M764">
        <f ca="1">IF(Table1[[#This Row],[Exit]]="",DATEDIF(Table1[[#This Row],[Hire]],TODAY(),"Y"),DATEDIF(Table1[[#This Row],[Hire]],Table1[[#This Row],[Exit]],"Y"))</f>
        <v>3</v>
      </c>
      <c r="N764">
        <f>FLOOR(Table1[[#This Row],[Age]],10)</f>
        <v>40</v>
      </c>
      <c r="O764" t="str">
        <f>IF(Table1[[#This Row],[Age]]&lt;30,"20-29",IF(Table1[[#This Row],[Age]]&lt;40,"30-39",IF(Table1[[#This Row],[Age]]&lt;50,"40-49",IF(Table1[[#This Row],[Age]]&lt;60,"50-59","60+"))))</f>
        <v>40-49</v>
      </c>
    </row>
    <row r="765" spans="1:15" x14ac:dyDescent="0.25">
      <c r="A765" t="s">
        <v>1494</v>
      </c>
      <c r="B765" t="s">
        <v>1495</v>
      </c>
      <c r="C765" t="s">
        <v>21</v>
      </c>
      <c r="D765">
        <v>36</v>
      </c>
      <c r="E765" t="s">
        <v>81</v>
      </c>
      <c r="F765" t="s">
        <v>16</v>
      </c>
      <c r="G765" t="s">
        <v>34</v>
      </c>
      <c r="H765" s="1">
        <v>44083</v>
      </c>
      <c r="I765" s="1">
        <v>45440</v>
      </c>
      <c r="J765">
        <v>371486</v>
      </c>
      <c r="K765">
        <v>0</v>
      </c>
      <c r="L765" t="s">
        <v>18</v>
      </c>
      <c r="M765">
        <f ca="1">IF(Table1[[#This Row],[Exit]]="",DATEDIF(Table1[[#This Row],[Hire]],TODAY(),"Y"),DATEDIF(Table1[[#This Row],[Hire]],Table1[[#This Row],[Exit]],"Y"))</f>
        <v>3</v>
      </c>
      <c r="N765">
        <f>FLOOR(Table1[[#This Row],[Age]],10)</f>
        <v>30</v>
      </c>
      <c r="O765" t="str">
        <f>IF(Table1[[#This Row],[Age]]&lt;30,"20-29",IF(Table1[[#This Row],[Age]]&lt;40,"30-39",IF(Table1[[#This Row],[Age]]&lt;50,"40-49",IF(Table1[[#This Row],[Age]]&lt;60,"50-59","60+"))))</f>
        <v>30-39</v>
      </c>
    </row>
    <row r="766" spans="1:15" x14ac:dyDescent="0.25">
      <c r="A766" t="s">
        <v>1496</v>
      </c>
      <c r="B766" t="s">
        <v>1497</v>
      </c>
      <c r="C766" t="s">
        <v>21</v>
      </c>
      <c r="D766">
        <v>46</v>
      </c>
      <c r="E766" t="s">
        <v>92</v>
      </c>
      <c r="F766" t="s">
        <v>16</v>
      </c>
      <c r="G766" t="s">
        <v>53</v>
      </c>
      <c r="H766" s="1">
        <v>45233</v>
      </c>
      <c r="J766">
        <v>164920</v>
      </c>
      <c r="K766">
        <v>0</v>
      </c>
      <c r="L766" t="s">
        <v>24</v>
      </c>
      <c r="M766">
        <f ca="1">IF(Table1[[#This Row],[Exit]]="",DATEDIF(Table1[[#This Row],[Hire]],TODAY(),"Y"),DATEDIF(Table1[[#This Row],[Hire]],Table1[[#This Row],[Exit]],"Y"))</f>
        <v>2</v>
      </c>
      <c r="N766">
        <f>FLOOR(Table1[[#This Row],[Age]],10)</f>
        <v>40</v>
      </c>
      <c r="O766" t="str">
        <f>IF(Table1[[#This Row],[Age]]&lt;30,"20-29",IF(Table1[[#This Row],[Age]]&lt;40,"30-39",IF(Table1[[#This Row],[Age]]&lt;50,"40-49",IF(Table1[[#This Row],[Age]]&lt;60,"50-59","60+"))))</f>
        <v>40-49</v>
      </c>
    </row>
    <row r="767" spans="1:15" x14ac:dyDescent="0.25">
      <c r="A767" t="s">
        <v>1498</v>
      </c>
      <c r="B767" t="s">
        <v>1499</v>
      </c>
      <c r="C767" t="s">
        <v>21</v>
      </c>
      <c r="D767">
        <v>46</v>
      </c>
      <c r="E767" t="s">
        <v>81</v>
      </c>
      <c r="F767" t="s">
        <v>59</v>
      </c>
      <c r="G767" t="s">
        <v>53</v>
      </c>
      <c r="H767" s="1">
        <v>45412</v>
      </c>
      <c r="J767">
        <v>274893</v>
      </c>
      <c r="K767">
        <v>0</v>
      </c>
      <c r="L767" t="s">
        <v>24</v>
      </c>
      <c r="M767">
        <f ca="1">IF(Table1[[#This Row],[Exit]]="",DATEDIF(Table1[[#This Row],[Hire]],TODAY(),"Y"),DATEDIF(Table1[[#This Row],[Hire]],Table1[[#This Row],[Exit]],"Y"))</f>
        <v>1</v>
      </c>
      <c r="N767">
        <f>FLOOR(Table1[[#This Row],[Age]],10)</f>
        <v>40</v>
      </c>
      <c r="O767" t="str">
        <f>IF(Table1[[#This Row],[Age]]&lt;30,"20-29",IF(Table1[[#This Row],[Age]]&lt;40,"30-39",IF(Table1[[#This Row],[Age]]&lt;50,"40-49",IF(Table1[[#This Row],[Age]]&lt;60,"50-59","60+"))))</f>
        <v>40-49</v>
      </c>
    </row>
    <row r="768" spans="1:15" x14ac:dyDescent="0.25">
      <c r="A768" t="s">
        <v>1500</v>
      </c>
      <c r="B768" t="s">
        <v>1501</v>
      </c>
      <c r="C768" t="s">
        <v>21</v>
      </c>
      <c r="D768">
        <v>46</v>
      </c>
      <c r="E768" t="s">
        <v>22</v>
      </c>
      <c r="F768" t="s">
        <v>16</v>
      </c>
      <c r="G768" t="s">
        <v>53</v>
      </c>
      <c r="H768" s="1">
        <v>43887</v>
      </c>
      <c r="J768">
        <v>293476</v>
      </c>
      <c r="K768">
        <v>0</v>
      </c>
      <c r="L768" t="s">
        <v>24</v>
      </c>
      <c r="M768">
        <f ca="1">IF(Table1[[#This Row],[Exit]]="",DATEDIF(Table1[[#This Row],[Hire]],TODAY(),"Y"),DATEDIF(Table1[[#This Row],[Hire]],Table1[[#This Row],[Exit]],"Y"))</f>
        <v>5</v>
      </c>
      <c r="N768">
        <f>FLOOR(Table1[[#This Row],[Age]],10)</f>
        <v>40</v>
      </c>
      <c r="O768" t="str">
        <f>IF(Table1[[#This Row],[Age]]&lt;30,"20-29",IF(Table1[[#This Row],[Age]]&lt;40,"30-39",IF(Table1[[#This Row],[Age]]&lt;50,"40-49",IF(Table1[[#This Row],[Age]]&lt;60,"50-59","60+"))))</f>
        <v>40-49</v>
      </c>
    </row>
    <row r="769" spans="1:15" x14ac:dyDescent="0.25">
      <c r="A769" t="s">
        <v>1502</v>
      </c>
      <c r="B769" t="s">
        <v>1503</v>
      </c>
      <c r="C769" t="s">
        <v>14</v>
      </c>
      <c r="D769">
        <v>38</v>
      </c>
      <c r="E769" t="s">
        <v>92</v>
      </c>
      <c r="F769" t="s">
        <v>16</v>
      </c>
      <c r="G769" t="s">
        <v>53</v>
      </c>
      <c r="H769" s="1">
        <v>44815</v>
      </c>
      <c r="J769">
        <v>315278</v>
      </c>
      <c r="K769">
        <v>0</v>
      </c>
      <c r="L769" t="s">
        <v>24</v>
      </c>
      <c r="M769">
        <f ca="1">IF(Table1[[#This Row],[Exit]]="",DATEDIF(Table1[[#This Row],[Hire]],TODAY(),"Y"),DATEDIF(Table1[[#This Row],[Hire]],Table1[[#This Row],[Exit]],"Y"))</f>
        <v>3</v>
      </c>
      <c r="N769">
        <f>FLOOR(Table1[[#This Row],[Age]],10)</f>
        <v>30</v>
      </c>
      <c r="O769" t="str">
        <f>IF(Table1[[#This Row],[Age]]&lt;30,"20-29",IF(Table1[[#This Row],[Age]]&lt;40,"30-39",IF(Table1[[#This Row],[Age]]&lt;50,"40-49",IF(Table1[[#This Row],[Age]]&lt;60,"50-59","60+"))))</f>
        <v>30-39</v>
      </c>
    </row>
    <row r="770" spans="1:15" x14ac:dyDescent="0.25">
      <c r="A770" t="s">
        <v>1504</v>
      </c>
      <c r="B770" t="s">
        <v>1505</v>
      </c>
      <c r="C770" t="s">
        <v>21</v>
      </c>
      <c r="D770">
        <v>46</v>
      </c>
      <c r="E770" t="s">
        <v>31</v>
      </c>
      <c r="F770" t="s">
        <v>43</v>
      </c>
      <c r="G770" t="s">
        <v>53</v>
      </c>
      <c r="H770" s="1">
        <v>45430</v>
      </c>
      <c r="J770">
        <v>241879</v>
      </c>
      <c r="K770">
        <v>0</v>
      </c>
      <c r="L770" t="s">
        <v>24</v>
      </c>
      <c r="M770">
        <f ca="1">IF(Table1[[#This Row],[Exit]]="",DATEDIF(Table1[[#This Row],[Hire]],TODAY(),"Y"),DATEDIF(Table1[[#This Row],[Hire]],Table1[[#This Row],[Exit]],"Y"))</f>
        <v>1</v>
      </c>
      <c r="N770">
        <f>FLOOR(Table1[[#This Row],[Age]],10)</f>
        <v>40</v>
      </c>
      <c r="O770" t="str">
        <f>IF(Table1[[#This Row],[Age]]&lt;30,"20-29",IF(Table1[[#This Row],[Age]]&lt;40,"30-39",IF(Table1[[#This Row],[Age]]&lt;50,"40-49",IF(Table1[[#This Row],[Age]]&lt;60,"50-59","60+"))))</f>
        <v>40-49</v>
      </c>
    </row>
    <row r="771" spans="1:15" x14ac:dyDescent="0.25">
      <c r="A771" t="s">
        <v>1506</v>
      </c>
      <c r="B771" t="s">
        <v>1507</v>
      </c>
      <c r="C771" t="s">
        <v>14</v>
      </c>
      <c r="D771">
        <v>39</v>
      </c>
      <c r="E771" t="s">
        <v>15</v>
      </c>
      <c r="F771" t="s">
        <v>16</v>
      </c>
      <c r="G771" t="s">
        <v>17</v>
      </c>
      <c r="H771" s="1">
        <v>44509</v>
      </c>
      <c r="J771">
        <v>153928</v>
      </c>
      <c r="K771">
        <v>0</v>
      </c>
      <c r="L771" t="s">
        <v>24</v>
      </c>
      <c r="M771">
        <f ca="1">IF(Table1[[#This Row],[Exit]]="",DATEDIF(Table1[[#This Row],[Hire]],TODAY(),"Y"),DATEDIF(Table1[[#This Row],[Hire]],Table1[[#This Row],[Exit]],"Y"))</f>
        <v>4</v>
      </c>
      <c r="N771">
        <f>FLOOR(Table1[[#This Row],[Age]],10)</f>
        <v>30</v>
      </c>
      <c r="O771" t="str">
        <f>IF(Table1[[#This Row],[Age]]&lt;30,"20-29",IF(Table1[[#This Row],[Age]]&lt;40,"30-39",IF(Table1[[#This Row],[Age]]&lt;50,"40-49",IF(Table1[[#This Row],[Age]]&lt;60,"50-59","60+"))))</f>
        <v>30-39</v>
      </c>
    </row>
    <row r="772" spans="1:15" x14ac:dyDescent="0.25">
      <c r="A772" t="s">
        <v>709</v>
      </c>
      <c r="B772" t="s">
        <v>1508</v>
      </c>
      <c r="C772" t="s">
        <v>14</v>
      </c>
      <c r="D772">
        <v>31</v>
      </c>
      <c r="E772" t="s">
        <v>22</v>
      </c>
      <c r="F772" t="s">
        <v>16</v>
      </c>
      <c r="G772" t="s">
        <v>23</v>
      </c>
      <c r="H772" s="1">
        <v>43963</v>
      </c>
      <c r="J772">
        <v>520294</v>
      </c>
      <c r="K772">
        <v>0</v>
      </c>
      <c r="L772" t="s">
        <v>24</v>
      </c>
      <c r="M772">
        <f ca="1">IF(Table1[[#This Row],[Exit]]="",DATEDIF(Table1[[#This Row],[Hire]],TODAY(),"Y"),DATEDIF(Table1[[#This Row],[Hire]],Table1[[#This Row],[Exit]],"Y"))</f>
        <v>5</v>
      </c>
      <c r="N772">
        <f>FLOOR(Table1[[#This Row],[Age]],10)</f>
        <v>30</v>
      </c>
      <c r="O772" t="str">
        <f>IF(Table1[[#This Row],[Age]]&lt;30,"20-29",IF(Table1[[#This Row],[Age]]&lt;40,"30-39",IF(Table1[[#This Row],[Age]]&lt;50,"40-49",IF(Table1[[#This Row],[Age]]&lt;60,"50-59","60+"))))</f>
        <v>30-39</v>
      </c>
    </row>
    <row r="773" spans="1:15" x14ac:dyDescent="0.25">
      <c r="A773" t="s">
        <v>1509</v>
      </c>
      <c r="B773" t="s">
        <v>1510</v>
      </c>
      <c r="C773" t="s">
        <v>14</v>
      </c>
      <c r="D773">
        <v>45</v>
      </c>
      <c r="E773" t="s">
        <v>27</v>
      </c>
      <c r="F773" t="s">
        <v>16</v>
      </c>
      <c r="G773" t="s">
        <v>53</v>
      </c>
      <c r="H773" s="1">
        <v>44815</v>
      </c>
      <c r="J773">
        <v>146279</v>
      </c>
      <c r="K773">
        <v>0</v>
      </c>
      <c r="L773" t="s">
        <v>24</v>
      </c>
      <c r="M773">
        <f ca="1">IF(Table1[[#This Row],[Exit]]="",DATEDIF(Table1[[#This Row],[Hire]],TODAY(),"Y"),DATEDIF(Table1[[#This Row],[Hire]],Table1[[#This Row],[Exit]],"Y"))</f>
        <v>3</v>
      </c>
      <c r="N773">
        <f>FLOOR(Table1[[#This Row],[Age]],10)</f>
        <v>40</v>
      </c>
      <c r="O773" t="str">
        <f>IF(Table1[[#This Row],[Age]]&lt;30,"20-29",IF(Table1[[#This Row],[Age]]&lt;40,"30-39",IF(Table1[[#This Row],[Age]]&lt;50,"40-49",IF(Table1[[#This Row],[Age]]&lt;60,"50-59","60+"))))</f>
        <v>40-49</v>
      </c>
    </row>
    <row r="774" spans="1:15" x14ac:dyDescent="0.25">
      <c r="A774" t="s">
        <v>1357</v>
      </c>
      <c r="B774" t="s">
        <v>1511</v>
      </c>
      <c r="C774" t="s">
        <v>14</v>
      </c>
      <c r="D774">
        <v>50</v>
      </c>
      <c r="E774" t="s">
        <v>31</v>
      </c>
      <c r="F774" t="s">
        <v>49</v>
      </c>
      <c r="G774" t="s">
        <v>34</v>
      </c>
      <c r="H774" s="1">
        <v>44857</v>
      </c>
      <c r="J774">
        <v>357490</v>
      </c>
      <c r="K774">
        <v>0.06</v>
      </c>
      <c r="L774" t="s">
        <v>24</v>
      </c>
      <c r="M774">
        <f ca="1">IF(Table1[[#This Row],[Exit]]="",DATEDIF(Table1[[#This Row],[Hire]],TODAY(),"Y"),DATEDIF(Table1[[#This Row],[Hire]],Table1[[#This Row],[Exit]],"Y"))</f>
        <v>3</v>
      </c>
      <c r="N774">
        <f>FLOOR(Table1[[#This Row],[Age]],10)</f>
        <v>50</v>
      </c>
      <c r="O774" t="str">
        <f>IF(Table1[[#This Row],[Age]]&lt;30,"20-29",IF(Table1[[#This Row],[Age]]&lt;40,"30-39",IF(Table1[[#This Row],[Age]]&lt;50,"40-49",IF(Table1[[#This Row],[Age]]&lt;60,"50-59","60+"))))</f>
        <v>50-59</v>
      </c>
    </row>
    <row r="775" spans="1:15" x14ac:dyDescent="0.25">
      <c r="A775" t="s">
        <v>1512</v>
      </c>
      <c r="B775" t="s">
        <v>1513</v>
      </c>
      <c r="C775" t="s">
        <v>21</v>
      </c>
      <c r="D775">
        <v>36</v>
      </c>
      <c r="E775" t="s">
        <v>27</v>
      </c>
      <c r="F775" t="s">
        <v>59</v>
      </c>
      <c r="G775" t="s">
        <v>53</v>
      </c>
      <c r="H775" s="1">
        <v>45527</v>
      </c>
      <c r="J775">
        <v>350927</v>
      </c>
      <c r="K775">
        <v>0.05</v>
      </c>
      <c r="L775" t="s">
        <v>24</v>
      </c>
      <c r="M775">
        <f ca="1">IF(Table1[[#This Row],[Exit]]="",DATEDIF(Table1[[#This Row],[Hire]],TODAY(),"Y"),DATEDIF(Table1[[#This Row],[Hire]],Table1[[#This Row],[Exit]],"Y"))</f>
        <v>1</v>
      </c>
      <c r="N775">
        <f>FLOOR(Table1[[#This Row],[Age]],10)</f>
        <v>30</v>
      </c>
      <c r="O775" t="str">
        <f>IF(Table1[[#This Row],[Age]]&lt;30,"20-29",IF(Table1[[#This Row],[Age]]&lt;40,"30-39",IF(Table1[[#This Row],[Age]]&lt;50,"40-49",IF(Table1[[#This Row],[Age]]&lt;60,"50-59","60+"))))</f>
        <v>30-39</v>
      </c>
    </row>
    <row r="776" spans="1:15" x14ac:dyDescent="0.25">
      <c r="A776" t="s">
        <v>1514</v>
      </c>
      <c r="B776" t="s">
        <v>1515</v>
      </c>
      <c r="C776" t="s">
        <v>14</v>
      </c>
      <c r="D776">
        <v>45</v>
      </c>
      <c r="E776" t="s">
        <v>15</v>
      </c>
      <c r="F776" t="s">
        <v>46</v>
      </c>
      <c r="G776" t="s">
        <v>23</v>
      </c>
      <c r="H776" s="1">
        <v>45237</v>
      </c>
      <c r="J776">
        <v>216478</v>
      </c>
      <c r="K776">
        <v>0</v>
      </c>
      <c r="L776" t="s">
        <v>24</v>
      </c>
      <c r="M776">
        <f ca="1">IF(Table1[[#This Row],[Exit]]="",DATEDIF(Table1[[#This Row],[Hire]],TODAY(),"Y"),DATEDIF(Table1[[#This Row],[Hire]],Table1[[#This Row],[Exit]],"Y"))</f>
        <v>2</v>
      </c>
      <c r="N776">
        <f>FLOOR(Table1[[#This Row],[Age]],10)</f>
        <v>40</v>
      </c>
      <c r="O776" t="str">
        <f>IF(Table1[[#This Row],[Age]]&lt;30,"20-29",IF(Table1[[#This Row],[Age]]&lt;40,"30-39",IF(Table1[[#This Row],[Age]]&lt;50,"40-49",IF(Table1[[#This Row],[Age]]&lt;60,"50-59","60+"))))</f>
        <v>40-49</v>
      </c>
    </row>
    <row r="777" spans="1:15" x14ac:dyDescent="0.25">
      <c r="A777" t="s">
        <v>1516</v>
      </c>
      <c r="B777" t="s">
        <v>1517</v>
      </c>
      <c r="C777" t="s">
        <v>21</v>
      </c>
      <c r="D777">
        <v>46</v>
      </c>
      <c r="E777" t="s">
        <v>15</v>
      </c>
      <c r="F777" t="s">
        <v>16</v>
      </c>
      <c r="G777" t="s">
        <v>34</v>
      </c>
      <c r="H777" s="1">
        <v>45206</v>
      </c>
      <c r="J777">
        <v>354979</v>
      </c>
      <c r="K777">
        <v>0.13</v>
      </c>
      <c r="L777" t="s">
        <v>24</v>
      </c>
      <c r="M777">
        <f ca="1">IF(Table1[[#This Row],[Exit]]="",DATEDIF(Table1[[#This Row],[Hire]],TODAY(),"Y"),DATEDIF(Table1[[#This Row],[Hire]],Table1[[#This Row],[Exit]],"Y"))</f>
        <v>2</v>
      </c>
      <c r="N777">
        <f>FLOOR(Table1[[#This Row],[Age]],10)</f>
        <v>40</v>
      </c>
      <c r="O777" t="str">
        <f>IF(Table1[[#This Row],[Age]]&lt;30,"20-29",IF(Table1[[#This Row],[Age]]&lt;40,"30-39",IF(Table1[[#This Row],[Age]]&lt;50,"40-49",IF(Table1[[#This Row],[Age]]&lt;60,"50-59","60+"))))</f>
        <v>40-49</v>
      </c>
    </row>
    <row r="778" spans="1:15" x14ac:dyDescent="0.25">
      <c r="A778" t="s">
        <v>1518</v>
      </c>
      <c r="B778" t="s">
        <v>1519</v>
      </c>
      <c r="C778" t="s">
        <v>14</v>
      </c>
      <c r="D778">
        <v>41</v>
      </c>
      <c r="E778" t="s">
        <v>42</v>
      </c>
      <c r="F778" t="s">
        <v>59</v>
      </c>
      <c r="G778" t="s">
        <v>34</v>
      </c>
      <c r="H778" s="1">
        <v>44677</v>
      </c>
      <c r="I778" s="1">
        <v>45440</v>
      </c>
      <c r="J778">
        <v>372960</v>
      </c>
      <c r="K778">
        <v>0.2</v>
      </c>
      <c r="L778" t="s">
        <v>18</v>
      </c>
      <c r="M778">
        <f ca="1">IF(Table1[[#This Row],[Exit]]="",DATEDIF(Table1[[#This Row],[Hire]],TODAY(),"Y"),DATEDIF(Table1[[#This Row],[Hire]],Table1[[#This Row],[Exit]],"Y"))</f>
        <v>2</v>
      </c>
      <c r="N778">
        <f>FLOOR(Table1[[#This Row],[Age]],10)</f>
        <v>40</v>
      </c>
      <c r="O778" t="str">
        <f>IF(Table1[[#This Row],[Age]]&lt;30,"20-29",IF(Table1[[#This Row],[Age]]&lt;40,"30-39",IF(Table1[[#This Row],[Age]]&lt;50,"40-49",IF(Table1[[#This Row],[Age]]&lt;60,"50-59","60+"))))</f>
        <v>40-49</v>
      </c>
    </row>
    <row r="779" spans="1:15" x14ac:dyDescent="0.25">
      <c r="A779" t="s">
        <v>1520</v>
      </c>
      <c r="B779" t="s">
        <v>1521</v>
      </c>
      <c r="C779" t="s">
        <v>21</v>
      </c>
      <c r="D779">
        <v>47</v>
      </c>
      <c r="E779" t="s">
        <v>42</v>
      </c>
      <c r="F779" t="s">
        <v>16</v>
      </c>
      <c r="G779" t="s">
        <v>17</v>
      </c>
      <c r="H779" s="1">
        <v>43889</v>
      </c>
      <c r="I779" s="1">
        <v>45206</v>
      </c>
      <c r="J779">
        <v>315479</v>
      </c>
      <c r="K779">
        <v>0</v>
      </c>
      <c r="L779" t="s">
        <v>18</v>
      </c>
      <c r="M779">
        <f ca="1">IF(Table1[[#This Row],[Exit]]="",DATEDIF(Table1[[#This Row],[Hire]],TODAY(),"Y"),DATEDIF(Table1[[#This Row],[Hire]],Table1[[#This Row],[Exit]],"Y"))</f>
        <v>3</v>
      </c>
      <c r="N779">
        <f>FLOOR(Table1[[#This Row],[Age]],10)</f>
        <v>40</v>
      </c>
      <c r="O779" t="str">
        <f>IF(Table1[[#This Row],[Age]]&lt;30,"20-29",IF(Table1[[#This Row],[Age]]&lt;40,"30-39",IF(Table1[[#This Row],[Age]]&lt;50,"40-49",IF(Table1[[#This Row],[Age]]&lt;60,"50-59","60+"))))</f>
        <v>40-49</v>
      </c>
    </row>
    <row r="780" spans="1:15" x14ac:dyDescent="0.25">
      <c r="A780" t="s">
        <v>1522</v>
      </c>
      <c r="B780" t="s">
        <v>1523</v>
      </c>
      <c r="C780" t="s">
        <v>21</v>
      </c>
      <c r="D780">
        <v>38</v>
      </c>
      <c r="E780" t="s">
        <v>42</v>
      </c>
      <c r="F780" t="s">
        <v>16</v>
      </c>
      <c r="G780" t="s">
        <v>17</v>
      </c>
      <c r="H780" s="1">
        <v>44116</v>
      </c>
      <c r="J780">
        <v>284769</v>
      </c>
      <c r="K780">
        <v>0</v>
      </c>
      <c r="L780" t="s">
        <v>24</v>
      </c>
      <c r="M780">
        <f ca="1">IF(Table1[[#This Row],[Exit]]="",DATEDIF(Table1[[#This Row],[Hire]],TODAY(),"Y"),DATEDIF(Table1[[#This Row],[Hire]],Table1[[#This Row],[Exit]],"Y"))</f>
        <v>5</v>
      </c>
      <c r="N780">
        <f>FLOOR(Table1[[#This Row],[Age]],10)</f>
        <v>30</v>
      </c>
      <c r="O780" t="str">
        <f>IF(Table1[[#This Row],[Age]]&lt;30,"20-29",IF(Table1[[#This Row],[Age]]&lt;40,"30-39",IF(Table1[[#This Row],[Age]]&lt;50,"40-49",IF(Table1[[#This Row],[Age]]&lt;60,"50-59","60+"))))</f>
        <v>30-39</v>
      </c>
    </row>
    <row r="781" spans="1:15" x14ac:dyDescent="0.25">
      <c r="A781" t="s">
        <v>121</v>
      </c>
      <c r="B781" t="s">
        <v>1524</v>
      </c>
      <c r="C781" t="s">
        <v>41</v>
      </c>
      <c r="D781">
        <v>40</v>
      </c>
      <c r="E781" t="s">
        <v>52</v>
      </c>
      <c r="F781" t="s">
        <v>16</v>
      </c>
      <c r="G781" t="s">
        <v>23</v>
      </c>
      <c r="H781" s="1">
        <v>44588</v>
      </c>
      <c r="J781">
        <v>467829</v>
      </c>
      <c r="K781">
        <v>0</v>
      </c>
      <c r="L781" t="s">
        <v>24</v>
      </c>
      <c r="M781">
        <f ca="1">IF(Table1[[#This Row],[Exit]]="",DATEDIF(Table1[[#This Row],[Hire]],TODAY(),"Y"),DATEDIF(Table1[[#This Row],[Hire]],Table1[[#This Row],[Exit]],"Y"))</f>
        <v>4</v>
      </c>
      <c r="N781">
        <f>FLOOR(Table1[[#This Row],[Age]],10)</f>
        <v>40</v>
      </c>
      <c r="O781" t="str">
        <f>IF(Table1[[#This Row],[Age]]&lt;30,"20-29",IF(Table1[[#This Row],[Age]]&lt;40,"30-39",IF(Table1[[#This Row],[Age]]&lt;50,"40-49",IF(Table1[[#This Row],[Age]]&lt;60,"50-59","60+"))))</f>
        <v>40-49</v>
      </c>
    </row>
    <row r="782" spans="1:15" x14ac:dyDescent="0.25">
      <c r="A782" t="s">
        <v>99</v>
      </c>
      <c r="B782" t="s">
        <v>1525</v>
      </c>
      <c r="C782" t="s">
        <v>14</v>
      </c>
      <c r="D782">
        <v>45</v>
      </c>
      <c r="E782" t="s">
        <v>42</v>
      </c>
      <c r="F782" t="s">
        <v>28</v>
      </c>
      <c r="G782" t="s">
        <v>17</v>
      </c>
      <c r="H782" s="1">
        <v>45337</v>
      </c>
      <c r="J782">
        <v>325780</v>
      </c>
      <c r="K782">
        <v>0</v>
      </c>
      <c r="L782" t="s">
        <v>24</v>
      </c>
      <c r="M782">
        <f ca="1">IF(Table1[[#This Row],[Exit]]="",DATEDIF(Table1[[#This Row],[Hire]],TODAY(),"Y"),DATEDIF(Table1[[#This Row],[Hire]],Table1[[#This Row],[Exit]],"Y"))</f>
        <v>1</v>
      </c>
      <c r="N782">
        <f>FLOOR(Table1[[#This Row],[Age]],10)</f>
        <v>40</v>
      </c>
      <c r="O782" t="str">
        <f>IF(Table1[[#This Row],[Age]]&lt;30,"20-29",IF(Table1[[#This Row],[Age]]&lt;40,"30-39",IF(Table1[[#This Row],[Age]]&lt;50,"40-49",IF(Table1[[#This Row],[Age]]&lt;60,"50-59","60+"))))</f>
        <v>40-49</v>
      </c>
    </row>
    <row r="783" spans="1:15" x14ac:dyDescent="0.25">
      <c r="A783" t="s">
        <v>1526</v>
      </c>
      <c r="B783" t="s">
        <v>1527</v>
      </c>
      <c r="C783" t="s">
        <v>41</v>
      </c>
      <c r="D783">
        <v>26</v>
      </c>
      <c r="E783" t="s">
        <v>58</v>
      </c>
      <c r="F783" t="s">
        <v>16</v>
      </c>
      <c r="G783" t="s">
        <v>23</v>
      </c>
      <c r="H783" s="1">
        <v>44602</v>
      </c>
      <c r="I783" s="1">
        <v>45440</v>
      </c>
      <c r="J783">
        <v>203948</v>
      </c>
      <c r="K783">
        <v>0.09</v>
      </c>
      <c r="L783" t="s">
        <v>18</v>
      </c>
      <c r="M783">
        <f ca="1">IF(Table1[[#This Row],[Exit]]="",DATEDIF(Table1[[#This Row],[Hire]],TODAY(),"Y"),DATEDIF(Table1[[#This Row],[Hire]],Table1[[#This Row],[Exit]],"Y"))</f>
        <v>2</v>
      </c>
      <c r="N783">
        <f>FLOOR(Table1[[#This Row],[Age]],10)</f>
        <v>20</v>
      </c>
      <c r="O783" t="str">
        <f>IF(Table1[[#This Row],[Age]]&lt;30,"20-29",IF(Table1[[#This Row],[Age]]&lt;40,"30-39",IF(Table1[[#This Row],[Age]]&lt;50,"40-49",IF(Table1[[#This Row],[Age]]&lt;60,"50-59","60+"))))</f>
        <v>20-29</v>
      </c>
    </row>
    <row r="784" spans="1:15" x14ac:dyDescent="0.25">
      <c r="A784" t="s">
        <v>1528</v>
      </c>
      <c r="B784" t="s">
        <v>1529</v>
      </c>
      <c r="C784" t="s">
        <v>14</v>
      </c>
      <c r="D784">
        <v>35</v>
      </c>
      <c r="E784" t="s">
        <v>52</v>
      </c>
      <c r="F784" t="s">
        <v>28</v>
      </c>
      <c r="G784" t="s">
        <v>34</v>
      </c>
      <c r="H784" s="1">
        <v>44183</v>
      </c>
      <c r="J784">
        <v>275394</v>
      </c>
      <c r="K784">
        <v>0</v>
      </c>
      <c r="L784" t="s">
        <v>24</v>
      </c>
      <c r="M784">
        <f ca="1">IF(Table1[[#This Row],[Exit]]="",DATEDIF(Table1[[#This Row],[Hire]],TODAY(),"Y"),DATEDIF(Table1[[#This Row],[Hire]],Table1[[#This Row],[Exit]],"Y"))</f>
        <v>5</v>
      </c>
      <c r="N784">
        <f>FLOOR(Table1[[#This Row],[Age]],10)</f>
        <v>30</v>
      </c>
      <c r="O784" t="str">
        <f>IF(Table1[[#This Row],[Age]]&lt;30,"20-29",IF(Table1[[#This Row],[Age]]&lt;40,"30-39",IF(Table1[[#This Row],[Age]]&lt;50,"40-49",IF(Table1[[#This Row],[Age]]&lt;60,"50-59","60+"))))</f>
        <v>30-39</v>
      </c>
    </row>
    <row r="785" spans="1:15" x14ac:dyDescent="0.25">
      <c r="A785" t="s">
        <v>1530</v>
      </c>
      <c r="B785" t="s">
        <v>1531</v>
      </c>
      <c r="C785" t="s">
        <v>21</v>
      </c>
      <c r="D785">
        <v>46</v>
      </c>
      <c r="E785" t="s">
        <v>52</v>
      </c>
      <c r="F785" t="s">
        <v>16</v>
      </c>
      <c r="G785" t="s">
        <v>23</v>
      </c>
      <c r="H785" s="1">
        <v>43837</v>
      </c>
      <c r="J785">
        <v>241896</v>
      </c>
      <c r="K785">
        <v>0.15</v>
      </c>
      <c r="L785" t="s">
        <v>24</v>
      </c>
      <c r="M785">
        <f ca="1">IF(Table1[[#This Row],[Exit]]="",DATEDIF(Table1[[#This Row],[Hire]],TODAY(),"Y"),DATEDIF(Table1[[#This Row],[Hire]],Table1[[#This Row],[Exit]],"Y"))</f>
        <v>6</v>
      </c>
      <c r="N785">
        <f>FLOOR(Table1[[#This Row],[Age]],10)</f>
        <v>40</v>
      </c>
      <c r="O785" t="str">
        <f>IF(Table1[[#This Row],[Age]]&lt;30,"20-29",IF(Table1[[#This Row],[Age]]&lt;40,"30-39",IF(Table1[[#This Row],[Age]]&lt;50,"40-49",IF(Table1[[#This Row],[Age]]&lt;60,"50-59","60+"))))</f>
        <v>40-49</v>
      </c>
    </row>
    <row r="786" spans="1:15" x14ac:dyDescent="0.25">
      <c r="A786" t="s">
        <v>1532</v>
      </c>
      <c r="B786" t="s">
        <v>1533</v>
      </c>
      <c r="C786" t="s">
        <v>21</v>
      </c>
      <c r="D786">
        <v>35</v>
      </c>
      <c r="E786" t="s">
        <v>66</v>
      </c>
      <c r="F786" t="s">
        <v>16</v>
      </c>
      <c r="G786" t="s">
        <v>34</v>
      </c>
      <c r="H786" s="1">
        <v>45206</v>
      </c>
      <c r="J786">
        <v>314920</v>
      </c>
      <c r="K786">
        <v>0</v>
      </c>
      <c r="L786" t="s">
        <v>24</v>
      </c>
      <c r="M786">
        <f ca="1">IF(Table1[[#This Row],[Exit]]="",DATEDIF(Table1[[#This Row],[Hire]],TODAY(),"Y"),DATEDIF(Table1[[#This Row],[Hire]],Table1[[#This Row],[Exit]],"Y"))</f>
        <v>2</v>
      </c>
      <c r="N786">
        <f>FLOOR(Table1[[#This Row],[Age]],10)</f>
        <v>30</v>
      </c>
      <c r="O786" t="str">
        <f>IF(Table1[[#This Row],[Age]]&lt;30,"20-29",IF(Table1[[#This Row],[Age]]&lt;40,"30-39",IF(Table1[[#This Row],[Age]]&lt;50,"40-49",IF(Table1[[#This Row],[Age]]&lt;60,"50-59","60+"))))</f>
        <v>30-39</v>
      </c>
    </row>
    <row r="787" spans="1:15" x14ac:dyDescent="0.25">
      <c r="A787" t="s">
        <v>848</v>
      </c>
      <c r="B787" t="s">
        <v>1534</v>
      </c>
      <c r="C787" t="s">
        <v>21</v>
      </c>
      <c r="D787">
        <v>46</v>
      </c>
      <c r="E787" t="s">
        <v>58</v>
      </c>
      <c r="F787" t="s">
        <v>43</v>
      </c>
      <c r="G787" t="s">
        <v>34</v>
      </c>
      <c r="H787" s="1">
        <v>44487</v>
      </c>
      <c r="J787">
        <v>245973</v>
      </c>
      <c r="K787">
        <v>0.26</v>
      </c>
      <c r="L787" t="s">
        <v>24</v>
      </c>
      <c r="M787">
        <f ca="1">IF(Table1[[#This Row],[Exit]]="",DATEDIF(Table1[[#This Row],[Hire]],TODAY(),"Y"),DATEDIF(Table1[[#This Row],[Hire]],Table1[[#This Row],[Exit]],"Y"))</f>
        <v>4</v>
      </c>
      <c r="N787">
        <f>FLOOR(Table1[[#This Row],[Age]],10)</f>
        <v>40</v>
      </c>
      <c r="O787" t="str">
        <f>IF(Table1[[#This Row],[Age]]&lt;30,"20-29",IF(Table1[[#This Row],[Age]]&lt;40,"30-39",IF(Table1[[#This Row],[Age]]&lt;50,"40-49",IF(Table1[[#This Row],[Age]]&lt;60,"50-59","60+"))))</f>
        <v>40-49</v>
      </c>
    </row>
    <row r="788" spans="1:15" x14ac:dyDescent="0.25">
      <c r="A788" t="s">
        <v>1535</v>
      </c>
      <c r="B788" t="s">
        <v>1536</v>
      </c>
      <c r="C788" t="s">
        <v>21</v>
      </c>
      <c r="D788">
        <v>46</v>
      </c>
      <c r="E788" t="s">
        <v>66</v>
      </c>
      <c r="F788" t="s">
        <v>46</v>
      </c>
      <c r="G788" t="s">
        <v>23</v>
      </c>
      <c r="H788" s="1">
        <v>44791</v>
      </c>
      <c r="J788">
        <v>186470</v>
      </c>
      <c r="K788">
        <v>0</v>
      </c>
      <c r="L788" t="s">
        <v>24</v>
      </c>
      <c r="M788">
        <f ca="1">IF(Table1[[#This Row],[Exit]]="",DATEDIF(Table1[[#This Row],[Hire]],TODAY(),"Y"),DATEDIF(Table1[[#This Row],[Hire]],Table1[[#This Row],[Exit]],"Y"))</f>
        <v>3</v>
      </c>
      <c r="N788">
        <f>FLOOR(Table1[[#This Row],[Age]],10)</f>
        <v>40</v>
      </c>
      <c r="O788" t="str">
        <f>IF(Table1[[#This Row],[Age]]&lt;30,"20-29",IF(Table1[[#This Row],[Age]]&lt;40,"30-39",IF(Table1[[#This Row],[Age]]&lt;50,"40-49",IF(Table1[[#This Row],[Age]]&lt;60,"50-59","60+"))))</f>
        <v>40-49</v>
      </c>
    </row>
    <row r="789" spans="1:15" x14ac:dyDescent="0.25">
      <c r="A789" t="s">
        <v>1537</v>
      </c>
      <c r="B789" t="s">
        <v>1538</v>
      </c>
      <c r="C789" t="s">
        <v>21</v>
      </c>
      <c r="D789">
        <v>46</v>
      </c>
      <c r="E789" t="s">
        <v>66</v>
      </c>
      <c r="F789" t="s">
        <v>49</v>
      </c>
      <c r="G789" t="s">
        <v>17</v>
      </c>
      <c r="H789" s="1">
        <v>45440</v>
      </c>
      <c r="J789">
        <v>162398</v>
      </c>
      <c r="K789">
        <v>0.12</v>
      </c>
      <c r="L789" t="s">
        <v>24</v>
      </c>
      <c r="M789">
        <f ca="1">IF(Table1[[#This Row],[Exit]]="",DATEDIF(Table1[[#This Row],[Hire]],TODAY(),"Y"),DATEDIF(Table1[[#This Row],[Hire]],Table1[[#This Row],[Exit]],"Y"))</f>
        <v>1</v>
      </c>
      <c r="N789">
        <f>FLOOR(Table1[[#This Row],[Age]],10)</f>
        <v>40</v>
      </c>
      <c r="O789" t="str">
        <f>IF(Table1[[#This Row],[Age]]&lt;30,"20-29",IF(Table1[[#This Row],[Age]]&lt;40,"30-39",IF(Table1[[#This Row],[Age]]&lt;50,"40-49",IF(Table1[[#This Row],[Age]]&lt;60,"50-59","60+"))))</f>
        <v>40-49</v>
      </c>
    </row>
    <row r="790" spans="1:15" x14ac:dyDescent="0.25">
      <c r="A790" t="s">
        <v>1539</v>
      </c>
      <c r="B790" t="s">
        <v>1540</v>
      </c>
      <c r="C790" t="s">
        <v>21</v>
      </c>
      <c r="D790">
        <v>46</v>
      </c>
      <c r="E790" t="s">
        <v>58</v>
      </c>
      <c r="F790" t="s">
        <v>16</v>
      </c>
      <c r="G790" t="s">
        <v>53</v>
      </c>
      <c r="H790" s="1">
        <v>44811</v>
      </c>
      <c r="J790">
        <v>371972</v>
      </c>
      <c r="K790">
        <v>0</v>
      </c>
      <c r="L790" t="s">
        <v>24</v>
      </c>
      <c r="M790">
        <f ca="1">IF(Table1[[#This Row],[Exit]]="",DATEDIF(Table1[[#This Row],[Hire]],TODAY(),"Y"),DATEDIF(Table1[[#This Row],[Hire]],Table1[[#This Row],[Exit]],"Y"))</f>
        <v>3</v>
      </c>
      <c r="N790">
        <f>FLOOR(Table1[[#This Row],[Age]],10)</f>
        <v>40</v>
      </c>
      <c r="O790" t="str">
        <f>IF(Table1[[#This Row],[Age]]&lt;30,"20-29",IF(Table1[[#This Row],[Age]]&lt;40,"30-39",IF(Table1[[#This Row],[Age]]&lt;50,"40-49",IF(Table1[[#This Row],[Age]]&lt;60,"50-59","60+"))))</f>
        <v>40-49</v>
      </c>
    </row>
    <row r="791" spans="1:15" x14ac:dyDescent="0.25">
      <c r="A791" t="s">
        <v>1541</v>
      </c>
      <c r="B791" t="s">
        <v>1542</v>
      </c>
      <c r="C791" t="s">
        <v>14</v>
      </c>
      <c r="D791">
        <v>36</v>
      </c>
      <c r="E791" t="s">
        <v>15</v>
      </c>
      <c r="F791" t="s">
        <v>46</v>
      </c>
      <c r="G791" t="s">
        <v>53</v>
      </c>
      <c r="H791" s="1">
        <v>45294</v>
      </c>
      <c r="J791">
        <v>270384</v>
      </c>
      <c r="K791">
        <v>0</v>
      </c>
      <c r="L791" t="s">
        <v>24</v>
      </c>
      <c r="M791">
        <f ca="1">IF(Table1[[#This Row],[Exit]]="",DATEDIF(Table1[[#This Row],[Hire]],TODAY(),"Y"),DATEDIF(Table1[[#This Row],[Hire]],Table1[[#This Row],[Exit]],"Y"))</f>
        <v>2</v>
      </c>
      <c r="N791">
        <f>FLOOR(Table1[[#This Row],[Age]],10)</f>
        <v>30</v>
      </c>
      <c r="O791" t="str">
        <f>IF(Table1[[#This Row],[Age]]&lt;30,"20-29",IF(Table1[[#This Row],[Age]]&lt;40,"30-39",IF(Table1[[#This Row],[Age]]&lt;50,"40-49",IF(Table1[[#This Row],[Age]]&lt;60,"50-59","60+"))))</f>
        <v>30-39</v>
      </c>
    </row>
    <row r="792" spans="1:15" x14ac:dyDescent="0.25">
      <c r="A792" t="s">
        <v>1543</v>
      </c>
      <c r="B792" t="s">
        <v>1544</v>
      </c>
      <c r="C792" t="s">
        <v>41</v>
      </c>
      <c r="D792">
        <v>46</v>
      </c>
      <c r="E792" t="s">
        <v>22</v>
      </c>
      <c r="F792" t="s">
        <v>59</v>
      </c>
      <c r="G792" t="s">
        <v>34</v>
      </c>
      <c r="H792" s="1">
        <v>45074</v>
      </c>
      <c r="J792">
        <v>174290</v>
      </c>
      <c r="K792">
        <v>0</v>
      </c>
      <c r="L792" t="s">
        <v>24</v>
      </c>
      <c r="M792">
        <f ca="1">IF(Table1[[#This Row],[Exit]]="",DATEDIF(Table1[[#This Row],[Hire]],TODAY(),"Y"),DATEDIF(Table1[[#This Row],[Hire]],Table1[[#This Row],[Exit]],"Y"))</f>
        <v>2</v>
      </c>
      <c r="N792">
        <f>FLOOR(Table1[[#This Row],[Age]],10)</f>
        <v>40</v>
      </c>
      <c r="O792" t="str">
        <f>IF(Table1[[#This Row],[Age]]&lt;30,"20-29",IF(Table1[[#This Row],[Age]]&lt;40,"30-39",IF(Table1[[#This Row],[Age]]&lt;50,"40-49",IF(Table1[[#This Row],[Age]]&lt;60,"50-59","60+"))))</f>
        <v>40-49</v>
      </c>
    </row>
    <row r="793" spans="1:15" x14ac:dyDescent="0.25">
      <c r="A793" t="s">
        <v>1545</v>
      </c>
      <c r="B793" t="s">
        <v>1546</v>
      </c>
      <c r="C793" t="s">
        <v>14</v>
      </c>
      <c r="D793">
        <v>37</v>
      </c>
      <c r="E793" t="s">
        <v>81</v>
      </c>
      <c r="F793" t="s">
        <v>16</v>
      </c>
      <c r="G793" t="s">
        <v>23</v>
      </c>
      <c r="H793" s="1">
        <v>45245</v>
      </c>
      <c r="J793">
        <v>126492</v>
      </c>
      <c r="K793">
        <v>0.08</v>
      </c>
      <c r="L793" t="s">
        <v>24</v>
      </c>
      <c r="M793">
        <f ca="1">IF(Table1[[#This Row],[Exit]]="",DATEDIF(Table1[[#This Row],[Hire]],TODAY(),"Y"),DATEDIF(Table1[[#This Row],[Hire]],Table1[[#This Row],[Exit]],"Y"))</f>
        <v>2</v>
      </c>
      <c r="N793">
        <f>FLOOR(Table1[[#This Row],[Age]],10)</f>
        <v>30</v>
      </c>
      <c r="O793" t="str">
        <f>IF(Table1[[#This Row],[Age]]&lt;30,"20-29",IF(Table1[[#This Row],[Age]]&lt;40,"30-39",IF(Table1[[#This Row],[Age]]&lt;50,"40-49",IF(Table1[[#This Row],[Age]]&lt;60,"50-59","60+"))))</f>
        <v>30-39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5FDF53B-9034-4FA8-821A-3CD45C2F028A}">
  <ds:schemaRefs/>
</ds:datastoreItem>
</file>

<file path=customXml/itemProps2.xml><?xml version="1.0" encoding="utf-8"?>
<ds:datastoreItem xmlns:ds="http://schemas.openxmlformats.org/officeDocument/2006/customXml" ds:itemID="{2DD51407-F8B4-4E0A-94D1-AEE102CB3DCF}">
  <ds:schemaRefs/>
</ds:datastoreItem>
</file>

<file path=customXml/itemProps3.xml><?xml version="1.0" encoding="utf-8"?>
<ds:datastoreItem xmlns:ds="http://schemas.openxmlformats.org/officeDocument/2006/customXml" ds:itemID="{5A9A7C01-E224-49A8-961A-C3A610DB8A2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203551A-D7D9-4132-8A8A-F9CC06075551}">
  <ds:schemaRefs/>
</ds:datastoreItem>
</file>

<file path=customXml/itemProps5.xml><?xml version="1.0" encoding="utf-8"?>
<ds:datastoreItem xmlns:ds="http://schemas.openxmlformats.org/officeDocument/2006/customXml" ds:itemID="{F2AEDED7-6011-4941-9628-C6189803FC23}">
  <ds:schemaRefs/>
</ds:datastoreItem>
</file>

<file path=customXml/itemProps6.xml><?xml version="1.0" encoding="utf-8"?>
<ds:datastoreItem xmlns:ds="http://schemas.openxmlformats.org/officeDocument/2006/customXml" ds:itemID="{8256F489-A329-4CB7-85D2-C2735DC0A5E0}">
  <ds:schemaRefs/>
</ds:datastoreItem>
</file>

<file path=customXml/itemProps7.xml><?xml version="1.0" encoding="utf-8"?>
<ds:datastoreItem xmlns:ds="http://schemas.openxmlformats.org/officeDocument/2006/customXml" ds:itemID="{74C05979-84E2-4A78-A951-B9BE848DB297}">
  <ds:schemaRefs/>
</ds:datastoreItem>
</file>

<file path=customXml/itemProps8.xml><?xml version="1.0" encoding="utf-8"?>
<ds:datastoreItem xmlns:ds="http://schemas.openxmlformats.org/officeDocument/2006/customXml" ds:itemID="{BA790674-1410-4076-9275-BB5FB09A342A}">
  <ds:schemaRefs/>
</ds:datastoreItem>
</file>

<file path=customXml/itemProps9.xml><?xml version="1.0" encoding="utf-8"?>
<ds:datastoreItem xmlns:ds="http://schemas.openxmlformats.org/officeDocument/2006/customXml" ds:itemID="{019D6B4C-B7F9-4618-9E34-3C04EAB642F8}">
  <ds:schemaRefs/>
</ds:datastoreItem>
</file>

<file path=customXml/itemProps10.xml><?xml version="1.0" encoding="utf-8"?>
<ds:datastoreItem xmlns:ds="http://schemas.openxmlformats.org/officeDocument/2006/customXml" ds:itemID="{FE2D2FC8-4B2A-44CF-B1A1-899DE07E0381}">
  <ds:schemaRefs/>
</ds:datastoreItem>
</file>

<file path=customXml/itemProps11.xml><?xml version="1.0" encoding="utf-8"?>
<ds:datastoreItem xmlns:ds="http://schemas.openxmlformats.org/officeDocument/2006/customXml" ds:itemID="{C0BDF46A-6959-4968-A95E-8976925BA85E}">
  <ds:schemaRefs/>
</ds:datastoreItem>
</file>

<file path=customXml/itemProps12.xml><?xml version="1.0" encoding="utf-8"?>
<ds:datastoreItem xmlns:ds="http://schemas.openxmlformats.org/officeDocument/2006/customXml" ds:itemID="{A1896BF9-C1B8-4B3B-B840-8A468EA028D1}">
  <ds:schemaRefs/>
</ds:datastoreItem>
</file>

<file path=customXml/itemProps13.xml><?xml version="1.0" encoding="utf-8"?>
<ds:datastoreItem xmlns:ds="http://schemas.openxmlformats.org/officeDocument/2006/customXml" ds:itemID="{C2C8C38E-A39F-49E6-8984-45E819BCE95B}">
  <ds:schemaRefs/>
</ds:datastoreItem>
</file>

<file path=customXml/itemProps14.xml><?xml version="1.0" encoding="utf-8"?>
<ds:datastoreItem xmlns:ds="http://schemas.openxmlformats.org/officeDocument/2006/customXml" ds:itemID="{E2DECE80-8BD7-458F-9BFD-2F798A1EA433}">
  <ds:schemaRefs/>
</ds:datastoreItem>
</file>

<file path=customXml/itemProps15.xml><?xml version="1.0" encoding="utf-8"?>
<ds:datastoreItem xmlns:ds="http://schemas.openxmlformats.org/officeDocument/2006/customXml" ds:itemID="{49B07E83-DCDB-40D5-802D-C4C45F2A6B77}">
  <ds:schemaRefs/>
</ds:datastoreItem>
</file>

<file path=customXml/itemProps16.xml><?xml version="1.0" encoding="utf-8"?>
<ds:datastoreItem xmlns:ds="http://schemas.openxmlformats.org/officeDocument/2006/customXml" ds:itemID="{1FCEDAE4-20D4-40CB-B7A4-BCA0860A3B80}">
  <ds:schemaRefs/>
</ds:datastoreItem>
</file>

<file path=customXml/itemProps17.xml><?xml version="1.0" encoding="utf-8"?>
<ds:datastoreItem xmlns:ds="http://schemas.openxmlformats.org/officeDocument/2006/customXml" ds:itemID="{5A4C7BA5-C3EC-4BA0-81CF-283DCD04A8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(2)</vt:lpstr>
      <vt:lpstr>DASHBOARD</vt:lpstr>
      <vt:lpstr>KPI</vt:lpstr>
      <vt:lpstr>percentage of departments</vt:lpstr>
      <vt:lpstr>Top 10 paid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20812023100712 20812023100712</cp:lastModifiedBy>
  <dcterms:created xsi:type="dcterms:W3CDTF">2025-02-04T14:57:50Z</dcterms:created>
  <dcterms:modified xsi:type="dcterms:W3CDTF">2026-02-06T16:18:11Z</dcterms:modified>
</cp:coreProperties>
</file>