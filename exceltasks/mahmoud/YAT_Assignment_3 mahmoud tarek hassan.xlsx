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1BCFAB-B037-40CF-95B5-B562448C38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nctions_1" sheetId="1" r:id="rId1"/>
    <sheet name="Employee" sheetId="2" r:id="rId2"/>
    <sheet name="Department" sheetId="3" r:id="rId3"/>
    <sheet name="Count_Coun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F2" i="2"/>
  <c r="M2" i="1" a="1"/>
  <c r="M2" i="1" s="1"/>
  <c r="H13" i="4"/>
  <c r="H11" i="4"/>
  <c r="D8" i="2"/>
  <c r="E3" i="3"/>
  <c r="E4" i="3"/>
  <c r="E2" i="3"/>
  <c r="F39" i="1"/>
  <c r="F35" i="1"/>
  <c r="L3" i="1"/>
  <c r="L4" i="1"/>
  <c r="L5" i="1"/>
  <c r="L6" i="1"/>
  <c r="L2" i="1"/>
  <c r="K3" i="1"/>
  <c r="K4" i="1"/>
  <c r="K5" i="1"/>
  <c r="K6" i="1"/>
  <c r="K2" i="1"/>
  <c r="J2" i="1" a="1"/>
  <c r="J2" i="1" s="1"/>
  <c r="I2" i="1" a="1"/>
  <c r="I2" i="1" s="1"/>
  <c r="H2" i="1" a="1"/>
  <c r="H2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<sst xmlns="http://schemas.openxmlformats.org/spreadsheetml/2006/main" count="80" uniqueCount="65">
  <si>
    <t>Student_ID</t>
  </si>
  <si>
    <t>Name</t>
  </si>
  <si>
    <t>Math</t>
  </si>
  <si>
    <t>English</t>
  </si>
  <si>
    <t>Science</t>
  </si>
  <si>
    <t>Ahmed</t>
  </si>
  <si>
    <t>Sara</t>
  </si>
  <si>
    <t>Omar</t>
  </si>
  <si>
    <t>Mona</t>
  </si>
  <si>
    <t>Ali</t>
  </si>
  <si>
    <t>🔹 IF Function</t>
  </si>
  <si>
    <r>
      <t xml:space="preserve">1. In a new column, show </t>
    </r>
    <r>
      <rPr>
        <b/>
        <sz val="11"/>
        <color theme="1"/>
        <rFont val="Calibri"/>
        <family val="2"/>
        <charset val="178"/>
        <scheme val="minor"/>
      </rPr>
      <t>Pass</t>
    </r>
    <r>
      <rPr>
        <sz val="11"/>
        <color theme="1"/>
        <rFont val="Calibri"/>
        <family val="2"/>
        <charset val="178"/>
        <scheme val="minor"/>
      </rPr>
      <t xml:space="preserve"> if Math ≥ 50, otherwise </t>
    </r>
    <r>
      <rPr>
        <b/>
        <sz val="11"/>
        <color theme="1"/>
        <rFont val="Calibri"/>
        <family val="2"/>
        <charset val="178"/>
        <scheme val="minor"/>
      </rPr>
      <t>Fail</t>
    </r>
    <r>
      <rPr>
        <sz val="11"/>
        <color theme="1"/>
        <rFont val="Calibri"/>
        <family val="2"/>
        <charset val="178"/>
        <scheme val="minor"/>
      </rPr>
      <t>.</t>
    </r>
  </si>
  <si>
    <t>🔹 Nested IF</t>
  </si>
  <si>
    <r>
      <t xml:space="preserve">2. Create a </t>
    </r>
    <r>
      <rPr>
        <b/>
        <sz val="11"/>
        <color theme="1"/>
        <rFont val="Calibri"/>
        <family val="2"/>
        <charset val="178"/>
        <scheme val="minor"/>
      </rPr>
      <t>Grade</t>
    </r>
    <r>
      <rPr>
        <sz val="11"/>
        <color theme="1"/>
        <rFont val="Calibri"/>
        <family val="2"/>
        <charset val="178"/>
        <scheme val="minor"/>
      </rPr>
      <t xml:space="preserve"> column:</t>
    </r>
  </si>
  <si>
    <r>
      <t xml:space="preserve">≥ 85 → </t>
    </r>
    <r>
      <rPr>
        <sz val="10"/>
        <color theme="1"/>
        <rFont val="Arial Unicode MS"/>
        <family val="2"/>
      </rPr>
      <t>Excellent</t>
    </r>
  </si>
  <si>
    <r>
      <t xml:space="preserve">≥ 70 → </t>
    </r>
    <r>
      <rPr>
        <sz val="10"/>
        <color theme="1"/>
        <rFont val="Arial Unicode MS"/>
        <family val="2"/>
      </rPr>
      <t>Very Good</t>
    </r>
  </si>
  <si>
    <r>
      <t xml:space="preserve">≥ 50 → </t>
    </r>
    <r>
      <rPr>
        <sz val="10"/>
        <color theme="1"/>
        <rFont val="Arial Unicode MS"/>
        <family val="2"/>
      </rPr>
      <t>Good</t>
    </r>
  </si>
  <si>
    <r>
      <t xml:space="preserve">&lt; 50 → </t>
    </r>
    <r>
      <rPr>
        <sz val="10"/>
        <color theme="1"/>
        <rFont val="Arial Unicode MS"/>
        <family val="2"/>
      </rPr>
      <t>Fail</t>
    </r>
  </si>
  <si>
    <t>🔹 SUM</t>
  </si>
  <si>
    <r>
      <t xml:space="preserve">3. Calculate </t>
    </r>
    <r>
      <rPr>
        <b/>
        <sz val="11"/>
        <color theme="1"/>
        <rFont val="Calibri"/>
        <family val="2"/>
        <charset val="178"/>
        <scheme val="minor"/>
      </rPr>
      <t>Total Marks</t>
    </r>
    <r>
      <rPr>
        <sz val="11"/>
        <color theme="1"/>
        <rFont val="Calibri"/>
        <family val="2"/>
        <charset val="178"/>
        <scheme val="minor"/>
      </rPr>
      <t xml:space="preserve"> for each student.</t>
    </r>
  </si>
  <si>
    <t>🔹 AVERAGE</t>
  </si>
  <si>
    <r>
      <t xml:space="preserve">4. Calculate </t>
    </r>
    <r>
      <rPr>
        <b/>
        <sz val="11"/>
        <color theme="1"/>
        <rFont val="Calibri"/>
        <family val="2"/>
        <charset val="178"/>
        <scheme val="minor"/>
      </rPr>
      <t>Average Marks</t>
    </r>
    <r>
      <rPr>
        <sz val="11"/>
        <color theme="1"/>
        <rFont val="Calibri"/>
        <family val="2"/>
        <charset val="178"/>
        <scheme val="minor"/>
      </rPr>
      <t xml:space="preserve"> for each student.</t>
    </r>
  </si>
  <si>
    <t>🔹 COUNT</t>
  </si>
  <si>
    <r>
      <t xml:space="preserve">5. Count how many </t>
    </r>
    <r>
      <rPr>
        <b/>
        <sz val="11"/>
        <color theme="1"/>
        <rFont val="Calibri"/>
        <family val="2"/>
        <charset val="178"/>
        <scheme val="minor"/>
      </rPr>
      <t>numeric values</t>
    </r>
    <r>
      <rPr>
        <sz val="11"/>
        <color theme="1"/>
        <rFont val="Calibri"/>
        <family val="2"/>
        <charset val="178"/>
        <scheme val="minor"/>
      </rPr>
      <t xml:space="preserve"> are in the Math column.</t>
    </r>
  </si>
  <si>
    <t>🔹 COUNTA</t>
  </si>
  <si>
    <r>
      <t xml:space="preserve">6. Count how many </t>
    </r>
    <r>
      <rPr>
        <b/>
        <sz val="11"/>
        <color theme="1"/>
        <rFont val="Calibri"/>
        <family val="2"/>
        <charset val="178"/>
        <scheme val="minor"/>
      </rPr>
      <t>students names</t>
    </r>
    <r>
      <rPr>
        <sz val="11"/>
        <color theme="1"/>
        <rFont val="Calibri"/>
        <family val="2"/>
        <charset val="178"/>
        <scheme val="minor"/>
      </rPr>
      <t xml:space="preserve"> are entered.</t>
    </r>
  </si>
  <si>
    <t>Emp_ID</t>
  </si>
  <si>
    <t>Dept_ID</t>
  </si>
  <si>
    <t>Salary</t>
  </si>
  <si>
    <t>E01</t>
  </si>
  <si>
    <t>Karim</t>
  </si>
  <si>
    <t>D10</t>
  </si>
  <si>
    <t>E02</t>
  </si>
  <si>
    <t>Nada</t>
  </si>
  <si>
    <t>D20</t>
  </si>
  <si>
    <t>E03</t>
  </si>
  <si>
    <t>Hassan</t>
  </si>
  <si>
    <t>D30</t>
  </si>
  <si>
    <t>E04</t>
  </si>
  <si>
    <t>Salma</t>
  </si>
  <si>
    <t>Department_Name</t>
  </si>
  <si>
    <t>IT</t>
  </si>
  <si>
    <t>HR</t>
  </si>
  <si>
    <t>Finance</t>
  </si>
  <si>
    <t>Exercises (VLOOKUP)</t>
  </si>
  <si>
    <r>
      <t xml:space="preserve">7. Use </t>
    </r>
    <r>
      <rPr>
        <b/>
        <sz val="11"/>
        <color theme="1"/>
        <rFont val="Calibri"/>
        <family val="2"/>
        <charset val="178"/>
        <scheme val="minor"/>
      </rPr>
      <t>VLOOKUP</t>
    </r>
    <r>
      <rPr>
        <sz val="11"/>
        <color theme="1"/>
        <rFont val="Calibri"/>
        <family val="2"/>
        <charset val="178"/>
        <scheme val="minor"/>
      </rPr>
      <t xml:space="preserve"> to return the </t>
    </r>
    <r>
      <rPr>
        <b/>
        <sz val="11"/>
        <color theme="1"/>
        <rFont val="Calibri"/>
        <family val="2"/>
        <charset val="178"/>
        <scheme val="minor"/>
      </rPr>
      <t>Department Name</t>
    </r>
    <r>
      <rPr>
        <sz val="11"/>
        <color theme="1"/>
        <rFont val="Calibri"/>
        <family val="2"/>
        <charset val="178"/>
        <scheme val="minor"/>
      </rPr>
      <t xml:space="preserve"> for each employee.</t>
    </r>
  </si>
  <si>
    <r>
      <t xml:space="preserve">8. Use </t>
    </r>
    <r>
      <rPr>
        <b/>
        <sz val="11"/>
        <color theme="1"/>
        <rFont val="Calibri"/>
        <family val="2"/>
        <charset val="178"/>
        <scheme val="minor"/>
      </rPr>
      <t>VLOOKUP</t>
    </r>
    <r>
      <rPr>
        <sz val="11"/>
        <color theme="1"/>
        <rFont val="Calibri"/>
        <family val="2"/>
        <charset val="178"/>
        <scheme val="minor"/>
      </rPr>
      <t xml:space="preserve"> to display the </t>
    </r>
    <r>
      <rPr>
        <b/>
        <sz val="11"/>
        <color theme="1"/>
        <rFont val="Calibri"/>
        <family val="2"/>
        <charset val="178"/>
        <scheme val="minor"/>
      </rPr>
      <t>Salary</t>
    </r>
    <r>
      <rPr>
        <sz val="11"/>
        <color theme="1"/>
        <rFont val="Calibri"/>
        <family val="2"/>
        <charset val="178"/>
        <scheme val="minor"/>
      </rPr>
      <t xml:space="preserve"> when Emp_ID is entered in a cell.</t>
    </r>
  </si>
  <si>
    <t>ID</t>
  </si>
  <si>
    <t>Attendance</t>
  </si>
  <si>
    <t>Present</t>
  </si>
  <si>
    <t>Absent</t>
  </si>
  <si>
    <t>Exercises</t>
  </si>
  <si>
    <r>
      <t xml:space="preserve">11. Use </t>
    </r>
    <r>
      <rPr>
        <b/>
        <sz val="11"/>
        <color theme="1"/>
        <rFont val="Calibri"/>
        <family val="2"/>
        <charset val="178"/>
        <scheme val="minor"/>
      </rPr>
      <t>COUNT</t>
    </r>
    <r>
      <rPr>
        <sz val="11"/>
        <color theme="1"/>
        <rFont val="Calibri"/>
        <family val="2"/>
        <charset val="178"/>
        <scheme val="minor"/>
      </rPr>
      <t xml:space="preserve"> to count numeric values in the ID column.</t>
    </r>
  </si>
  <si>
    <r>
      <t xml:space="preserve">12. Use </t>
    </r>
    <r>
      <rPr>
        <b/>
        <sz val="11"/>
        <color theme="1"/>
        <rFont val="Calibri"/>
        <family val="2"/>
        <charset val="178"/>
        <scheme val="minor"/>
      </rPr>
      <t>COUNTA</t>
    </r>
    <r>
      <rPr>
        <sz val="11"/>
        <color theme="1"/>
        <rFont val="Calibri"/>
        <family val="2"/>
        <charset val="178"/>
        <scheme val="minor"/>
      </rPr>
      <t xml:space="preserve"> to count </t>
    </r>
    <r>
      <rPr>
        <b/>
        <sz val="11"/>
        <color theme="1"/>
        <rFont val="Calibri"/>
        <family val="2"/>
        <charset val="178"/>
        <scheme val="minor"/>
      </rPr>
      <t>non-empty cells</t>
    </r>
    <r>
      <rPr>
        <sz val="11"/>
        <color theme="1"/>
        <rFont val="Calibri"/>
        <family val="2"/>
        <charset val="178"/>
        <scheme val="minor"/>
      </rPr>
      <t xml:space="preserve"> in the Name column.</t>
    </r>
  </si>
  <si>
    <t>degree math</t>
  </si>
  <si>
    <t>grade math</t>
  </si>
  <si>
    <t>grade english</t>
  </si>
  <si>
    <t>grade science</t>
  </si>
  <si>
    <t>sum</t>
  </si>
  <si>
    <t>average</t>
  </si>
  <si>
    <t>vlookup</t>
  </si>
  <si>
    <t>E</t>
  </si>
  <si>
    <t>8---&gt;</t>
  </si>
  <si>
    <t>total grade</t>
  </si>
  <si>
    <t xml:space="preserve">enter emp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</si>
</sst>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charset val="178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opLeftCell="A2" workbookViewId="0">
      <selection activeCell="J12" sqref="J12"/>
    </sheetView>
  </sheetViews>
  <sheetFormatPr defaultRowHeight="14.4"/>
  <cols>
    <col min="3" max="3" width="35.5546875" customWidth="1"/>
  </cols>
  <sheetData>
    <row r="1" spans="1:13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t="s">
        <v>63</v>
      </c>
    </row>
    <row r="2" spans="1:13" ht="28.8">
      <c r="A2" s="2">
        <v>101</v>
      </c>
      <c r="B2" s="2" t="s">
        <v>5</v>
      </c>
      <c r="C2" s="2">
        <v>85</v>
      </c>
      <c r="D2" s="2">
        <v>78</v>
      </c>
      <c r="E2" s="2">
        <v>90</v>
      </c>
      <c r="G2" t="str" cm="1">
        <f t="array" ref="G2:G6">IF(C2:C6&gt;=50,"pass","fail")</f>
        <v>pass</v>
      </c>
      <c r="H2" t="str" cm="1">
        <f t="array" ref="H2:H6">IF(C2:C6&gt;=85,"Excellent",IF(C2:C6&gt;=70,"very good",IF(C2:C6&gt;=50,"good","fail")))</f>
        <v>Excellent</v>
      </c>
      <c r="I2" t="str" cm="1">
        <f t="array" ref="I2:I6">IF(D2:D6&gt;=85,"Excellent",IF(D2:D6&gt;=70,"very good",IF(D2:D6&gt;=50,"good","fail")))</f>
        <v>very good</v>
      </c>
      <c r="J2" t="str" cm="1">
        <f t="array" ref="J2:J6">IF(E2:E6&gt;=85,"Excellent",IF(E2:E6&gt;=70,"very good",IF(E2:E6&gt;=50,"good","fail")))</f>
        <v>Excellent</v>
      </c>
      <c r="K2">
        <f>SUM(C2:E2)</f>
        <v>253</v>
      </c>
      <c r="L2">
        <f>AVERAGE(C2:E2)</f>
        <v>84.333333333333329</v>
      </c>
      <c r="M2" s="1" t="str" cm="1">
        <f t="array" ref="M2:M6">IF(L2:L6&gt;=85,"Excellent",IF(L2:L6&gt;=70,"verygood",IF(L2:L6&gt;=50,"good","fail")))</f>
        <v>verygood</v>
      </c>
    </row>
    <row r="3" spans="1:13">
      <c r="A3" s="2">
        <v>102</v>
      </c>
      <c r="B3" s="2" t="s">
        <v>6</v>
      </c>
      <c r="C3" s="2">
        <v>65</v>
      </c>
      <c r="D3" s="2">
        <v>72</v>
      </c>
      <c r="E3" s="2">
        <v>68</v>
      </c>
      <c r="G3" t="str">
        <v>pass</v>
      </c>
      <c r="H3" t="str">
        <v>good</v>
      </c>
      <c r="I3" t="str">
        <v>very good</v>
      </c>
      <c r="J3" t="str">
        <v>good</v>
      </c>
      <c r="K3">
        <f t="shared" ref="K3:K6" si="0">SUM(C3:E3)</f>
        <v>205</v>
      </c>
      <c r="L3">
        <f t="shared" ref="L3:L6" si="1">AVERAGE(C3:E3)</f>
        <v>68.333333333333329</v>
      </c>
      <c r="M3" t="str">
        <v>good</v>
      </c>
    </row>
    <row r="4" spans="1:13">
      <c r="A4" s="2">
        <v>103</v>
      </c>
      <c r="B4" s="2" t="s">
        <v>7</v>
      </c>
      <c r="C4" s="2">
        <v>45</v>
      </c>
      <c r="D4" s="2">
        <v>50</v>
      </c>
      <c r="E4" s="2">
        <v>55</v>
      </c>
      <c r="G4" t="str">
        <v>fail</v>
      </c>
      <c r="H4" t="str">
        <v>fail</v>
      </c>
      <c r="I4" t="str">
        <v>good</v>
      </c>
      <c r="J4" t="str">
        <v>good</v>
      </c>
      <c r="K4">
        <f t="shared" si="0"/>
        <v>150</v>
      </c>
      <c r="L4">
        <f t="shared" si="1"/>
        <v>50</v>
      </c>
      <c r="M4" t="str">
        <v>good</v>
      </c>
    </row>
    <row r="5" spans="1:13">
      <c r="A5" s="2">
        <v>104</v>
      </c>
      <c r="B5" s="2" t="s">
        <v>8</v>
      </c>
      <c r="C5" s="2">
        <v>92</v>
      </c>
      <c r="D5" s="2">
        <v>88</v>
      </c>
      <c r="E5" s="2">
        <v>95</v>
      </c>
      <c r="G5" t="str">
        <v>pass</v>
      </c>
      <c r="H5" t="str">
        <v>Excellent</v>
      </c>
      <c r="I5" t="str">
        <v>Excellent</v>
      </c>
      <c r="J5" t="str">
        <v>Excellent</v>
      </c>
      <c r="K5">
        <f t="shared" si="0"/>
        <v>275</v>
      </c>
      <c r="L5">
        <f t="shared" si="1"/>
        <v>91.666666666666671</v>
      </c>
      <c r="M5" t="str">
        <v>Excellent</v>
      </c>
    </row>
    <row r="6" spans="1:13">
      <c r="A6" s="2">
        <v>105</v>
      </c>
      <c r="B6" s="2" t="s">
        <v>9</v>
      </c>
      <c r="C6" s="2">
        <v>30</v>
      </c>
      <c r="D6" s="2">
        <v>40</v>
      </c>
      <c r="E6" s="2">
        <v>35</v>
      </c>
      <c r="G6" t="str">
        <v>fail</v>
      </c>
      <c r="H6" t="str">
        <v>fail</v>
      </c>
      <c r="I6" t="str">
        <v>fail</v>
      </c>
      <c r="J6" t="str">
        <v>fail</v>
      </c>
      <c r="K6">
        <f t="shared" si="0"/>
        <v>105</v>
      </c>
      <c r="L6">
        <f t="shared" si="1"/>
        <v>35</v>
      </c>
      <c r="M6" t="str">
        <v>fail</v>
      </c>
    </row>
    <row r="9" spans="1:13" ht="15.6">
      <c r="C9" s="3" t="s">
        <v>10</v>
      </c>
    </row>
    <row r="10" spans="1:13">
      <c r="C10" s="4"/>
    </row>
    <row r="11" spans="1:13">
      <c r="C11" s="4" t="s">
        <v>11</v>
      </c>
    </row>
    <row r="13" spans="1:13" ht="15.6">
      <c r="C13" s="3" t="s">
        <v>12</v>
      </c>
    </row>
    <row r="14" spans="1:13">
      <c r="C14" s="4"/>
    </row>
    <row r="15" spans="1:13">
      <c r="C15" s="4" t="s">
        <v>13</v>
      </c>
    </row>
    <row r="16" spans="1:13">
      <c r="C16" s="4"/>
    </row>
    <row r="17" spans="3:3">
      <c r="C17" s="4"/>
    </row>
    <row r="18" spans="3:3">
      <c r="C18" s="5"/>
    </row>
    <row r="19" spans="3:3">
      <c r="C19" s="5" t="s">
        <v>14</v>
      </c>
    </row>
    <row r="20" spans="3:3">
      <c r="C20" s="5"/>
    </row>
    <row r="21" spans="3:3">
      <c r="C21" s="5" t="s">
        <v>15</v>
      </c>
    </row>
    <row r="22" spans="3:3">
      <c r="C22" s="5"/>
    </row>
    <row r="23" spans="3:3">
      <c r="C23" s="5" t="s">
        <v>16</v>
      </c>
    </row>
    <row r="24" spans="3:3">
      <c r="C24" s="5"/>
    </row>
    <row r="25" spans="3:3">
      <c r="C25" s="5" t="s">
        <v>17</v>
      </c>
    </row>
    <row r="27" spans="3:3" ht="15.6">
      <c r="C27" s="3" t="s">
        <v>18</v>
      </c>
    </row>
    <row r="28" spans="3:3">
      <c r="C28" s="4"/>
    </row>
    <row r="29" spans="3:3">
      <c r="C29" s="4" t="s">
        <v>19</v>
      </c>
    </row>
    <row r="31" spans="3:3" ht="15.6">
      <c r="C31" s="3" t="s">
        <v>20</v>
      </c>
    </row>
    <row r="32" spans="3:3">
      <c r="C32" s="4"/>
    </row>
    <row r="33" spans="3:6">
      <c r="C33" s="4" t="s">
        <v>21</v>
      </c>
    </row>
    <row r="35" spans="3:6" ht="15.6">
      <c r="C35" s="3" t="s">
        <v>22</v>
      </c>
      <c r="F35">
        <f>COUNT(C2:C6)</f>
        <v>5</v>
      </c>
    </row>
    <row r="36" spans="3:6">
      <c r="C36" s="4"/>
    </row>
    <row r="37" spans="3:6">
      <c r="C37" s="4" t="s">
        <v>23</v>
      </c>
    </row>
    <row r="39" spans="3:6" ht="15.6">
      <c r="C39" s="3" t="s">
        <v>24</v>
      </c>
      <c r="F39">
        <f>COUNTA(B2:B6)</f>
        <v>5</v>
      </c>
    </row>
    <row r="40" spans="3:6">
      <c r="C40" s="4"/>
    </row>
    <row r="41" spans="3:6">
      <c r="C41" s="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G10" sqref="G10"/>
    </sheetView>
  </sheetViews>
  <sheetFormatPr defaultRowHeight="14.4"/>
  <sheetData>
    <row r="1" spans="1:8">
      <c r="A1" s="1" t="s">
        <v>26</v>
      </c>
      <c r="B1" s="1" t="s">
        <v>1</v>
      </c>
      <c r="C1" s="1" t="s">
        <v>27</v>
      </c>
      <c r="D1" s="1" t="s">
        <v>28</v>
      </c>
    </row>
    <row r="2" spans="1:8">
      <c r="A2" s="2" t="s">
        <v>29</v>
      </c>
      <c r="B2" s="2" t="s">
        <v>30</v>
      </c>
      <c r="C2" s="2" t="s">
        <v>31</v>
      </c>
      <c r="D2" s="2">
        <v>8000</v>
      </c>
      <c r="F2" t="str">
        <f>VLOOKUP(C2,Department!A:B,2,FALSE)</f>
        <v>IT</v>
      </c>
    </row>
    <row r="3" spans="1:8">
      <c r="A3" s="2" t="s">
        <v>32</v>
      </c>
      <c r="B3" s="2" t="s">
        <v>33</v>
      </c>
      <c r="C3" s="2" t="s">
        <v>34</v>
      </c>
      <c r="D3" s="2">
        <v>6500</v>
      </c>
    </row>
    <row r="4" spans="1:8">
      <c r="A4" s="2" t="s">
        <v>35</v>
      </c>
      <c r="B4" s="2" t="s">
        <v>36</v>
      </c>
      <c r="C4" s="2" t="s">
        <v>37</v>
      </c>
      <c r="D4" s="2">
        <v>7000</v>
      </c>
    </row>
    <row r="5" spans="1:8">
      <c r="A5" s="2" t="s">
        <v>38</v>
      </c>
      <c r="B5" s="2" t="s">
        <v>39</v>
      </c>
      <c r="C5" s="2" t="s">
        <v>31</v>
      </c>
      <c r="D5" s="2">
        <v>9000</v>
      </c>
    </row>
    <row r="7" spans="1:8">
      <c r="G7" t="s">
        <v>64</v>
      </c>
    </row>
    <row r="8" spans="1:8">
      <c r="C8" s="2" t="s">
        <v>62</v>
      </c>
      <c r="D8">
        <f>VLOOKUP(A2,A2:D5,4,FALSE)</f>
        <v>8000</v>
      </c>
    </row>
    <row r="9" spans="1:8">
      <c r="G9" t="s">
        <v>32</v>
      </c>
      <c r="H9">
        <f>VLOOKUP(G9,A2:D5,4,FALSE)</f>
        <v>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G15" sqref="G15"/>
    </sheetView>
  </sheetViews>
  <sheetFormatPr defaultRowHeight="14.4"/>
  <cols>
    <col min="2" max="2" width="17.6640625" customWidth="1"/>
  </cols>
  <sheetData>
    <row r="1" spans="1:8">
      <c r="A1" s="1" t="s">
        <v>27</v>
      </c>
      <c r="B1" s="1" t="s">
        <v>40</v>
      </c>
      <c r="E1" t="s">
        <v>60</v>
      </c>
    </row>
    <row r="2" spans="1:8">
      <c r="A2" s="2" t="s">
        <v>31</v>
      </c>
      <c r="B2" s="2" t="s">
        <v>41</v>
      </c>
      <c r="E2" t="str">
        <f>VLOOKUP(A2,A2:B4,2,FALSE)</f>
        <v>IT</v>
      </c>
    </row>
    <row r="3" spans="1:8">
      <c r="A3" s="2" t="s">
        <v>34</v>
      </c>
      <c r="B3" s="2" t="s">
        <v>42</v>
      </c>
      <c r="E3" t="str">
        <f t="shared" ref="E3:E4" si="0">VLOOKUP(A3,A3:B5,2,FALSE)</f>
        <v>HR</v>
      </c>
    </row>
    <row r="4" spans="1:8">
      <c r="A4" s="2" t="s">
        <v>37</v>
      </c>
      <c r="B4" s="2" t="s">
        <v>43</v>
      </c>
      <c r="E4" t="str">
        <f t="shared" si="0"/>
        <v>Finance</v>
      </c>
    </row>
    <row r="8" spans="1:8" ht="18">
      <c r="B8" s="6" t="s">
        <v>44</v>
      </c>
    </row>
    <row r="9" spans="1:8">
      <c r="B9" s="4"/>
    </row>
    <row r="10" spans="1:8">
      <c r="B10" s="4" t="s">
        <v>45</v>
      </c>
      <c r="H10" t="s">
        <v>61</v>
      </c>
    </row>
    <row r="11" spans="1:8">
      <c r="B11" s="4"/>
    </row>
    <row r="12" spans="1:8">
      <c r="B12" s="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H14" sqref="H14"/>
    </sheetView>
  </sheetViews>
  <sheetFormatPr defaultRowHeight="14.4"/>
  <sheetData>
    <row r="1" spans="1:8" ht="28.8">
      <c r="A1" s="1" t="s">
        <v>47</v>
      </c>
      <c r="B1" s="1" t="s">
        <v>1</v>
      </c>
      <c r="C1" s="1" t="s">
        <v>48</v>
      </c>
    </row>
    <row r="2" spans="1:8">
      <c r="A2" s="2">
        <v>1</v>
      </c>
      <c r="B2" s="2" t="s">
        <v>5</v>
      </c>
      <c r="C2" s="2" t="s">
        <v>49</v>
      </c>
    </row>
    <row r="3" spans="1:8">
      <c r="A3" s="2">
        <v>2</v>
      </c>
      <c r="B3" s="2" t="s">
        <v>6</v>
      </c>
      <c r="C3" s="2" t="s">
        <v>49</v>
      </c>
    </row>
    <row r="4" spans="1:8">
      <c r="A4" s="2">
        <v>3</v>
      </c>
      <c r="B4" s="2" t="s">
        <v>7</v>
      </c>
      <c r="C4" s="2" t="s">
        <v>50</v>
      </c>
    </row>
    <row r="5" spans="1:8">
      <c r="A5" s="2">
        <v>4</v>
      </c>
      <c r="B5" s="2" t="s">
        <v>8</v>
      </c>
      <c r="C5" s="2" t="s">
        <v>49</v>
      </c>
    </row>
    <row r="6" spans="1:8">
      <c r="A6" s="2">
        <v>5</v>
      </c>
      <c r="B6" s="2"/>
      <c r="C6" s="2" t="s">
        <v>49</v>
      </c>
    </row>
    <row r="9" spans="1:8" ht="18">
      <c r="B9" s="6" t="s">
        <v>51</v>
      </c>
    </row>
    <row r="10" spans="1:8">
      <c r="B10" s="4"/>
    </row>
    <row r="11" spans="1:8">
      <c r="B11" s="4" t="s">
        <v>52</v>
      </c>
      <c r="H11">
        <f>COUNT(A2,A5)</f>
        <v>2</v>
      </c>
    </row>
    <row r="12" spans="1:8">
      <c r="B12" s="4"/>
    </row>
    <row r="13" spans="1:8">
      <c r="B13" s="4" t="s">
        <v>53</v>
      </c>
      <c r="H13">
        <f>COUNTA(B2:B6)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functions_1</vt:lpstr>
      <vt:lpstr>Employee</vt:lpstr>
      <vt:lpstr>Department</vt:lpstr>
      <vt:lpstr>Count_CountA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c.delivery for lap</dc:creator>
  <cp:lastModifiedBy>20812023100050</cp:lastModifiedBy>
  <dcterms:created xsi:type="dcterms:W3CDTF">2025-12-17T14:38:21Z</dcterms:created>
  <dcterms:modified xsi:type="dcterms:W3CDTF">2025-12-20T15:07:40Z</dcterms:modified>
</cp:coreProperties>
</file>