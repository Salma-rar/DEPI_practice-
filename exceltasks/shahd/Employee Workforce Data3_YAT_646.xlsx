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PI_practice-\exceltasks\shahd\"/>
    </mc:Choice>
  </mc:AlternateContent>
  <xr:revisionPtr revIDLastSave="0" documentId="8_{07CD0EF9-1BDC-41B5-869D-8DE506D5F0CF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KPI" sheetId="2" r:id="rId1"/>
    <sheet name="Top 10 Highest Paid Employees" sheetId="3" r:id="rId2"/>
    <sheet name="Employees Distribution By Depar" sheetId="4" r:id="rId3"/>
    <sheet name="Data" sheetId="1" r:id="rId4"/>
    <sheet name="Age Distribution Per Gender" sheetId="5" r:id="rId5"/>
    <sheet name="Employee Dashboard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</calcChain>
</file>

<file path=xl/sharedStrings.xml><?xml version="1.0" encoding="utf-8"?>
<sst xmlns="http://schemas.openxmlformats.org/spreadsheetml/2006/main" count="5603" uniqueCount="1563">
  <si>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</si>
  <si>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</si>
  <si>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</si>
  <si>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</si>
  <si>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</si>
  <si>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</si>
  <si>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</si>
  <si>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</si>
  <si>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</si>
  <si>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</si>
  <si>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</si>
  <si>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</si>
  <si>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</si>
  <si>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</si>
  <si>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</si>
  <si>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</si>
  <si>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</si>
  <si>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</si>
  <si>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</si>
  <si>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</si>
  <si>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</si>
  <si>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</si>
  <si>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</si>
  <si>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</si>
  <si>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</si>
  <si>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</si>
  <si>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</si>
  <si>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</si>
  <si>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</si>
  <si>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</si>
  <si>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</si>
  <si>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</si>
  <si>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</si>
  <si>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</si>
  <si>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</si>
  <si>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</si>
  <si>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</si>
  <si>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</si>
  <si>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</si>
  <si>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</si>
  <si>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</si>
  <si>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</si>
  <si>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</si>
  <si>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</si>
  <si>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</si>
  <si>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</si>
  <si>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</si>
  <si>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</si>
  <si>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</si>
  <si>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</si>
  <si>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</si>
  <si>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</si>
  <si>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</si>
  <si>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</si>
  <si>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</si>
  <si>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</si>
  <si>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</si>
  <si>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</si>
  <si>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</si>
  <si>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</si>
  <si>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</si>
  <si>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</si>
  <si>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</si>
  <si>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</si>
  <si>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</si>
  <si>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</si>
  <si>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</si>
  <si>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</si>
  <si>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</si>
  <si>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</si>
  <si>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</si>
  <si>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</si>
  <si>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</si>
  <si>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</si>
  <si>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</si>
  <si>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</si>
  <si>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</si>
  <si>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</si>
  <si>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</si>
  <si>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</si>
  <si>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</si>
  <si>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</si>
  <si>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</si>
  <si>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</si>
  <si>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</si>
  <si>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</si>
  <si>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</si>
  <si>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</si>
  <si>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</si>
  <si>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</si>
  <si>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</si>
  <si>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</si>
  <si>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</si>
  <si>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</si>
  <si>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</si>
  <si>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</si>
  <si>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</si>
  <si>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</si>
  <si>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</si>
  <si>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</si>
  <si>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</si>
  <si>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</si>
  <si>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</si>
  <si>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</si>
  <si>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</si>
  <si>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</si>
  <si>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</si>
  <si>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</si>
  <si>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</si>
  <si>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</si>
  <si>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</si>
  <si>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</si>
  <si>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</si>
  <si>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</si>
  <si>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</si>
  <si>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</si>
  <si>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</si>
  <si>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</si>
  <si>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</si>
  <si>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</si>
  <si>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</si>
  <si>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</si>
  <si>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</si>
  <si>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</si>
  <si>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</si>
  <si>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</si>
  <si>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</si>
  <si>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</si>
  <si>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</si>
  <si>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</si>
  <si>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</si>
  <si>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</si>
  <si>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</si>
  <si>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</si>
  <si>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</si>
  <si>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</si>
  <si>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</si>
  <si>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</si>
  <si>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</si>
  <si>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</si>
  <si>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</si>
  <si>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</si>
  <si>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</si>
  <si>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</si>
  <si>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</si>
  <si>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</si>
  <si>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</si>
  <si>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</si>
  <si>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</si>
  <si>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</si>
  <si>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</si>
  <si>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</si>
  <si>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</si>
  <si>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</si>
  <si>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</si>
  <si>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</si>
  <si>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</si>
  <si>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</si>
  <si>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</si>
  <si>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</si>
  <si>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</si>
  <si>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</si>
  <si>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</si>
  <si>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</si>
  <si>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</si>
  <si>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</si>
  <si>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</si>
  <si>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</si>
  <si>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</si>
  <si>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</si>
  <si>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</si>
  <si>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</si>
  <si>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</si>
  <si>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</si>
  <si>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</si>
  <si>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</si>
  <si>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</si>
  <si>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</si>
  <si>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</si>
  <si>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</si>
  <si>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</si>
  <si>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</si>
  <si>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</si>
  <si>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</si>
  <si>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</si>
  <si>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</si>
  <si>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</si>
  <si>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</si>
  <si>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</si>
  <si>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</si>
  <si>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</si>
  <si>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</si>
  <si>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</si>
  <si>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</si>
  <si>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</si>
  <si>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</si>
  <si>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</si>
  <si>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</si>
  <si>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</si>
  <si>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</si>
  <si>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</si>
  <si>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</si>
  <si>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</si>
  <si>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</si>
  <si>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</si>
  <si>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</si>
  <si>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</si>
  <si>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</si>
  <si>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</si>
  <si>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</si>
  <si>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</si>
  <si>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</si>
  <si>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</si>
  <si>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</si>
  <si>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</si>
  <si>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</si>
  <si>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</si>
  <si>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</si>
  <si>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</si>
  <si>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</si>
  <si>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</si>
  <si>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</si>
  <si>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</si>
  <si>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</si>
  <si>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</si>
  <si>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</si>
  <si>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</si>
  <si>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</si>
  <si>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</si>
  <si>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</si>
  <si>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</si>
  <si>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</si>
  <si>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</si>
  <si>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</si>
  <si>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</si>
  <si>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</si>
  <si>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</si>
  <si>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</si>
  <si>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</si>
  <si>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</si>
  <si>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</si>
  <si>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</si>
  <si>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</si>
  <si>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</si>
  <si>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</si>
  <si>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</si>
  <si>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</si>
  <si>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</si>
  <si>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</si>
  <si>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</si>
  <si>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</si>
  <si>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</si>
  <si>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</si>
  <si>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</si>
  <si>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</si>
  <si>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</si>
  <si>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</si>
  <si>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</si>
  <si>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</si>
  <si>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</si>
  <si>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</si>
  <si>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</si>
  <si>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</si>
  <si>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</si>
  <si>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</si>
  <si>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</si>
  <si>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</si>
  <si>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</si>
  <si>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</si>
  <si>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</si>
  <si>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</si>
  <si>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</si>
  <si>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</si>
  <si>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</si>
  <si>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</si>
  <si>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</si>
  <si>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</si>
  <si>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</si>
  <si>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</si>
  <si>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</si>
  <si>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</si>
  <si>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</si>
  <si>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</si>
  <si>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</si>
  <si>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</si>
  <si>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</si>
  <si>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</si>
  <si>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</si>
  <si>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</si>
  <si>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</si>
  <si>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</si>
  <si>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</si>
  <si>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</si>
  <si>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</si>
  <si>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</si>
  <si>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</si>
  <si>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</si>
  <si>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</si>
  <si>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</si>
  <si>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</si>
  <si>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</si>
  <si>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</si>
  <si>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</si>
  <si>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</si>
  <si>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</si>
  <si>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</si>
  <si>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</si>
  <si>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</si>
  <si>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</si>
  <si>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</si>
  <si>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</si>
  <si>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</si>
  <si>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</si>
  <si>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</si>
  <si>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</si>
  <si>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</si>
  <si>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</si>
  <si>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</si>
  <si>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</si>
  <si>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</si>
  <si>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</si>
  <si>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</si>
  <si>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</si>
  <si>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</si>
  <si>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</si>
  <si>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</si>
  <si>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</si>
  <si>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</si>
  <si>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</si>
  <si>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</si>
  <si>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</si>
  <si>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</si>
  <si>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</si>
  <si>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</si>
  <si>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</si>
  <si>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</si>
  <si>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</si>
  <si>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</si>
  <si>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</si>
  <si>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</si>
  <si>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</si>
  <si>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</si>
  <si>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</si>
  <si>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</si>
  <si>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</si>
  <si>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</si>
  <si>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</si>
  <si>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</si>
  <si>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</si>
  <si>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</si>
  <si>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</si>
  <si>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</si>
  <si>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</si>
  <si>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</si>
  <si>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</si>
  <si>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</si>
  <si>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</si>
  <si>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</si>
  <si>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</si>
  <si>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</si>
  <si>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</si>
  <si>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</si>
  <si>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</si>
  <si>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</si>
  <si>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</si>
  <si>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</si>
  <si>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</si>
  <si>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</si>
  <si>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</si>
  <si>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</si>
  <si>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</si>
  <si>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</si>
  <si>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</si>
  <si>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</si>
  <si>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</si>
  <si>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</si>
  <si>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</si>
  <si>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</si>
  <si>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</si>
  <si>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</si>
  <si>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</si>
  <si>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</si>
  <si>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</si>
  <si>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</si>
  <si>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</si>
  <si>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</si>
  <si>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</si>
  <si>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</si>
  <si>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</si>
  <si>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</si>
  <si>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</si>
  <si>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</si>
  <si>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</si>
  <si>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</si>
  <si>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</si>
  <si>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</si>
  <si>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</si>
  <si>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</si>
  <si>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</si>
  <si>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</si>
  <si>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</si>
  <si>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</si>
  <si>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</si>
  <si>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</si>
  <si>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</si>
  <si>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</si>
  <si>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</si>
  <si>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</si>
  <si>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</si>
  <si>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</si>
  <si>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</si>
  <si>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</si>
  <si>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</si>
  <si>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</si>
  <si>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</si>
  <si>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</si>
  <si>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</si>
  <si>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</si>
  <si>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</si>
  <si>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</si>
  <si>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</si>
  <si>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</si>
  <si>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</si>
  <si>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</si>
  <si>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</si>
  <si>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</si>
  <si>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</si>
  <si>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</si>
  <si>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</si>
  <si>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</si>
  <si>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</si>
  <si>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</si>
  <si>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</si>
  <si>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</si>
  <si>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</si>
  <si>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</si>
  <si>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</si>
  <si>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</si>
  <si>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</si>
  <si>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</si>
  <si>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</si>
  <si>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</si>
  <si>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</si>
  <si>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</si>
  <si>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</si>
  <si>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</si>
  <si>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</si>
  <si>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</si>
  <si>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</si>
  <si>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</si>
  <si>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</si>
  <si>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</si>
  <si>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</si>
  <si>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</si>
  <si>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</si>
  <si>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</si>
  <si>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</si>
  <si>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</si>
  <si>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</si>
  <si>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</si>
  <si>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</si>
  <si>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</si>
  <si>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</si>
  <si>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</si>
  <si>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</si>
  <si>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</si>
  <si>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</si>
  <si>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</si>
  <si>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</si>
  <si>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</si>
  <si>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</si>
  <si>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</si>
  <si>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</si>
  <si>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</si>
  <si>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</si>
  <si>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</si>
  <si>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</si>
  <si>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</si>
  <si>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</si>
  <si>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</si>
  <si>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</si>
  <si>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</si>
  <si>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</si>
  <si>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</si>
  <si>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</si>
  <si>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</si>
  <si>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</si>
  <si>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</si>
  <si>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</si>
  <si>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</si>
  <si>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</si>
  <si>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</si>
  <si>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</si>
  <si>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</si>
  <si>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</si>
  <si>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</si>
  <si>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</si>
  <si>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</si>
  <si>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</si>
  <si>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</si>
  <si>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</si>
  <si>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</si>
  <si>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</si>
  <si>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</si>
  <si>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</si>
  <si>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</si>
  <si>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</si>
  <si>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</si>
  <si>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</si>
  <si>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</si>
  <si>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</si>
  <si>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</si>
  <si>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</si>
  <si>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</si>
  <si>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</si>
  <si>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</si>
  <si>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</si>
  <si>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</si>
  <si>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</si>
  <si>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</si>
  <si>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</si>
  <si>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</si>
  <si>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</si>
  <si>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</si>
  <si>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</si>
  <si>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</si>
  <si>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</si>
  <si>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</si>
  <si>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</si>
  <si>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</si>
  <si>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</si>
  <si>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</si>
  <si>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</si>
  <si>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</si>
  <si>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</si>
  <si>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</si>
  <si>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</si>
  <si>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</si>
  <si>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</si>
  <si>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</si>
  <si>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</si>
  <si>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</si>
  <si>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</si>
  <si>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</si>
  <si>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</si>
  <si>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</si>
  <si>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</si>
  <si>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</si>
  <si>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</si>
  <si>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</si>
  <si>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</si>
  <si>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</si>
  <si>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</si>
  <si>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</si>
  <si>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</si>
  <si>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</si>
  <si>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</si>
  <si>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</si>
  <si>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</si>
  <si>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</si>
  <si>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</si>
  <si>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</si>
  <si>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</si>
  <si>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</si>
  <si>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</si>
  <si>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</si>
  <si>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</si>
  <si>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</si>
  <si>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</si>
  <si>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</si>
  <si>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</si>
  <si>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</si>
  <si>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</si>
  <si>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</si>
  <si>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</si>
  <si>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</si>
  <si>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</si>
  <si>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</si>
  <si>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</si>
  <si>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</si>
  <si>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</si>
  <si>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</si>
  <si>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</si>
  <si>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</si>
  <si>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</si>
  <si>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</si>
  <si>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</si>
  <si>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</si>
  <si>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</si>
  <si>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</si>
  <si>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</si>
  <si>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</si>
  <si>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</si>
  <si>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</si>
  <si>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</si>
  <si>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</si>
  <si>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</si>
  <si>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</si>
  <si>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</si>
  <si>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</si>
  <si>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</si>
  <si>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</si>
  <si>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</si>
  <si>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</si>
  <si>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</si>
  <si>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</si>
  <si>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</si>
  <si>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</si>
  <si>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</si>
  <si>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</si>
  <si>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</si>
  <si>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</si>
  <si>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</si>
  <si>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</si>
  <si>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</si>
  <si>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</si>
  <si>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</si>
  <si>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</si>
  <si>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</si>
  <si>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</si>
  <si>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</si>
  <si>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</si>
  <si>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</si>
  <si>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</si>
  <si>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</si>
  <si>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</si>
  <si>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</si>
  <si>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</si>
  <si>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</si>
  <si>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</si>
  <si>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</si>
  <si>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</si>
  <si>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</si>
  <si>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</si>
  <si>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</si>
  <si>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</si>
  <si>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</si>
  <si>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</si>
  <si>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</si>
  <si>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</si>
  <si>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</si>
  <si>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</si>
  <si>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</si>
  <si>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</si>
  <si>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</si>
  <si>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</si>
  <si>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</si>
  <si>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</si>
  <si>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</si>
  <si>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</si>
  <si>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</si>
  <si>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</si>
  <si>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</si>
  <si>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</si>
  <si>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</si>
  <si>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</si>
  <si>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</si>
  <si>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</si>
  <si>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</si>
  <si>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</si>
  <si>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</si>
  <si>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</si>
  <si>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</si>
  <si>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</si>
  <si>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</si>
  <si>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</si>
  <si>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</si>
  <si>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</si>
  <si>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</si>
  <si>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</si>
  <si>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</si>
  <si>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</si>
  <si>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</si>
  <si>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</si>
  <si>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</si>
  <si>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</si>
  <si>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</si>
  <si>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</si>
  <si>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</si>
  <si>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</si>
  <si>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</si>
  <si>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</si>
  <si>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</si>
  <si>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</si>
  <si>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</si>
  <si>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</si>
  <si>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</si>
  <si>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</si>
  <si>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</si>
  <si>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</si>
  <si>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</si>
  <si>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</si>
  <si>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</si>
  <si>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</si>
  <si>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</si>
  <si>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</si>
  <si>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</si>
  <si>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</si>
  <si>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</si>
  <si>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</si>
  <si>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</si>
  <si>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</si>
  <si>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</si>
  <si>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</si>
  <si>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</si>
  <si>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</si>
  <si>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</si>
  <si>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</si>
  <si>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</si>
  <si>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</si>
  <si>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</si>
  <si>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</si>
  <si>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</si>
  <si>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</si>
  <si>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</si>
  <si>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</si>
  <si>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</si>
  <si>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</si>
  <si>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</si>
  <si>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</si>
  <si>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</si>
  <si>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</si>
  <si>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</si>
  <si>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</si>
  <si>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</si>
  <si>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</si>
  <si>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</si>
  <si>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</si>
  <si>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</si>
  <si>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</si>
  <si>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</si>
  <si>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</si>
  <si>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</si>
  <si>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</si>
  <si>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</si>
  <si>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</si>
  <si>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</si>
  <si>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</si>
  <si>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</si>
  <si>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</si>
  <si>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</si>
  <si>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</si>
  <si>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</si>
  <si>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</si>
  <si>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</si>
  <si>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</si>
  <si>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</si>
  <si>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</si>
  <si>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</si>
  <si>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</si>
  <si>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</si>
  <si>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</si>
  <si>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</si>
  <si>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</si>
  <si>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</si>
  <si>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</si>
  <si>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</si>
  <si>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</si>
  <si>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</si>
  <si>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</si>
  <si>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</si>
  <si>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</si>
  <si>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</si>
  <si>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</si>
  <si>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</si>
  <si>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</si>
  <si>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</si>
  <si>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</si>
  <si>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</si>
  <si>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</si>
  <si>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</si>
  <si>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</si>
  <si>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</si>
  <si>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</si>
  <si>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</si>
  <si>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</si>
  <si>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</si>
  <si>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</si>
  <si>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</si>
  <si>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</si>
  <si>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</si>
  <si>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</si>
  <si>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</si>
  <si>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</si>
  <si>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</si>
  <si>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</si>
  <si>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</si>
  <si>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</si>
  <si>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</si>
  <si>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</si>
  <si>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</si>
  <si>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</si>
  <si>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</si>
  <si>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</si>
  <si>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</si>
  <si>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</si>
  <si>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</si>
  <si>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</si>
  <si>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</si>
  <si>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</si>
  <si>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</si>
  <si>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</si>
  <si>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</si>
  <si>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</si>
  <si>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</si>
  <si>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</si>
  <si>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</si>
  <si>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</si>
  <si>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</si>
  <si>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</si>
  <si>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</si>
  <si>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</si>
  <si>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</si>
  <si>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</si>
  <si>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</si>
  <si>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</si>
  <si>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</si>
  <si>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</si>
  <si>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</si>
  <si>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</si>
  <si>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</si>
  <si>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</si>
  <si>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</si>
  <si>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</si>
  <si>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</si>
  <si>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</si>
  <si>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</si>
  <si>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</si>
  <si>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</si>
  <si>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</si>
  <si>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</si>
  <si>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</si>
  <si>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</si>
  <si>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</si>
  <si>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</si>
  <si>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</si>
  <si>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</si>
  <si>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</si>
  <si>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</si>
  <si>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</si>
  <si>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</si>
  <si>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</si>
  <si>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</si>
  <si>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</si>
  <si>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</si>
  <si>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</si>
  <si>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</si>
  <si>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</si>
  <si>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</si>
  <si>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</si>
  <si>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</si>
  <si>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</si>
  <si>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</si>
  <si>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</si>
  <si>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</si>
  <si>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</si>
  <si>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</si>
  <si>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</si>
  <si>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</si>
  <si>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</si>
  <si>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</si>
  <si>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</si>
  <si>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</si>
  <si>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</si>
  <si>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</si>
  <si>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</si>
  <si>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</si>
  <si>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</si>
  <si>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</si>
  <si>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</si>
  <si>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</si>
  <si>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</si>
  <si>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</si>
  <si>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</si>
  <si>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</si>
  <si>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</si>
  <si>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</si>
  <si>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</si>
  <si>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</si>
  <si>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</si>
  <si>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</si>
  <si>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</si>
  <si>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</si>
  <si>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</si>
  <si>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</si>
  <si>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</si>
  <si>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</si>
  <si>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</si>
  <si>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</si>
  <si>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</si>
  <si>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</si>
  <si>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</si>
  <si>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</si>
  <si>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</si>
  <si>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</si>
  <si>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</si>
  <si>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</si>
  <si>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</si>
  <si>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</si>
  <si>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</si>
  <si>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</si>
  <si>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</si>
  <si>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</si>
  <si>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</si>
  <si>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</si>
  <si>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</si>
  <si>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</si>
  <si>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</si>
  <si>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</si>
  <si>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</si>
  <si>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</si>
  <si>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</si>
  <si>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</si>
  <si>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</si>
  <si>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</si>
  <si>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</si>
  <si>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</si>
  <si>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</si>
  <si>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</si>
  <si>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</si>
  <si>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</si>
  <si>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</si>
  <si>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</si>
  <si>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</si>
  <si>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</si>
  <si>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</si>
  <si>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</si>
  <si>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</si>
  <si>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</si>
  <si>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</si>
  <si>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</si>
  <si>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</si>
  <si>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</si>
  <si>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</si>
  <si>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</si>
  <si>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</si>
  <si>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</si>
  <si>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</si>
  <si>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</si>
  <si>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</si>
  <si>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</si>
  <si>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</si>
  <si>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</si>
  <si>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</si>
  <si>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</si>
  <si>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</si>
  <si>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</si>
  <si>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</si>
  <si>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</si>
  <si>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</si>
  <si>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</si>
  <si>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</si>
  <si>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</si>
  <si>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</si>
  <si>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</si>
  <si>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</si>
  <si>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</si>
  <si>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</si>
  <si>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</si>
  <si>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</si>
  <si>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</si>
  <si>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</si>
  <si>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</si>
  <si>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</si>
  <si>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</si>
  <si>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</si>
  <si>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</si>
  <si>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</si>
  <si>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</si>
  <si>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</si>
  <si>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</si>
  <si>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</si>
  <si>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</si>
  <si>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</si>
  <si>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</si>
  <si>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</si>
  <si>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</si>
  <si>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</si>
  <si>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</si>
  <si>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</si>
  <si>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</si>
  <si>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</si>
  <si>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</si>
  <si>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</si>
  <si>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</si>
  <si>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</si>
  <si>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</si>
  <si>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</si>
  <si>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</si>
  <si>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</si>
  <si>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</si>
  <si>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</si>
  <si>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</si>
  <si>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</si>
  <si>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</si>
  <si>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</si>
  <si>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</si>
  <si>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</si>
  <si>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</si>
  <si>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</si>
  <si>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</si>
  <si>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</si>
  <si>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</si>
  <si>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</si>
  <si>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</si>
  <si>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</si>
  <si>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</si>
  <si>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</si>
  <si>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</si>
  <si>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</si>
  <si>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</si>
  <si>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</si>
  <si>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</si>
  <si>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</si>
  <si>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</si>
  <si>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</si>
  <si>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</si>
  <si>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</si>
  <si>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</si>
  <si>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</si>
  <si>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</si>
  <si>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</si>
  <si>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</si>
  <si>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</si>
  <si>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</si>
  <si>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</si>
  <si>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</si>
  <si>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</si>
  <si>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</si>
  <si>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</si>
  <si>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</si>
  <si>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</si>
  <si>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</si>
  <si>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</si>
  <si>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</si>
  <si>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</si>
  <si>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</si>
  <si>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</si>
  <si>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</si>
  <si>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</si>
  <si>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</si>
  <si>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</si>
  <si>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</si>
  <si>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</si>
  <si>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</si>
  <si>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</si>
  <si>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</si>
  <si>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</si>
  <si>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</si>
  <si>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</si>
  <si>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</si>
  <si>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</si>
  <si>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</si>
  <si>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</si>
  <si>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</si>
  <si>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</si>
  <si>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</si>
  <si>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</si>
  <si>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</si>
  <si>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</si>
  <si>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</si>
  <si>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</si>
  <si>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</si>
  <si>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</si>
  <si>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</si>
  <si>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</si>
  <si>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</si>
  <si>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</si>
  <si>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</si>
  <si>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</si>
  <si>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</si>
  <si>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</si>
  <si>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</si>
  <si>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</si>
  <si>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</si>
  <si>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</si>
  <si>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</si>
  <si>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</si>
  <si>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</si>
  <si>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</si>
  <si>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</si>
  <si>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</si>
  <si>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</si>
  <si>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</si>
  <si>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</si>
  <si>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</si>
  <si>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</si>
  <si>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</si>
  <si>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</si>
  <si>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</si>
  <si>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</si>
  <si>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</si>
  <si>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</si>
  <si>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</si>
  <si>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</si>
  <si>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</si>
  <si>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</si>
  <si>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</si>
  <si>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</si>
  <si>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</si>
  <si>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</si>
  <si>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</si>
  <si>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</si>
  <si>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</si>
  <si>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</si>
  <si>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</si>
  <si>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</si>
  <si>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</si>
  <si>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</si>
  <si>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</si>
  <si>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</si>
  <si>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</si>
  <si>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</si>
  <si>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</si>
  <si>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</si>
  <si>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</si>
  <si>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</si>
  <si>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</si>
  <si>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</si>
  <si>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</si>
  <si>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</si>
  <si>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</si>
  <si>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</si>
  <si>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</si>
  <si>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</si>
  <si>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</si>
  <si>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</si>
  <si>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</si>
  <si>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</si>
  <si>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</si>
  <si>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</si>
  <si>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</si>
  <si>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</si>
  <si>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</si>
  <si>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</si>
  <si>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</si>
  <si>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</si>
  <si>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</si>
  <si>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</si>
  <si>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</si>
  <si>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</si>
  <si>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</si>
  <si>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</si>
  <si>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</si>
  <si>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</si>
  <si>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</si>
  <si>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</si>
  <si>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</si>
  <si>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</si>
  <si>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</si>
  <si>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</si>
  <si>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</si>
  <si>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</si>
  <si>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</si>
  <si>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</si>
  <si>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</si>
  <si>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</si>
  <si>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</si>
  <si>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</si>
  <si>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</si>
  <si>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</si>
  <si>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</si>
  <si>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</si>
  <si>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</si>
  <si>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</si>
  <si>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</si>
  <si>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</si>
  <si>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</si>
  <si>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</si>
  <si>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</si>
  <si>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</si>
  <si>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</si>
  <si>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</si>
  <si>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</si>
  <si>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</si>
  <si>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</si>
  <si>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</si>
  <si>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</si>
  <si>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</si>
  <si>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</si>
  <si>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</si>
  <si>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</si>
  <si>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</si>
  <si>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</si>
  <si>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</si>
  <si>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</si>
  <si>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</si>
  <si>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</si>
  <si>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</si>
  <si>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</si>
  <si>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</si>
  <si>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</si>
  <si>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</si>
  <si>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</si>
  <si>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</si>
  <si>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</si>
  <si>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</si>
  <si>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</si>
  <si>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</si>
  <si>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</si>
  <si>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</si>
  <si>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</si>
  <si>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</si>
  <si>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</si>
  <si>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</si>
  <si>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</si>
  <si>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</si>
  <si>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</si>
  <si>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</si>
  <si>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</si>
  <si>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</si>
  <si>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</si>
  <si>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</si>
  <si>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</si>
  <si>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</si>
  <si>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</si>
  <si>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</si>
  <si>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</si>
  <si>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</si>
  <si>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</si>
  <si>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</si>
  <si>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</si>
  <si>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</si>
  <si>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</si>
  <si>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</si>
  <si>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</si>
  <si>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</si>
  <si>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</si>
  <si>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</si>
  <si>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</si>
  <si>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</si>
  <si>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</si>
  <si>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</si>
  <si>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</si>
  <si>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</si>
  <si>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</si>
  <si>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</si>
  <si>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</si>
  <si>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</si>
  <si>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</si>
  <si>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</si>
  <si>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</si>
  <si>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</si>
  <si>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</si>
  <si>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</si>
  <si>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</si>
  <si>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</si>
  <si>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</si>
  <si>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</si>
  <si>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</si>
  <si>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</si>
  <si>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</si>
  <si>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</si>
  <si>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</si>
  <si>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</si>
  <si>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</si>
  <si>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</si>
  <si>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</si>
  <si>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</si>
  <si>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</si>
  <si>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</si>
  <si>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</si>
  <si>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</si>
  <si>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</si>
  <si>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</si>
  <si>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</si>
  <si>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</si>
  <si>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</si>
  <si>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</si>
  <si>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</si>
  <si>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</si>
  <si>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</si>
  <si>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</si>
  <si>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</si>
  <si>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</si>
  <si>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</si>
  <si>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</si>
  <si>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</si>
  <si>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</si>
  <si>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</si>
  <si>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</si>
  <si>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</si>
  <si>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</si>
  <si>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</si>
  <si>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</si>
  <si>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</si>
  <si>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</si>
  <si>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</si>
  <si>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</si>
  <si>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</si>
  <si>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</si>
  <si>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</si>
  <si>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</si>
  <si>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</si>
  <si>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</si>
  <si>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</si>
  <si>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</si>
  <si>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</si>
  <si>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</si>
  <si>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</si>
  <si>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</si>
  <si>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</si>
  <si>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</si>
  <si>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</si>
  <si>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</si>
  <si>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</si>
  <si>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</si>
  <si>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</si>
  <si>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</si>
  <si>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</si>
  <si>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</si>
  <si>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</si>
  <si>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</si>
  <si>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</si>
  <si>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</si>
  <si>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</si>
  <si>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</si>
  <si>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</si>
  <si>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</si>
  <si>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</si>
  <si>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</si>
  <si>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</si>
  <si>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</si>
  <si>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</si>
  <si>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</si>
  <si>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</si>
  <si>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</si>
  <si>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</si>
  <si>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</si>
  <si>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</si>
  <si>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</si>
  <si>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</si>
  <si>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</si>
  <si>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</si>
  <si>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</si>
  <si>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</si>
  <si>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</si>
  <si>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</si>
  <si>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</si>
  <si>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</si>
  <si>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</si>
  <si>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</si>
  <si>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</si>
  <si>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</si>
  <si>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</si>
  <si>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</si>
  <si>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</si>
  <si>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</si>
  <si>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</si>
  <si>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</si>
  <si>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</si>
  <si>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</si>
  <si>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</si>
  <si>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</si>
  <si>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</si>
  <si>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</si>
  <si>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</si>
  <si>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</si>
  <si>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</si>
  <si>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</si>
  <si>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</si>
  <si>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</si>
  <si>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</si>
  <si>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</si>
  <si>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</si>
  <si>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</si>
  <si>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</si>
  <si>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</si>
  <si>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</si>
  <si>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</si>
  <si>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</si>
  <si>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</si>
  <si>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</si>
  <si>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</si>
  <si>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</si>
  <si>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</si>
  <si>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</si>
  <si>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</si>
  <si>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</si>
  <si>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</si>
  <si>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</si>
  <si>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</si>
  <si>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</si>
  <si>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</si>
  <si>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</si>
  <si>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</si>
  <si>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</si>
  <si>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</si>
  <si>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</si>
  <si>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</si>
  <si>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</si>
  <si>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</si>
  <si>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</si>
  <si>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</si>
  <si>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</si>
  <si>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</si>
  <si>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</si>
  <si>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</si>
  <si>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</si>
  <si>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</si>
  <si>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</si>
  <si>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</si>
  <si>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</si>
  <si>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</si>
  <si>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</si>
  <si>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</si>
  <si>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</si>
  <si>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</si>
  <si>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</si>
  <si>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</si>
  <si>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</si>
  <si>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</si>
  <si>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</si>
  <si>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</si>
  <si>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</si>
  <si>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</si>
  <si>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</si>
  <si>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</si>
  <si>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</si>
  <si>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</si>
  <si>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</si>
  <si>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</si>
  <si>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</si>
  <si>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</si>
  <si>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</si>
  <si>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</si>
  <si>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</si>
  <si>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</si>
  <si>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</si>
  <si>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</si>
  <si>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</si>
  <si>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</si>
  <si>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</si>
  <si>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</si>
  <si>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</si>
  <si>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</si>
  <si>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</si>
  <si>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</si>
  <si>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</si>
  <si>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</si>
  <si>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</si>
  <si>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</si>
  <si>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</si>
  <si>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</si>
  <si>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</si>
  <si>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</si>
  <si>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</si>
  <si>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</si>
  <si>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</si>
  <si>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</si>
  <si>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</si>
  <si>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</si>
  <si>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</si>
  <si>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</si>
  <si>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</si>
  <si>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</si>
  <si>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</si>
  <si>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</si>
  <si>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</si>
  <si>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</si>
  <si>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</si>
  <si>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</si>
  <si>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</si>
  <si>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</si>
  <si>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</si>
  <si>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</si>
  <si>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</si>
  <si>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</si>
  <si>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</si>
  <si>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</si>
  <si>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</si>
  <si>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</si>
  <si>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</si>
  <si>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</si>
  <si>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</si>
  <si>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</si>
  <si>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</si>
  <si>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</si>
  <si>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</si>
  <si>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</si>
  <si>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</si>
  <si>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</si>
  <si>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</si>
  <si>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</si>
  <si>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</si>
  <si>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</si>
  <si>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</si>
  <si>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</si>
  <si>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</si>
  <si>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</si>
  <si>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</si>
  <si>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</si>
  <si>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</si>
  <si>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</si>
  <si>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</si>
  <si>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</si>
  <si>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</si>
  <si>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</si>
  <si>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</si>
  <si>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</si>
  <si>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</si>
  <si>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</si>
  <si>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</si>
  <si>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</si>
  <si>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</si>
  <si>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</si>
  <si>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</si>
  <si>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</si>
  <si>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</si>
  <si>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</si>
  <si>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</si>
  <si>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</si>
  <si>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</si>
  <si>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</si>
  <si>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</si>
  <si>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</si>
  <si>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</si>
  <si>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</si>
  <si>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</si>
  <si>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</si>
  <si>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</si>
  <si>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</si>
  <si>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</si>
  <si>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</si>
  <si>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</si>
  <si>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</si>
  <si>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</si>
  <si>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</si>
  <si>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</si>
  <si>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</si>
  <si>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</si>
  <si>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</si>
  <si>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</si>
  <si>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</si>
  <si>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</si>
  <si>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</si>
  <si>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</si>
  <si>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</si>
  <si>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</si>
  <si>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</si>
  <si>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</si>
  <si>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</si>
  <si>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</si>
  <si>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</si>
  <si>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</si>
  <si>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</si>
  <si>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</si>
  <si>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Year</t>
  </si>
  <si>
    <t>Age Distribution</t>
  </si>
  <si>
    <t>Row Labels</t>
  </si>
  <si>
    <t>Grand Total</t>
  </si>
  <si>
    <t>Count of EEID</t>
  </si>
  <si>
    <t>Average of Year</t>
  </si>
  <si>
    <t>Sum of Annual</t>
  </si>
  <si>
    <t>Average of Annual</t>
  </si>
  <si>
    <t>Column Labels</t>
  </si>
  <si>
    <t>20-29</t>
  </si>
  <si>
    <t>30-39</t>
  </si>
  <si>
    <t>40-49</t>
  </si>
  <si>
    <t>50-59</t>
  </si>
  <si>
    <t>Total Employee</t>
  </si>
  <si>
    <t xml:space="preserve">Active 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</si>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</sst>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Data3_YAT_646.xlsx]Top 10 Highest Paid Employees!PivotTable4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Highest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Highest Paid Employees'!$A$4:$A$14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'Top 10 Highest Paid Employees'!$B$4:$B$14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2-4C1F-A1BB-4ACE3EA55F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9592559"/>
        <c:axId val="1639598799"/>
      </c:barChart>
      <c:catAx>
        <c:axId val="163959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98799"/>
        <c:crosses val="autoZero"/>
        <c:auto val="1"/>
        <c:lblAlgn val="ctr"/>
        <c:lblOffset val="100"/>
        <c:noMultiLvlLbl val="0"/>
      </c:catAx>
      <c:valAx>
        <c:axId val="1639598799"/>
        <c:scaling>
          <c:orientation val="minMax"/>
        </c:scaling>
        <c:delete val="0"/>
        <c:axPos val="b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9255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Data3_YAT_646.xlsx]Employees Distribution By Depar!PivotTable5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Distribution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'Employees Distribution By Depar'!$B$3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A3A-448E-ABE6-E732F20D64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DC-4342-948B-ABEAD6F982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DC-4342-948B-ABEAD6F982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DC-4342-948B-ABEAD6F982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DC-4342-948B-ABEAD6F982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DDC-4342-948B-ABEAD6F982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'Employees Distribution By Depar'!$A$4:$A$10</c:f>
              <c:strCache>
                <c:ptCount val="6"/>
                <c:pt idx="0">
                  <c:v>Engineering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  <c:pt idx="4">
                  <c:v>Accounting</c:v>
                </c:pt>
                <c:pt idx="5">
                  <c:v>Finance</c:v>
                </c:pt>
              </c:strCache>
            </c:strRef>
          </c:cat>
          <c:val>
            <c:numRef>
              <c:f>'Employees Distribution By Depar'!$B$4:$B$10</c:f>
              <c:numCache>
                <c:formatCode>0.00%</c:formatCode>
                <c:ptCount val="6"/>
                <c:pt idx="0">
                  <c:v>0.56186868686868685</c:v>
                </c:pt>
                <c:pt idx="1">
                  <c:v>0.1553030303030303</c:v>
                </c:pt>
                <c:pt idx="2">
                  <c:v>9.4696969696969696E-2</c:v>
                </c:pt>
                <c:pt idx="3">
                  <c:v>6.3131313131313135E-2</c:v>
                </c:pt>
                <c:pt idx="4">
                  <c:v>6.3131313131313135E-2</c:v>
                </c:pt>
                <c:pt idx="5">
                  <c:v>6.1868686868686872E-2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A-448E-ABE6-E732F20D64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Data3_YAT_646.xlsx]Age Distribution Per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 Per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Distribution Per Gender'!$C$2:$C$3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Distribution Per Gender'!$B$4:$B$8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Distribution Per Gender'!$C$4:$C$8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2-45CC-A313-7E4E9B5E41DE}"/>
            </c:ext>
          </c:extLst>
        </c:ser>
        <c:ser>
          <c:idx val="1"/>
          <c:order val="1"/>
          <c:tx>
            <c:strRef>
              <c:f>'Age Distribution Per Gender'!$D$2:$D$3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Distribution Per Gender'!$B$4:$B$8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Distribution Per Gender'!$D$4:$D$8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2-45CC-A313-7E4E9B5E4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529583"/>
        <c:axId val="253532463"/>
      </c:barChart>
      <c:catAx>
        <c:axId val="25352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32463"/>
        <c:crosses val="autoZero"/>
        <c:auto val="1"/>
        <c:lblAlgn val="ctr"/>
        <c:lblOffset val="100"/>
        <c:noMultiLvlLbl val="0"/>
      </c:catAx>
      <c:valAx>
        <c:axId val="25353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2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Data3_YAT_646.xlsx]Employees Distribution By Depar!PivotTable5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Distribution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'Employees Distribution By Depar'!$B$3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BC-42EB-A271-C4F822DEFF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BC-42EB-A271-C4F822DEFF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BC-42EB-A271-C4F822DEFF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BC-42EB-A271-C4F822DEFF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BC-42EB-A271-C4F822DEFF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FBC-42EB-A271-C4F822DEFF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'Employees Distribution By Depar'!$A$4:$A$10</c:f>
              <c:strCache>
                <c:ptCount val="6"/>
                <c:pt idx="0">
                  <c:v>Engineering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  <c:pt idx="4">
                  <c:v>Accounting</c:v>
                </c:pt>
                <c:pt idx="5">
                  <c:v>Finance</c:v>
                </c:pt>
              </c:strCache>
            </c:strRef>
          </c:cat>
          <c:val>
            <c:numRef>
              <c:f>'Employees Distribution By Depar'!$B$4:$B$10</c:f>
              <c:numCache>
                <c:formatCode>0.00%</c:formatCode>
                <c:ptCount val="6"/>
                <c:pt idx="0">
                  <c:v>0.56186868686868685</c:v>
                </c:pt>
                <c:pt idx="1">
                  <c:v>0.1553030303030303</c:v>
                </c:pt>
                <c:pt idx="2">
                  <c:v>9.4696969696969696E-2</c:v>
                </c:pt>
                <c:pt idx="3">
                  <c:v>6.3131313131313135E-2</c:v>
                </c:pt>
                <c:pt idx="4">
                  <c:v>6.3131313131313135E-2</c:v>
                </c:pt>
                <c:pt idx="5">
                  <c:v>6.1868686868686872E-2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BC-42EB-A271-C4F822DEFF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Data3_YAT_646.xlsx]Age Distribution Per Gender!PivotTable1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Distribution Per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Distribution Per Gender'!$C$2:$C$3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Distribution Per Gender'!$B$4:$B$8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Distribution Per Gender'!$C$4:$C$8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5-4ADF-9AD7-5BFED8EB791A}"/>
            </c:ext>
          </c:extLst>
        </c:ser>
        <c:ser>
          <c:idx val="1"/>
          <c:order val="1"/>
          <c:tx>
            <c:strRef>
              <c:f>'Age Distribution Per Gender'!$D$2:$D$3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Distribution Per Gender'!$B$4:$B$8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Distribution Per Gender'!$D$4:$D$8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5-4ADF-9AD7-5BFED8EB7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529583"/>
        <c:axId val="253532463"/>
      </c:barChart>
      <c:catAx>
        <c:axId val="25352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32463"/>
        <c:crosses val="autoZero"/>
        <c:auto val="1"/>
        <c:lblAlgn val="ctr"/>
        <c:lblOffset val="100"/>
        <c:noMultiLvlLbl val="0"/>
      </c:catAx>
      <c:valAx>
        <c:axId val="25353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52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Data3_YAT_646.xlsx]Top 10 Highest Paid Employees!PivotTable4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Highest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Highest Paid Employees'!$A$4:$A$14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'Top 10 Highest Paid Employees'!$B$4:$B$14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C-4101-A260-B6D6780A96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9592559"/>
        <c:axId val="1639598799"/>
      </c:barChart>
      <c:catAx>
        <c:axId val="163959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98799"/>
        <c:crosses val="autoZero"/>
        <c:auto val="1"/>
        <c:lblAlgn val="ctr"/>
        <c:lblOffset val="100"/>
        <c:noMultiLvlLbl val="0"/>
      </c:catAx>
      <c:valAx>
        <c:axId val="1639598799"/>
        <c:scaling>
          <c:orientation val="minMax"/>
        </c:scaling>
        <c:delete val="0"/>
        <c:axPos val="b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9255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png"/><Relationship Id="rId3" Type="http://schemas.openxmlformats.org/officeDocument/2006/relationships/chart" Target="../charts/chart5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png"/><Relationship Id="rId4" Type="http://schemas.openxmlformats.org/officeDocument/2006/relationships/chart" Target="../charts/chart6.xml"/><Relationship Id="rId9" Type="http://schemas.openxmlformats.org/officeDocument/2006/relationships/image" Target="../media/image6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129540</xdr:rowOff>
    </xdr:from>
    <xdr:to>
      <xdr:col>13</xdr:col>
      <xdr:colOff>121920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1E8E6-40ED-9DD0-71C2-2EAF01AA8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3</xdr:row>
      <xdr:rowOff>30480</xdr:rowOff>
    </xdr:from>
    <xdr:to>
      <xdr:col>13</xdr:col>
      <xdr:colOff>198120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FBFE4-B161-3215-F910-D685999F8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4</xdr:row>
      <xdr:rowOff>163830</xdr:rowOff>
    </xdr:from>
    <xdr:to>
      <xdr:col>12</xdr:col>
      <xdr:colOff>586740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1D099-175C-24DA-D866-6EB0959A4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17</xdr:col>
      <xdr:colOff>327660</xdr:colOff>
      <xdr:row>61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9593266-0BC0-CB4D-8D07-53670E095901}"/>
            </a:ext>
          </a:extLst>
        </xdr:cNvPr>
        <xdr:cNvSpPr/>
      </xdr:nvSpPr>
      <xdr:spPr>
        <a:xfrm>
          <a:off x="0" y="38100"/>
          <a:ext cx="10690860" cy="11201400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403860</xdr:colOff>
      <xdr:row>1</xdr:row>
      <xdr:rowOff>106680</xdr:rowOff>
    </xdr:from>
    <xdr:to>
      <xdr:col>13</xdr:col>
      <xdr:colOff>502920</xdr:colOff>
      <xdr:row>5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2DDE66-917B-DE42-E347-2741FFE68AE4}"/>
            </a:ext>
          </a:extLst>
        </xdr:cNvPr>
        <xdr:cNvSpPr/>
      </xdr:nvSpPr>
      <xdr:spPr>
        <a:xfrm>
          <a:off x="1623060" y="289560"/>
          <a:ext cx="6804660" cy="70104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281940</xdr:colOff>
      <xdr:row>10</xdr:row>
      <xdr:rowOff>175260</xdr:rowOff>
    </xdr:from>
    <xdr:to>
      <xdr:col>21</xdr:col>
      <xdr:colOff>228600</xdr:colOff>
      <xdr:row>12</xdr:row>
      <xdr:rowOff>137160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13F1604B-378E-789A-6BFA-DA3AB919FC2D}"/>
            </a:ext>
          </a:extLst>
        </xdr:cNvPr>
        <xdr:cNvSpPr txBox="1">
          <a:spLocks noChangeArrowheads="1"/>
        </xdr:cNvSpPr>
      </xdr:nvSpPr>
      <xdr:spPr bwMode="auto">
        <a:xfrm>
          <a:off x="10035540" y="2004060"/>
          <a:ext cx="2994660" cy="3276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4</xdr:col>
      <xdr:colOff>236220</xdr:colOff>
      <xdr:row>2</xdr:row>
      <xdr:rowOff>76200</xdr:rowOff>
    </xdr:from>
    <xdr:to>
      <xdr:col>11</xdr:col>
      <xdr:colOff>358140</xdr:colOff>
      <xdr:row>4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95542F-2D3C-3A22-5F26-AC14414B0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4620" y="441960"/>
          <a:ext cx="4389120" cy="426720"/>
        </a:xfrm>
        <a:prstGeom prst="rect">
          <a:avLst/>
        </a:prstGeom>
      </xdr:spPr>
    </xdr:pic>
    <xdr:clientData/>
  </xdr:twoCellAnchor>
  <xdr:twoCellAnchor>
    <xdr:from>
      <xdr:col>0</xdr:col>
      <xdr:colOff>182078</xdr:colOff>
      <xdr:row>7</xdr:row>
      <xdr:rowOff>120316</xdr:rowOff>
    </xdr:from>
    <xdr:to>
      <xdr:col>3</xdr:col>
      <xdr:colOff>288758</xdr:colOff>
      <xdr:row>12</xdr:row>
      <xdr:rowOff>59356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C928D88-2C6C-670E-7399-1E118FEDC807}"/>
            </a:ext>
          </a:extLst>
        </xdr:cNvPr>
        <xdr:cNvSpPr/>
      </xdr:nvSpPr>
      <xdr:spPr>
        <a:xfrm>
          <a:off x="182078" y="1411705"/>
          <a:ext cx="1935480" cy="86146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/>
        </a:p>
      </xdr:txBody>
    </xdr:sp>
    <xdr:clientData/>
  </xdr:twoCellAnchor>
  <xdr:twoCellAnchor>
    <xdr:from>
      <xdr:col>3</xdr:col>
      <xdr:colOff>480060</xdr:colOff>
      <xdr:row>7</xdr:row>
      <xdr:rowOff>152400</xdr:rowOff>
    </xdr:from>
    <xdr:to>
      <xdr:col>6</xdr:col>
      <xdr:colOff>586740</xdr:colOff>
      <xdr:row>12</xdr:row>
      <xdr:rowOff>91440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98C5F3D-2F83-4E25-B8F7-13934D85814B}"/>
            </a:ext>
          </a:extLst>
        </xdr:cNvPr>
        <xdr:cNvSpPr/>
      </xdr:nvSpPr>
      <xdr:spPr>
        <a:xfrm>
          <a:off x="2308860" y="1432560"/>
          <a:ext cx="1935480" cy="853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137160</xdr:colOff>
      <xdr:row>7</xdr:row>
      <xdr:rowOff>152400</xdr:rowOff>
    </xdr:from>
    <xdr:to>
      <xdr:col>10</xdr:col>
      <xdr:colOff>243840</xdr:colOff>
      <xdr:row>12</xdr:row>
      <xdr:rowOff>91440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B079298-F3A1-4E21-A435-DC0BD738A0E7}"/>
            </a:ext>
          </a:extLst>
        </xdr:cNvPr>
        <xdr:cNvSpPr/>
      </xdr:nvSpPr>
      <xdr:spPr>
        <a:xfrm>
          <a:off x="4404360" y="1432560"/>
          <a:ext cx="1935480" cy="853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396240</xdr:colOff>
      <xdr:row>7</xdr:row>
      <xdr:rowOff>144780</xdr:rowOff>
    </xdr:from>
    <xdr:to>
      <xdr:col>13</xdr:col>
      <xdr:colOff>502920</xdr:colOff>
      <xdr:row>12</xdr:row>
      <xdr:rowOff>83820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D5B35BC-2F8D-444F-9257-44491C30FA9C}"/>
            </a:ext>
          </a:extLst>
        </xdr:cNvPr>
        <xdr:cNvSpPr/>
      </xdr:nvSpPr>
      <xdr:spPr>
        <a:xfrm>
          <a:off x="6492240" y="1424940"/>
          <a:ext cx="1935480" cy="853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68580</xdr:colOff>
      <xdr:row>7</xdr:row>
      <xdr:rowOff>144780</xdr:rowOff>
    </xdr:from>
    <xdr:to>
      <xdr:col>17</xdr:col>
      <xdr:colOff>175260</xdr:colOff>
      <xdr:row>12</xdr:row>
      <xdr:rowOff>83820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850CCC8-81D9-4908-AE78-C39C0C5F15F6}"/>
            </a:ext>
          </a:extLst>
        </xdr:cNvPr>
        <xdr:cNvSpPr/>
      </xdr:nvSpPr>
      <xdr:spPr>
        <a:xfrm>
          <a:off x="8602980" y="1424940"/>
          <a:ext cx="1935480" cy="853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182880</xdr:colOff>
      <xdr:row>14</xdr:row>
      <xdr:rowOff>160020</xdr:rowOff>
    </xdr:from>
    <xdr:to>
      <xdr:col>8</xdr:col>
      <xdr:colOff>525780</xdr:colOff>
      <xdr:row>54</xdr:row>
      <xdr:rowOff>30480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7143A7A-2F8E-C434-C783-177320738A07}"/>
            </a:ext>
          </a:extLst>
        </xdr:cNvPr>
        <xdr:cNvSpPr/>
      </xdr:nvSpPr>
      <xdr:spPr>
        <a:xfrm>
          <a:off x="182880" y="2720340"/>
          <a:ext cx="5219700" cy="71856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137160</xdr:colOff>
      <xdr:row>14</xdr:row>
      <xdr:rowOff>152400</xdr:rowOff>
    </xdr:from>
    <xdr:to>
      <xdr:col>17</xdr:col>
      <xdr:colOff>190500</xdr:colOff>
      <xdr:row>33</xdr:row>
      <xdr:rowOff>76200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98AF524-A2DF-5C65-B117-856E1191B041}"/>
            </a:ext>
          </a:extLst>
        </xdr:cNvPr>
        <xdr:cNvSpPr/>
      </xdr:nvSpPr>
      <xdr:spPr>
        <a:xfrm>
          <a:off x="5623560" y="2712720"/>
          <a:ext cx="4930140" cy="33985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167640</xdr:colOff>
      <xdr:row>34</xdr:row>
      <xdr:rowOff>15240</xdr:rowOff>
    </xdr:from>
    <xdr:to>
      <xdr:col>17</xdr:col>
      <xdr:colOff>220980</xdr:colOff>
      <xdr:row>52</xdr:row>
      <xdr:rowOff>121920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9FA59C4-6BF5-4AB7-B412-7DDB15AE18D4}"/>
            </a:ext>
          </a:extLst>
        </xdr:cNvPr>
        <xdr:cNvSpPr/>
      </xdr:nvSpPr>
      <xdr:spPr>
        <a:xfrm>
          <a:off x="5654040" y="6233160"/>
          <a:ext cx="4930140" cy="33985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507780</xdr:colOff>
      <xdr:row>34</xdr:row>
      <xdr:rowOff>121479</xdr:rowOff>
    </xdr:from>
    <xdr:to>
      <xdr:col>16</xdr:col>
      <xdr:colOff>541131</xdr:colOff>
      <xdr:row>51</xdr:row>
      <xdr:rowOff>25509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226FAFA-67DC-4EAD-9358-8E495A2EC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585304</xdr:colOff>
      <xdr:row>15</xdr:row>
      <xdr:rowOff>176696</xdr:rowOff>
    </xdr:from>
    <xdr:to>
      <xdr:col>8</xdr:col>
      <xdr:colOff>342348</xdr:colOff>
      <xdr:row>54</xdr:row>
      <xdr:rowOff>11044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985405-C873-4EDB-82D0-3BEB4E6E1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419652</xdr:colOff>
      <xdr:row>15</xdr:row>
      <xdr:rowOff>132522</xdr:rowOff>
    </xdr:from>
    <xdr:to>
      <xdr:col>17</xdr:col>
      <xdr:colOff>0</xdr:colOff>
      <xdr:row>33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E59412E-2004-4133-8346-B951BE4F6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607390</xdr:colOff>
      <xdr:row>5</xdr:row>
      <xdr:rowOff>77304</xdr:rowOff>
    </xdr:from>
    <xdr:to>
      <xdr:col>26</xdr:col>
      <xdr:colOff>77303</xdr:colOff>
      <xdr:row>10</xdr:row>
      <xdr:rowOff>30480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3D539DFD-8DFD-90E8-D632-8625FCA1C33D}"/>
            </a:ext>
          </a:extLst>
        </xdr:cNvPr>
        <xdr:cNvSpPr txBox="1">
          <a:spLocks noChangeArrowheads="1"/>
        </xdr:cNvSpPr>
      </xdr:nvSpPr>
      <xdr:spPr bwMode="auto">
        <a:xfrm>
          <a:off x="14577390" y="1016000"/>
          <a:ext cx="1292087" cy="9029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481181</xdr:colOff>
      <xdr:row>8</xdr:row>
      <xdr:rowOff>8022</xdr:rowOff>
    </xdr:from>
    <xdr:to>
      <xdr:col>2</xdr:col>
      <xdr:colOff>510090</xdr:colOff>
      <xdr:row>9</xdr:row>
      <xdr:rowOff>161593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5582FDC-0B3A-60C3-8734-4010DEF43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1181" y="1483896"/>
          <a:ext cx="1248109" cy="33805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20</xdr:row>
      <xdr:rowOff>110436</xdr:rowOff>
    </xdr:from>
    <xdr:to>
      <xdr:col>24</xdr:col>
      <xdr:colOff>165652</xdr:colOff>
      <xdr:row>24</xdr:row>
      <xdr:rowOff>45721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3E5B877A-EF69-6DF2-A7F8-3E2135900616}"/>
            </a:ext>
          </a:extLst>
        </xdr:cNvPr>
        <xdr:cNvSpPr txBox="1">
          <a:spLocks noChangeArrowheads="1"/>
        </xdr:cNvSpPr>
      </xdr:nvSpPr>
      <xdr:spPr bwMode="auto">
        <a:xfrm>
          <a:off x="13362609" y="3876262"/>
          <a:ext cx="1380434" cy="6862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4</xdr:col>
      <xdr:colOff>122252</xdr:colOff>
      <xdr:row>8</xdr:row>
      <xdr:rowOff>11043</xdr:rowOff>
    </xdr:from>
    <xdr:to>
      <xdr:col>6</xdr:col>
      <xdr:colOff>279188</xdr:colOff>
      <xdr:row>9</xdr:row>
      <xdr:rowOff>179081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7DBA34F-4157-4DE2-CB2D-AABD0A61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51817" y="1512956"/>
          <a:ext cx="1371719" cy="363397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9</xdr:row>
      <xdr:rowOff>154609</xdr:rowOff>
    </xdr:from>
    <xdr:to>
      <xdr:col>25</xdr:col>
      <xdr:colOff>110434</xdr:colOff>
      <xdr:row>16</xdr:row>
      <xdr:rowOff>45721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80D1A2B0-6358-D48F-5E1C-FC50E50B7B63}"/>
            </a:ext>
          </a:extLst>
        </xdr:cNvPr>
        <xdr:cNvSpPr txBox="1">
          <a:spLocks noChangeArrowheads="1"/>
        </xdr:cNvSpPr>
      </xdr:nvSpPr>
      <xdr:spPr bwMode="auto">
        <a:xfrm>
          <a:off x="12755217" y="1855305"/>
          <a:ext cx="2540000" cy="1205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7</xdr:col>
      <xdr:colOff>384534</xdr:colOff>
      <xdr:row>8</xdr:row>
      <xdr:rowOff>18994</xdr:rowOff>
    </xdr:from>
    <xdr:to>
      <xdr:col>10</xdr:col>
      <xdr:colOff>31623</xdr:colOff>
      <xdr:row>10</xdr:row>
      <xdr:rowOff>3423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5D55EB3-EE09-2B53-F3B7-D247D437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36273" y="1520907"/>
          <a:ext cx="1469263" cy="367527"/>
        </a:xfrm>
        <a:prstGeom prst="rect">
          <a:avLst/>
        </a:prstGeom>
      </xdr:spPr>
    </xdr:pic>
    <xdr:clientData/>
  </xdr:twoCellAnchor>
  <xdr:twoCellAnchor>
    <xdr:from>
      <xdr:col>19</xdr:col>
      <xdr:colOff>28155</xdr:colOff>
      <xdr:row>8</xdr:row>
      <xdr:rowOff>101817</xdr:rowOff>
    </xdr:from>
    <xdr:to>
      <xdr:col>21</xdr:col>
      <xdr:colOff>150361</xdr:colOff>
      <xdr:row>12</xdr:row>
      <xdr:rowOff>176542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6E4CD8F6-90D6-AC90-BA4C-6599829648DB}"/>
            </a:ext>
          </a:extLst>
        </xdr:cNvPr>
        <xdr:cNvSpPr txBox="1">
          <a:spLocks noChangeArrowheads="1"/>
        </xdr:cNvSpPr>
      </xdr:nvSpPr>
      <xdr:spPr bwMode="auto">
        <a:xfrm>
          <a:off x="11642375" y="1575575"/>
          <a:ext cx="1344755" cy="8116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b="0" i="0" u="none" strike="noStrike" baseline="0">
            <a:solidFill>
              <a:srgbClr val="000000"/>
            </a:solidFill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11</xdr:col>
      <xdr:colOff>120153</xdr:colOff>
      <xdr:row>7</xdr:row>
      <xdr:rowOff>176695</xdr:rowOff>
    </xdr:from>
    <xdr:to>
      <xdr:col>13</xdr:col>
      <xdr:colOff>165652</xdr:colOff>
      <xdr:row>10</xdr:row>
      <xdr:rowOff>2385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B5D20BC-C96F-997B-E3C4-97FF6931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1457" y="1490869"/>
          <a:ext cx="1260282" cy="388907"/>
        </a:xfrm>
        <a:prstGeom prst="rect">
          <a:avLst/>
        </a:prstGeom>
      </xdr:spPr>
    </xdr:pic>
    <xdr:clientData/>
  </xdr:twoCellAnchor>
  <xdr:twoCellAnchor>
    <xdr:from>
      <xdr:col>22</xdr:col>
      <xdr:colOff>-1</xdr:colOff>
      <xdr:row>29</xdr:row>
      <xdr:rowOff>22087</xdr:rowOff>
    </xdr:from>
    <xdr:to>
      <xdr:col>25</xdr:col>
      <xdr:colOff>231912</xdr:colOff>
      <xdr:row>34</xdr:row>
      <xdr:rowOff>45720</xdr:rowOff>
    </xdr:to>
    <xdr:sp macro="" textlink="">
      <xdr:nvSpPr>
        <xdr:cNvPr id="7175" name="Text Box 7">
          <a:extLst>
            <a:ext uri="{FF2B5EF4-FFF2-40B4-BE49-F238E27FC236}">
              <a16:creationId xmlns:a16="http://schemas.microsoft.com/office/drawing/2014/main" id="{1EE05E14-F40F-6F2D-952A-6E610FB2ED3B}"/>
            </a:ext>
          </a:extLst>
        </xdr:cNvPr>
        <xdr:cNvSpPr txBox="1">
          <a:spLocks noChangeArrowheads="1"/>
        </xdr:cNvSpPr>
      </xdr:nvSpPr>
      <xdr:spPr bwMode="auto">
        <a:xfrm>
          <a:off x="13362608" y="5466522"/>
          <a:ext cx="2054087" cy="9623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14</xdr:col>
      <xdr:colOff>121588</xdr:colOff>
      <xdr:row>7</xdr:row>
      <xdr:rowOff>176696</xdr:rowOff>
    </xdr:from>
    <xdr:to>
      <xdr:col>17</xdr:col>
      <xdr:colOff>183241</xdr:colOff>
      <xdr:row>9</xdr:row>
      <xdr:rowOff>156994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128193E-0559-927A-EC71-B75A16C33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5066" y="1490870"/>
          <a:ext cx="1883827" cy="355776"/>
        </a:xfrm>
        <a:prstGeom prst="rect">
          <a:avLst/>
        </a:prstGeom>
      </xdr:spPr>
    </xdr:pic>
    <xdr:clientData/>
  </xdr:twoCellAnchor>
  <xdr:twoCellAnchor editAs="oneCell">
    <xdr:from>
      <xdr:col>4</xdr:col>
      <xdr:colOff>385010</xdr:colOff>
      <xdr:row>9</xdr:row>
      <xdr:rowOff>136358</xdr:rowOff>
    </xdr:from>
    <xdr:to>
      <xdr:col>6</xdr:col>
      <xdr:colOff>0</xdr:colOff>
      <xdr:row>11</xdr:row>
      <xdr:rowOff>178511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1116DC8-FA43-9163-3462-4AB984BD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23410" y="1796716"/>
          <a:ext cx="834190" cy="411121"/>
        </a:xfrm>
        <a:prstGeom prst="rect">
          <a:avLst/>
        </a:prstGeom>
      </xdr:spPr>
    </xdr:pic>
    <xdr:clientData/>
  </xdr:twoCellAnchor>
  <xdr:twoCellAnchor editAs="oneCell">
    <xdr:from>
      <xdr:col>0</xdr:col>
      <xdr:colOff>585538</xdr:colOff>
      <xdr:row>9</xdr:row>
      <xdr:rowOff>112294</xdr:rowOff>
    </xdr:from>
    <xdr:to>
      <xdr:col>2</xdr:col>
      <xdr:colOff>152402</xdr:colOff>
      <xdr:row>11</xdr:row>
      <xdr:rowOff>152103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36D015A-87A4-38FE-A6F9-A31F4794A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5538" y="1772652"/>
          <a:ext cx="786064" cy="40877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112295</xdr:rowOff>
    </xdr:from>
    <xdr:to>
      <xdr:col>9</xdr:col>
      <xdr:colOff>184484</xdr:colOff>
      <xdr:row>11</xdr:row>
      <xdr:rowOff>124833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28B175F-DC1B-AFF1-1C21-349C04E7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76800" y="1772653"/>
          <a:ext cx="794084" cy="381506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304801</xdr:colOff>
      <xdr:row>9</xdr:row>
      <xdr:rowOff>72189</xdr:rowOff>
    </xdr:from>
    <xdr:to>
      <xdr:col>12</xdr:col>
      <xdr:colOff>481263</xdr:colOff>
      <xdr:row>11</xdr:row>
      <xdr:rowOff>125233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E947021-AC9F-8D4E-990B-166B09DAA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10401" y="1732547"/>
          <a:ext cx="786062" cy="422012"/>
        </a:xfrm>
        <a:prstGeom prst="rect">
          <a:avLst/>
        </a:prstGeom>
      </xdr:spPr>
    </xdr:pic>
    <xdr:clientData/>
  </xdr:twoCellAnchor>
  <xdr:twoCellAnchor editAs="oneCell">
    <xdr:from>
      <xdr:col>14</xdr:col>
      <xdr:colOff>344906</xdr:colOff>
      <xdr:row>9</xdr:row>
      <xdr:rowOff>64169</xdr:rowOff>
    </xdr:from>
    <xdr:to>
      <xdr:col>16</xdr:col>
      <xdr:colOff>457201</xdr:colOff>
      <xdr:row>11</xdr:row>
      <xdr:rowOff>77107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40351B8-E7DA-16AC-6F2D-984E51CC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79306" y="1724527"/>
          <a:ext cx="1331495" cy="38190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d" refreshedDate="46050.863408680554" createdVersion="8" refreshedVersion="8" minRefreshableVersion="3" recordCount="792" xr:uid="{74223237-EB52-4B3A-B172-1451270D959A}">
  <cacheSource type="worksheet">
    <worksheetSource name="Table1"/>
  </cacheSource>
  <cacheFields count="14">
    <cacheField name="EEID" numFmtId="0">
      <sharedItems/>
    </cacheField>
    <cacheField name="Full" numFmtId="0">
      <sharedItems count="792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56"/>
    </cacheField>
    <cacheField name="Job" numFmtId="0">
      <sharedItems/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/>
    </cacheField>
    <cacheField name="Hire" numFmtId="14">
      <sharedItems containsSemiMixedTypes="0" containsNonDate="0" containsDate="1" containsString="0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emiMixedTypes="0" containsString="0" containsNumber="1" containsInteger="1" minValue="10000" maxValue="1408000"/>
    </cacheField>
    <cacheField name="Bonus" numFmtId="0">
      <sharedItems containsSemiMixedTypes="0" containsString="0" containsNumber="1" minValue="0" maxValue="0.4"/>
    </cacheField>
    <cacheField name="Status" numFmtId="0">
      <sharedItems count="2">
        <s v="Inactive"/>
        <s v="Active"/>
      </sharedItems>
    </cacheField>
    <cacheField name="Year" numFmtId="0">
      <sharedItems containsSemiMixedTypes="0" containsString="0" containsNumber="1" containsInteger="1" minValue="0" maxValue="6"/>
    </cacheField>
    <cacheField name="Age Distribution" numFmtId="0">
      <sharedItems count="4">
        <s v="40-49"/>
        <s v="30-39"/>
        <s v="20-29"/>
        <s v="50-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s v="E01839"/>
    <x v="0"/>
    <x v="0"/>
    <n v="47"/>
    <s v="Auto Eng"/>
    <x v="0"/>
    <s v="Corporate"/>
    <d v="2020-10-12T00:00:00"/>
    <d v="2022-10-23T00:00:00"/>
    <n v="10000"/>
    <n v="0"/>
    <x v="0"/>
    <n v="2"/>
    <x v="0"/>
  </r>
  <r>
    <s v="E04959"/>
    <x v="1"/>
    <x v="1"/>
    <n v="36"/>
    <s v=" Dev Eng"/>
    <x v="0"/>
    <s v="Products"/>
    <d v="2022-01-27T00:00:00"/>
    <m/>
    <n v="10000"/>
    <n v="0"/>
    <x v="1"/>
    <n v="4"/>
    <x v="1"/>
  </r>
  <r>
    <s v="E03047"/>
    <x v="2"/>
    <x v="0"/>
    <n v="41"/>
    <s v="Sr. Acc Rep"/>
    <x v="1"/>
    <s v="Corporate"/>
    <d v="2024-02-15T00:00:00"/>
    <m/>
    <n v="12000"/>
    <n v="0"/>
    <x v="1"/>
    <n v="1"/>
    <x v="0"/>
  </r>
  <r>
    <s v="E04458"/>
    <x v="3"/>
    <x v="1"/>
    <n v="30"/>
    <s v="Field Eng"/>
    <x v="0"/>
    <s v="Products"/>
    <d v="2024-02-10T00:00:00"/>
    <m/>
    <n v="14000"/>
    <n v="0"/>
    <x v="1"/>
    <n v="1"/>
    <x v="1"/>
  </r>
  <r>
    <s v="E02848"/>
    <x v="4"/>
    <x v="0"/>
    <n v="30"/>
    <s v="Sr. Acc Rep"/>
    <x v="1"/>
    <s v="R&amp;D"/>
    <d v="2020-12-18T00:00:00"/>
    <d v="2024-05-18T00:00:00"/>
    <n v="16000"/>
    <n v="0"/>
    <x v="0"/>
    <n v="3"/>
    <x v="1"/>
  </r>
  <r>
    <s v="E04332"/>
    <x v="5"/>
    <x v="1"/>
    <n v="38"/>
    <s v="Auto Eng"/>
    <x v="0"/>
    <s v="Products"/>
    <d v="2020-01-07T00:00:00"/>
    <d v="2024-05-18T00:00:00"/>
    <n v="18000"/>
    <n v="0.15"/>
    <x v="0"/>
    <n v="4"/>
    <x v="1"/>
  </r>
  <r>
    <s v="E03438"/>
    <x v="6"/>
    <x v="0"/>
    <n v="28"/>
    <s v="Auto Eng"/>
    <x v="0"/>
    <s v="R&amp;D"/>
    <d v="2023-10-07T00:00:00"/>
    <m/>
    <n v="20000"/>
    <n v="0"/>
    <x v="1"/>
    <n v="2"/>
    <x v="2"/>
  </r>
  <r>
    <s v="E02769"/>
    <x v="7"/>
    <x v="1"/>
    <n v="39"/>
    <s v="Sr. Manger"/>
    <x v="2"/>
    <s v="R&amp;D"/>
    <d v="2021-10-18T00:00:00"/>
    <m/>
    <n v="22000"/>
    <n v="0.11"/>
    <x v="1"/>
    <n v="4"/>
    <x v="1"/>
  </r>
  <r>
    <s v="E03277"/>
    <x v="8"/>
    <x v="0"/>
    <n v="31"/>
    <s v="Sr. Manger"/>
    <x v="3"/>
    <s v="Products"/>
    <d v="2022-08-18T00:00:00"/>
    <m/>
    <n v="24000"/>
    <n v="0.12"/>
    <x v="1"/>
    <n v="3"/>
    <x v="1"/>
  </r>
  <r>
    <s v="E02534"/>
    <x v="9"/>
    <x v="0"/>
    <n v="45"/>
    <s v="Sr. Manger"/>
    <x v="4"/>
    <s v="Corporate"/>
    <d v="2024-05-28T00:00:00"/>
    <m/>
    <n v="26000"/>
    <n v="0"/>
    <x v="1"/>
    <n v="1"/>
    <x v="0"/>
  </r>
  <r>
    <s v="E03849"/>
    <x v="10"/>
    <x v="0"/>
    <n v="50"/>
    <s v="Quality Eng"/>
    <x v="0"/>
    <s v="Manufacturing"/>
    <d v="2022-09-07T00:00:00"/>
    <m/>
    <n v="28000"/>
    <n v="0.12"/>
    <x v="1"/>
    <n v="3"/>
    <x v="3"/>
  </r>
  <r>
    <s v="E03807"/>
    <x v="11"/>
    <x v="1"/>
    <n v="36"/>
    <s v="Sr. Manger"/>
    <x v="3"/>
    <s v="Manufacturing"/>
    <d v="2024-01-03T00:00:00"/>
    <m/>
    <n v="30000"/>
    <n v="0.15"/>
    <x v="1"/>
    <n v="2"/>
    <x v="1"/>
  </r>
  <r>
    <s v="E03223"/>
    <x v="12"/>
    <x v="0"/>
    <n v="45"/>
    <s v="IT Coord"/>
    <x v="5"/>
    <s v="R&amp;D"/>
    <d v="2023-05-28T00:00:00"/>
    <m/>
    <n v="32000"/>
    <n v="0"/>
    <x v="1"/>
    <n v="2"/>
    <x v="0"/>
  </r>
  <r>
    <s v="E02473"/>
    <x v="13"/>
    <x v="1"/>
    <n v="29"/>
    <s v="Quality Eng"/>
    <x v="0"/>
    <s v="Products"/>
    <d v="2023-11-15T00:00:00"/>
    <m/>
    <n v="34000"/>
    <n v="0"/>
    <x v="1"/>
    <n v="2"/>
    <x v="2"/>
  </r>
  <r>
    <s v="E03065"/>
    <x v="14"/>
    <x v="1"/>
    <n v="41"/>
    <s v="Quality Eng"/>
    <x v="0"/>
    <s v="R&amp;D"/>
    <d v="2020-01-21T00:00:00"/>
    <d v="2022-10-23T00:00:00"/>
    <n v="36000"/>
    <n v="0.15"/>
    <x v="0"/>
    <n v="2"/>
    <x v="0"/>
  </r>
  <r>
    <s v="E03563"/>
    <x v="15"/>
    <x v="1"/>
    <n v="47"/>
    <s v="Ops Eng"/>
    <x v="0"/>
    <s v="Corporate"/>
    <d v="2023-10-07T00:00:00"/>
    <d v="2024-09-02T00:00:00"/>
    <n v="38000"/>
    <n v="0"/>
    <x v="0"/>
    <n v="0"/>
    <x v="0"/>
  </r>
  <r>
    <s v="E03227"/>
    <x v="16"/>
    <x v="1"/>
    <n v="38"/>
    <s v="IT Coord"/>
    <x v="5"/>
    <s v="Products"/>
    <d v="2024-04-19T00:00:00"/>
    <m/>
    <n v="40000"/>
    <n v="0"/>
    <x v="1"/>
    <n v="1"/>
    <x v="1"/>
  </r>
  <r>
    <s v="E04969"/>
    <x v="17"/>
    <x v="0"/>
    <n v="40"/>
    <s v="Ops Eng"/>
    <x v="0"/>
    <s v="R&amp;D"/>
    <d v="2020-09-09T00:00:00"/>
    <m/>
    <n v="42000"/>
    <n v="0.15"/>
    <x v="1"/>
    <n v="5"/>
    <x v="0"/>
  </r>
  <r>
    <s v="E01706"/>
    <x v="18"/>
    <x v="1"/>
    <n v="45"/>
    <s v="Ops Eng"/>
    <x v="0"/>
    <s v="Manufacturing"/>
    <d v="2023-11-03T00:00:00"/>
    <m/>
    <n v="44000"/>
    <n v="0"/>
    <x v="1"/>
    <n v="2"/>
    <x v="0"/>
  </r>
  <r>
    <s v="E04109"/>
    <x v="19"/>
    <x v="0"/>
    <n v="26"/>
    <s v="IT Coord"/>
    <x v="5"/>
    <s v="Manufacturing"/>
    <d v="2024-04-30T00:00:00"/>
    <m/>
    <n v="46000"/>
    <n v="0"/>
    <x v="1"/>
    <n v="1"/>
    <x v="2"/>
  </r>
  <r>
    <s v="E03994"/>
    <x v="20"/>
    <x v="1"/>
    <n v="35"/>
    <s v="Auto Eng"/>
    <x v="0"/>
    <s v="Manufacturing"/>
    <d v="2020-02-26T00:00:00"/>
    <d v="2021-09-07T00:00:00"/>
    <n v="48000"/>
    <n v="0"/>
    <x v="0"/>
    <n v="1"/>
    <x v="1"/>
  </r>
  <r>
    <s v="E00608"/>
    <x v="21"/>
    <x v="0"/>
    <n v="29"/>
    <s v=" Dev Eng"/>
    <x v="0"/>
    <s v="Manufacturing"/>
    <d v="2022-09-11T00:00:00"/>
    <m/>
    <n v="50000"/>
    <n v="0"/>
    <x v="1"/>
    <n v="3"/>
    <x v="2"/>
  </r>
  <r>
    <s v="E02259"/>
    <x v="22"/>
    <x v="0"/>
    <n v="35"/>
    <s v="Sr. Analyst"/>
    <x v="2"/>
    <s v="Manufacturing"/>
    <d v="2024-05-18T00:00:00"/>
    <m/>
    <n v="52000"/>
    <n v="0"/>
    <x v="1"/>
    <n v="1"/>
    <x v="1"/>
  </r>
  <r>
    <s v="E04369"/>
    <x v="23"/>
    <x v="1"/>
    <n v="27"/>
    <s v="Quality Eng"/>
    <x v="0"/>
    <s v="Corporate"/>
    <d v="2021-11-09T00:00:00"/>
    <m/>
    <n v="54000"/>
    <n v="0.12"/>
    <x v="1"/>
    <n v="4"/>
    <x v="2"/>
  </r>
  <r>
    <s v="E04751"/>
    <x v="24"/>
    <x v="1"/>
    <n v="26"/>
    <s v="Ops Eng"/>
    <x v="0"/>
    <s v="Products"/>
    <d v="2020-05-12T00:00:00"/>
    <d v="2022-10-23T00:00:00"/>
    <n v="56000"/>
    <n v="0.15"/>
    <x v="0"/>
    <n v="2"/>
    <x v="2"/>
  </r>
  <r>
    <s v="E01684"/>
    <x v="25"/>
    <x v="1"/>
    <n v="27"/>
    <s v="Field Eng"/>
    <x v="0"/>
    <s v="Manufacturing"/>
    <d v="2022-09-11T00:00:00"/>
    <m/>
    <n v="58000"/>
    <n v="0"/>
    <x v="1"/>
    <n v="3"/>
    <x v="2"/>
  </r>
  <r>
    <s v="E00508"/>
    <x v="26"/>
    <x v="1"/>
    <n v="30"/>
    <s v="Sr. Analyst"/>
    <x v="4"/>
    <s v="R&amp;D"/>
    <d v="2022-10-23T00:00:00"/>
    <m/>
    <n v="60000"/>
    <n v="0"/>
    <x v="1"/>
    <n v="3"/>
    <x v="1"/>
  </r>
  <r>
    <s v="E02274"/>
    <x v="27"/>
    <x v="0"/>
    <n v="36"/>
    <s v="Net Admin"/>
    <x v="5"/>
    <s v="Manufacturing"/>
    <d v="2020-08-23T00:00:00"/>
    <d v="2024-05-18T00:00:00"/>
    <n v="62000"/>
    <n v="0"/>
    <x v="0"/>
    <n v="3"/>
    <x v="1"/>
  </r>
  <r>
    <s v="E02453"/>
    <x v="28"/>
    <x v="1"/>
    <n v="45"/>
    <s v="Sr. Analyst"/>
    <x v="3"/>
    <s v="Products"/>
    <d v="2023-11-07T00:00:00"/>
    <m/>
    <n v="64000"/>
    <n v="0"/>
    <x v="1"/>
    <n v="2"/>
    <x v="0"/>
  </r>
  <r>
    <s v="E00956"/>
    <x v="29"/>
    <x v="0"/>
    <n v="37"/>
    <s v=" Dev Eng"/>
    <x v="0"/>
    <s v="R&amp;D"/>
    <d v="2023-10-07T00:00:00"/>
    <m/>
    <n v="66000"/>
    <n v="0"/>
    <x v="1"/>
    <n v="2"/>
    <x v="1"/>
  </r>
  <r>
    <s v="E00126"/>
    <x v="30"/>
    <x v="0"/>
    <n v="32"/>
    <s v="Net Admin"/>
    <x v="5"/>
    <s v="R&amp;D"/>
    <d v="2022-04-26T00:00:00"/>
    <m/>
    <n v="68000"/>
    <n v="0.12"/>
    <x v="1"/>
    <n v="3"/>
    <x v="1"/>
  </r>
  <r>
    <s v="E04032"/>
    <x v="31"/>
    <x v="0"/>
    <n v="45"/>
    <s v="Field Eng"/>
    <x v="0"/>
    <s v="Corporate"/>
    <d v="2020-02-28T00:00:00"/>
    <m/>
    <n v="70000"/>
    <n v="0.15"/>
    <x v="1"/>
    <n v="5"/>
    <x v="0"/>
  </r>
  <r>
    <s v="E00716"/>
    <x v="32"/>
    <x v="0"/>
    <n v="51"/>
    <s v="Auto Eng"/>
    <x v="0"/>
    <s v="Corporate"/>
    <d v="2020-10-12T00:00:00"/>
    <m/>
    <n v="72000"/>
    <n v="0.15"/>
    <x v="1"/>
    <n v="5"/>
    <x v="3"/>
  </r>
  <r>
    <s v="E00699"/>
    <x v="33"/>
    <x v="0"/>
    <n v="56"/>
    <s v=" Dev Eng"/>
    <x v="0"/>
    <s v="Products"/>
    <d v="2022-01-27T00:00:00"/>
    <m/>
    <n v="74000"/>
    <n v="0.1"/>
    <x v="1"/>
    <n v="4"/>
    <x v="3"/>
  </r>
  <r>
    <s v="E00502"/>
    <x v="34"/>
    <x v="1"/>
    <n v="53"/>
    <s v="Sr. Acc Rep"/>
    <x v="1"/>
    <s v="Corporate"/>
    <d v="2020-02-15T00:00:00"/>
    <d v="2023-08-07T00:00:00"/>
    <n v="76000"/>
    <n v="0"/>
    <x v="0"/>
    <n v="3"/>
    <x v="3"/>
  </r>
  <r>
    <s v="E04000"/>
    <x v="35"/>
    <x v="0"/>
    <n v="47"/>
    <s v="Field Eng"/>
    <x v="0"/>
    <s v="Products"/>
    <d v="2020-02-10T00:00:00"/>
    <d v="2021-02-24T00:00:00"/>
    <n v="78000"/>
    <n v="0.13"/>
    <x v="0"/>
    <n v="1"/>
    <x v="0"/>
  </r>
  <r>
    <s v="E02112"/>
    <x v="36"/>
    <x v="0"/>
    <n v="36"/>
    <s v="Sr. Acc Rep"/>
    <x v="1"/>
    <s v="R&amp;D"/>
    <d v="2020-12-18T00:00:00"/>
    <m/>
    <n v="80000"/>
    <n v="0.37"/>
    <x v="1"/>
    <n v="5"/>
    <x v="1"/>
  </r>
  <r>
    <s v="E03824"/>
    <x v="37"/>
    <x v="0"/>
    <n v="41"/>
    <s v="Auto Eng"/>
    <x v="0"/>
    <s v="Products"/>
    <d v="2020-01-07T00:00:00"/>
    <m/>
    <n v="82000"/>
    <n v="0"/>
    <x v="1"/>
    <n v="6"/>
    <x v="0"/>
  </r>
  <r>
    <s v="E03906"/>
    <x v="38"/>
    <x v="1"/>
    <n v="30"/>
    <s v="Auto Eng"/>
    <x v="0"/>
    <s v="R&amp;D"/>
    <d v="2023-10-07T00:00:00"/>
    <m/>
    <n v="84000"/>
    <n v="0"/>
    <x v="1"/>
    <n v="2"/>
    <x v="1"/>
  </r>
  <r>
    <s v="E00436"/>
    <x v="39"/>
    <x v="1"/>
    <n v="30"/>
    <s v="Sr. Manger"/>
    <x v="2"/>
    <s v="R&amp;D"/>
    <d v="2022-10-18T00:00:00"/>
    <d v="2024-02-22T00:00:00"/>
    <n v="86000"/>
    <n v="0"/>
    <x v="0"/>
    <n v="1"/>
    <x v="1"/>
  </r>
  <r>
    <s v="E04798"/>
    <x v="40"/>
    <x v="1"/>
    <n v="38"/>
    <s v="Sr. Manger"/>
    <x v="3"/>
    <s v="Products"/>
    <d v="2022-08-18T00:00:00"/>
    <m/>
    <n v="88000"/>
    <n v="7.0000000000000007E-2"/>
    <x v="1"/>
    <n v="3"/>
    <x v="1"/>
  </r>
  <r>
    <s v="E01249"/>
    <x v="41"/>
    <x v="0"/>
    <n v="28"/>
    <s v="Sr. Manger"/>
    <x v="4"/>
    <s v="Corporate"/>
    <d v="2022-05-28T00:00:00"/>
    <d v="2024-05-18T00:00:00"/>
    <n v="90000"/>
    <n v="0.35"/>
    <x v="0"/>
    <n v="1"/>
    <x v="2"/>
  </r>
  <r>
    <s v="E03349"/>
    <x v="42"/>
    <x v="1"/>
    <n v="46"/>
    <s v="Quality Eng"/>
    <x v="0"/>
    <s v="Manufacturing"/>
    <d v="2022-09-07T00:00:00"/>
    <m/>
    <n v="92000"/>
    <n v="0"/>
    <x v="1"/>
    <n v="3"/>
    <x v="0"/>
  </r>
  <r>
    <s v="E02966"/>
    <x v="43"/>
    <x v="0"/>
    <n v="31"/>
    <s v="Sr. Manger"/>
    <x v="3"/>
    <s v="Manufacturing"/>
    <d v="2021-01-03T00:00:00"/>
    <d v="2021-09-26T00:00:00"/>
    <n v="94000"/>
    <n v="0"/>
    <x v="0"/>
    <n v="0"/>
    <x v="1"/>
  </r>
  <r>
    <s v="E01499"/>
    <x v="44"/>
    <x v="1"/>
    <n v="45"/>
    <s v="IT Coord"/>
    <x v="5"/>
    <s v="R&amp;D"/>
    <d v="2023-05-28T00:00:00"/>
    <m/>
    <n v="96000"/>
    <n v="0.2"/>
    <x v="1"/>
    <n v="2"/>
    <x v="0"/>
  </r>
  <r>
    <s v="E00105"/>
    <x v="45"/>
    <x v="1"/>
    <n v="50"/>
    <s v="Quality Eng"/>
    <x v="0"/>
    <s v="Products"/>
    <d v="2023-11-15T00:00:00"/>
    <m/>
    <n v="98000"/>
    <n v="0.09"/>
    <x v="1"/>
    <n v="2"/>
    <x v="3"/>
  </r>
  <r>
    <s v="E00665"/>
    <x v="46"/>
    <x v="1"/>
    <n v="46"/>
    <s v="Quality Eng"/>
    <x v="0"/>
    <s v="R&amp;D"/>
    <d v="2020-01-21T00:00:00"/>
    <m/>
    <n v="100000"/>
    <n v="0"/>
    <x v="1"/>
    <n v="6"/>
    <x v="0"/>
  </r>
  <r>
    <s v="E00791"/>
    <x v="47"/>
    <x v="1"/>
    <n v="45"/>
    <s v="Ops Eng"/>
    <x v="0"/>
    <s v="Corporate"/>
    <d v="2023-10-07T00:00:00"/>
    <m/>
    <n v="102000"/>
    <n v="0.4"/>
    <x v="1"/>
    <n v="2"/>
    <x v="0"/>
  </r>
  <r>
    <s v="E01540"/>
    <x v="48"/>
    <x v="1"/>
    <n v="29"/>
    <s v="IT Coord"/>
    <x v="5"/>
    <s v="Products"/>
    <d v="2020-04-19T00:00:00"/>
    <d v="2022-03-27T00:00:00"/>
    <n v="104000"/>
    <n v="0"/>
    <x v="0"/>
    <n v="1"/>
    <x v="2"/>
  </r>
  <r>
    <s v="E04474"/>
    <x v="49"/>
    <x v="1"/>
    <n v="41"/>
    <s v="Ops Eng"/>
    <x v="0"/>
    <s v="R&amp;D"/>
    <d v="2020-09-09T00:00:00"/>
    <d v="2024-08-10T00:00:00"/>
    <n v="106000"/>
    <n v="0"/>
    <x v="0"/>
    <n v="3"/>
    <x v="0"/>
  </r>
  <r>
    <s v="E03417"/>
    <x v="50"/>
    <x v="0"/>
    <n v="47"/>
    <s v="Ops Eng"/>
    <x v="0"/>
    <s v="Manufacturing"/>
    <d v="2023-11-03T00:00:00"/>
    <d v="2024-05-18T00:00:00"/>
    <n v="108000"/>
    <n v="0.08"/>
    <x v="0"/>
    <n v="0"/>
    <x v="0"/>
  </r>
  <r>
    <s v="E00254"/>
    <x v="51"/>
    <x v="1"/>
    <n v="46"/>
    <s v="IT Coord"/>
    <x v="5"/>
    <s v="Manufacturing"/>
    <d v="2024-04-30T00:00:00"/>
    <m/>
    <n v="110000"/>
    <n v="0"/>
    <x v="1"/>
    <n v="1"/>
    <x v="0"/>
  </r>
  <r>
    <s v="E02166"/>
    <x v="52"/>
    <x v="0"/>
    <n v="40"/>
    <s v="Auto Eng"/>
    <x v="0"/>
    <s v="Manufacturing"/>
    <d v="2020-02-26T00:00:00"/>
    <m/>
    <n v="112000"/>
    <n v="0.15"/>
    <x v="1"/>
    <n v="5"/>
    <x v="0"/>
  </r>
  <r>
    <s v="E00935"/>
    <x v="53"/>
    <x v="1"/>
    <n v="45"/>
    <s v=" Dev Eng"/>
    <x v="0"/>
    <s v="Manufacturing"/>
    <d v="2022-09-11T00:00:00"/>
    <m/>
    <n v="114000"/>
    <n v="0"/>
    <x v="1"/>
    <n v="3"/>
    <x v="0"/>
  </r>
  <r>
    <s v="E01525"/>
    <x v="54"/>
    <x v="1"/>
    <n v="26"/>
    <s v="Sr. Analyst"/>
    <x v="2"/>
    <s v="Manufacturing"/>
    <d v="2024-05-18T00:00:00"/>
    <m/>
    <n v="116000"/>
    <n v="0.11"/>
    <x v="1"/>
    <n v="1"/>
    <x v="2"/>
  </r>
  <r>
    <s v="E00386"/>
    <x v="55"/>
    <x v="0"/>
    <n v="35"/>
    <s v="Quality Eng"/>
    <x v="0"/>
    <s v="Corporate"/>
    <d v="2021-11-09T00:00:00"/>
    <m/>
    <n v="118000"/>
    <n v="0"/>
    <x v="1"/>
    <n v="4"/>
    <x v="1"/>
  </r>
  <r>
    <s v="E00416"/>
    <x v="56"/>
    <x v="1"/>
    <n v="29"/>
    <s v="Ops Eng"/>
    <x v="0"/>
    <s v="Products"/>
    <d v="2020-05-12T00:00:00"/>
    <d v="2022-12-12T00:00:00"/>
    <n v="120000"/>
    <n v="0.28000000000000003"/>
    <x v="0"/>
    <n v="2"/>
    <x v="2"/>
  </r>
  <r>
    <s v="E03383"/>
    <x v="57"/>
    <x v="1"/>
    <n v="35"/>
    <s v="Field Eng"/>
    <x v="0"/>
    <s v="Manufacturing"/>
    <d v="2022-09-11T00:00:00"/>
    <m/>
    <n v="122000"/>
    <n v="0.27"/>
    <x v="1"/>
    <n v="3"/>
    <x v="1"/>
  </r>
  <r>
    <s v="E01516"/>
    <x v="58"/>
    <x v="1"/>
    <n v="27"/>
    <s v="Sr. Analyst"/>
    <x v="4"/>
    <s v="R&amp;D"/>
    <d v="2022-10-23T00:00:00"/>
    <m/>
    <n v="124000"/>
    <n v="0"/>
    <x v="1"/>
    <n v="3"/>
    <x v="2"/>
  </r>
  <r>
    <s v="E01234"/>
    <x v="59"/>
    <x v="1"/>
    <n v="26"/>
    <s v="Net Admin"/>
    <x v="5"/>
    <s v="Manufacturing"/>
    <d v="2024-08-23T00:00:00"/>
    <m/>
    <n v="126000"/>
    <n v="0.3"/>
    <x v="1"/>
    <n v="1"/>
    <x v="2"/>
  </r>
  <r>
    <s v="E03440"/>
    <x v="60"/>
    <x v="0"/>
    <n v="27"/>
    <s v="Sr. Analyst"/>
    <x v="3"/>
    <s v="Products"/>
    <d v="2023-11-07T00:00:00"/>
    <m/>
    <n v="128000"/>
    <n v="0"/>
    <x v="1"/>
    <n v="2"/>
    <x v="2"/>
  </r>
  <r>
    <s v="E00431"/>
    <x v="61"/>
    <x v="0"/>
    <n v="30"/>
    <s v=" Dev Eng"/>
    <x v="0"/>
    <s v="R&amp;D"/>
    <d v="2023-10-07T00:00:00"/>
    <m/>
    <n v="130000"/>
    <n v="0"/>
    <x v="1"/>
    <n v="2"/>
    <x v="1"/>
  </r>
  <r>
    <s v="E01258"/>
    <x v="62"/>
    <x v="0"/>
    <n v="36"/>
    <s v="Net Admin"/>
    <x v="5"/>
    <s v="R&amp;D"/>
    <d v="2022-04-26T00:00:00"/>
    <m/>
    <n v="132000"/>
    <n v="0"/>
    <x v="1"/>
    <n v="3"/>
    <x v="1"/>
  </r>
  <r>
    <s v="E00440"/>
    <x v="63"/>
    <x v="0"/>
    <n v="45"/>
    <s v="Field Eng"/>
    <x v="0"/>
    <s v="Corporate"/>
    <d v="2020-02-28T00:00:00"/>
    <d v="2023-12-22T00:00:00"/>
    <n v="134000"/>
    <n v="0.1"/>
    <x v="0"/>
    <n v="3"/>
    <x v="0"/>
  </r>
  <r>
    <s v="E00595"/>
    <x v="64"/>
    <x v="0"/>
    <n v="37"/>
    <s v="Auto Eng"/>
    <x v="0"/>
    <s v="Corporate"/>
    <d v="2020-10-12T00:00:00"/>
    <d v="2024-02-10T00:00:00"/>
    <n v="136000"/>
    <n v="0.15"/>
    <x v="0"/>
    <n v="3"/>
    <x v="1"/>
  </r>
  <r>
    <s v="E00972"/>
    <x v="65"/>
    <x v="0"/>
    <n v="38"/>
    <s v=" Dev Eng"/>
    <x v="0"/>
    <s v="Products"/>
    <d v="2022-01-27T00:00:00"/>
    <d v="2024-05-18T00:00:00"/>
    <n v="138000"/>
    <n v="0"/>
    <x v="0"/>
    <n v="2"/>
    <x v="1"/>
  </r>
  <r>
    <s v="E04562"/>
    <x v="66"/>
    <x v="0"/>
    <n v="45"/>
    <s v="Sr. Acc Rep"/>
    <x v="1"/>
    <s v="Corporate"/>
    <d v="2024-02-15T00:00:00"/>
    <m/>
    <n v="140000"/>
    <n v="0"/>
    <x v="1"/>
    <n v="1"/>
    <x v="0"/>
  </r>
  <r>
    <s v="E02802"/>
    <x v="67"/>
    <x v="0"/>
    <n v="51"/>
    <s v="Field Eng"/>
    <x v="0"/>
    <s v="Products"/>
    <d v="2024-02-10T00:00:00"/>
    <m/>
    <n v="142000"/>
    <n v="0"/>
    <x v="1"/>
    <n v="1"/>
    <x v="3"/>
  </r>
  <r>
    <s v="E01427"/>
    <x v="68"/>
    <x v="1"/>
    <n v="56"/>
    <s v="Sr. Acc Rep"/>
    <x v="1"/>
    <s v="R&amp;D"/>
    <d v="2020-12-18T00:00:00"/>
    <m/>
    <n v="144000"/>
    <n v="0.13"/>
    <x v="1"/>
    <n v="5"/>
    <x v="3"/>
  </r>
  <r>
    <s v="E04568"/>
    <x v="69"/>
    <x v="0"/>
    <n v="53"/>
    <s v="Auto Eng"/>
    <x v="0"/>
    <s v="Products"/>
    <d v="2020-01-07T00:00:00"/>
    <m/>
    <n v="146000"/>
    <n v="0.3"/>
    <x v="1"/>
    <n v="6"/>
    <x v="3"/>
  </r>
  <r>
    <s v="E04931"/>
    <x v="70"/>
    <x v="0"/>
    <n v="47"/>
    <s v="Auto Eng"/>
    <x v="0"/>
    <s v="R&amp;D"/>
    <d v="2023-10-07T00:00:00"/>
    <m/>
    <n v="148000"/>
    <n v="0"/>
    <x v="1"/>
    <n v="2"/>
    <x v="0"/>
  </r>
  <r>
    <s v="E00443"/>
    <x v="71"/>
    <x v="0"/>
    <n v="36"/>
    <s v="Sr. Manger"/>
    <x v="2"/>
    <s v="R&amp;D"/>
    <d v="2021-10-18T00:00:00"/>
    <m/>
    <n v="150000"/>
    <n v="0.08"/>
    <x v="1"/>
    <n v="4"/>
    <x v="1"/>
  </r>
  <r>
    <s v="E03890"/>
    <x v="72"/>
    <x v="0"/>
    <n v="41"/>
    <s v="Sr. Manger"/>
    <x v="3"/>
    <s v="Products"/>
    <d v="2022-08-18T00:00:00"/>
    <m/>
    <n v="152000"/>
    <n v="0.3"/>
    <x v="1"/>
    <n v="3"/>
    <x v="0"/>
  </r>
  <r>
    <s v="E01194"/>
    <x v="73"/>
    <x v="0"/>
    <n v="30"/>
    <s v="Sr. Manger"/>
    <x v="4"/>
    <s v="Corporate"/>
    <d v="2024-05-28T00:00:00"/>
    <m/>
    <n v="154000"/>
    <n v="0"/>
    <x v="1"/>
    <n v="1"/>
    <x v="1"/>
  </r>
  <r>
    <s v="E02875"/>
    <x v="74"/>
    <x v="1"/>
    <n v="30"/>
    <s v="Quality Eng"/>
    <x v="0"/>
    <s v="Manufacturing"/>
    <d v="2022-09-07T00:00:00"/>
    <m/>
    <n v="156000"/>
    <n v="0.09"/>
    <x v="1"/>
    <n v="3"/>
    <x v="1"/>
  </r>
  <r>
    <s v="E04959"/>
    <x v="75"/>
    <x v="0"/>
    <n v="38"/>
    <s v="Sr. Manger"/>
    <x v="3"/>
    <s v="Manufacturing"/>
    <d v="2024-01-03T00:00:00"/>
    <m/>
    <n v="158000"/>
    <n v="0"/>
    <x v="1"/>
    <n v="2"/>
    <x v="1"/>
  </r>
  <r>
    <s v="E03816"/>
    <x v="76"/>
    <x v="1"/>
    <n v="28"/>
    <s v="IT Coord"/>
    <x v="5"/>
    <s v="R&amp;D"/>
    <d v="2023-05-28T00:00:00"/>
    <m/>
    <n v="160000"/>
    <n v="0.16"/>
    <x v="1"/>
    <n v="2"/>
    <x v="2"/>
  </r>
  <r>
    <s v="E01261"/>
    <x v="77"/>
    <x v="0"/>
    <n v="39"/>
    <s v="Quality Eng"/>
    <x v="0"/>
    <s v="Products"/>
    <d v="2023-11-15T00:00:00"/>
    <d v="2024-08-10T00:00:00"/>
    <n v="162000"/>
    <n v="0"/>
    <x v="0"/>
    <n v="0"/>
    <x v="1"/>
  </r>
  <r>
    <s v="E03612"/>
    <x v="78"/>
    <x v="1"/>
    <n v="31"/>
    <s v="Quality Eng"/>
    <x v="0"/>
    <s v="R&amp;D"/>
    <d v="2020-01-21T00:00:00"/>
    <d v="2024-02-10T00:00:00"/>
    <n v="164000"/>
    <n v="0.1"/>
    <x v="0"/>
    <n v="4"/>
    <x v="1"/>
  </r>
  <r>
    <s v="E01388"/>
    <x v="79"/>
    <x v="1"/>
    <n v="45"/>
    <s v="Ops Eng"/>
    <x v="0"/>
    <s v="Corporate"/>
    <d v="2023-10-07T00:00:00"/>
    <m/>
    <n v="166000"/>
    <n v="0"/>
    <x v="1"/>
    <n v="2"/>
    <x v="0"/>
  </r>
  <r>
    <s v="E03875"/>
    <x v="80"/>
    <x v="1"/>
    <n v="50"/>
    <s v="IT Coord"/>
    <x v="5"/>
    <s v="Products"/>
    <d v="2024-04-19T00:00:00"/>
    <m/>
    <n v="168000"/>
    <n v="0"/>
    <x v="1"/>
    <n v="1"/>
    <x v="3"/>
  </r>
  <r>
    <s v="E04413"/>
    <x v="81"/>
    <x v="0"/>
    <n v="36"/>
    <s v="Ops Eng"/>
    <x v="0"/>
    <s v="R&amp;D"/>
    <d v="2020-09-09T00:00:00"/>
    <m/>
    <n v="170000"/>
    <n v="0"/>
    <x v="1"/>
    <n v="5"/>
    <x v="1"/>
  </r>
  <r>
    <s v="E00691"/>
    <x v="82"/>
    <x v="1"/>
    <n v="45"/>
    <s v="Ops Eng"/>
    <x v="0"/>
    <s v="Manufacturing"/>
    <d v="2023-11-03T00:00:00"/>
    <m/>
    <n v="172000"/>
    <n v="0.26"/>
    <x v="1"/>
    <n v="2"/>
    <x v="0"/>
  </r>
  <r>
    <s v="E03047"/>
    <x v="83"/>
    <x v="1"/>
    <n v="29"/>
    <s v="IT Coord"/>
    <x v="5"/>
    <s v="Manufacturing"/>
    <d v="2024-04-30T00:00:00"/>
    <m/>
    <n v="174000"/>
    <n v="0"/>
    <x v="1"/>
    <n v="1"/>
    <x v="2"/>
  </r>
  <r>
    <s v="E04903"/>
    <x v="84"/>
    <x v="1"/>
    <n v="41"/>
    <s v="Auto Eng"/>
    <x v="0"/>
    <s v="Manufacturing"/>
    <d v="2020-02-26T00:00:00"/>
    <d v="2024-02-10T00:00:00"/>
    <n v="176000"/>
    <n v="0.15"/>
    <x v="0"/>
    <n v="3"/>
    <x v="0"/>
  </r>
  <r>
    <s v="E04735"/>
    <x v="85"/>
    <x v="1"/>
    <n v="47"/>
    <s v=" Dev Eng"/>
    <x v="0"/>
    <s v="Manufacturing"/>
    <d v="2022-09-11T00:00:00"/>
    <m/>
    <n v="178000"/>
    <n v="0"/>
    <x v="1"/>
    <n v="3"/>
    <x v="0"/>
  </r>
  <r>
    <s v="E02850"/>
    <x v="86"/>
    <x v="0"/>
    <n v="38"/>
    <s v="Sr. Analyst"/>
    <x v="2"/>
    <s v="Manufacturing"/>
    <d v="2024-05-18T00:00:00"/>
    <m/>
    <n v="180000"/>
    <n v="0.21"/>
    <x v="1"/>
    <n v="1"/>
    <x v="1"/>
  </r>
  <r>
    <s v="E03583"/>
    <x v="87"/>
    <x v="0"/>
    <n v="40"/>
    <s v="Quality Eng"/>
    <x v="0"/>
    <s v="Corporate"/>
    <d v="2021-11-09T00:00:00"/>
    <m/>
    <n v="182000"/>
    <n v="0.37"/>
    <x v="1"/>
    <n v="4"/>
    <x v="0"/>
  </r>
  <r>
    <s v="E02017"/>
    <x v="88"/>
    <x v="1"/>
    <n v="45"/>
    <s v="Ops Eng"/>
    <x v="0"/>
    <s v="Products"/>
    <d v="2020-05-12T00:00:00"/>
    <d v="2024-02-10T00:00:00"/>
    <n v="184000"/>
    <n v="0.15"/>
    <x v="0"/>
    <n v="3"/>
    <x v="0"/>
  </r>
  <r>
    <s v="E01642"/>
    <x v="89"/>
    <x v="1"/>
    <n v="26"/>
    <s v="Field Eng"/>
    <x v="0"/>
    <s v="Manufacturing"/>
    <d v="2022-09-11T00:00:00"/>
    <m/>
    <n v="186000"/>
    <n v="0.14000000000000001"/>
    <x v="1"/>
    <n v="3"/>
    <x v="2"/>
  </r>
  <r>
    <s v="E04379"/>
    <x v="90"/>
    <x v="1"/>
    <n v="35"/>
    <s v="Sr. Analyst"/>
    <x v="4"/>
    <s v="R&amp;D"/>
    <d v="2022-10-23T00:00:00"/>
    <m/>
    <n v="188000"/>
    <n v="0"/>
    <x v="1"/>
    <n v="3"/>
    <x v="1"/>
  </r>
  <r>
    <s v="E04131"/>
    <x v="91"/>
    <x v="1"/>
    <n v="29"/>
    <s v="Net Admin"/>
    <x v="5"/>
    <s v="Manufacturing"/>
    <d v="2024-08-23T00:00:00"/>
    <m/>
    <n v="190000"/>
    <n v="0"/>
    <x v="1"/>
    <n v="1"/>
    <x v="2"/>
  </r>
  <r>
    <s v="E02872"/>
    <x v="92"/>
    <x v="0"/>
    <n v="35"/>
    <s v="Sr. Analyst"/>
    <x v="3"/>
    <s v="Products"/>
    <d v="2023-11-07T00:00:00"/>
    <m/>
    <n v="192000"/>
    <n v="7.0000000000000007E-2"/>
    <x v="1"/>
    <n v="2"/>
    <x v="1"/>
  </r>
  <r>
    <s v="E02331"/>
    <x v="93"/>
    <x v="1"/>
    <n v="27"/>
    <s v=" Dev Eng"/>
    <x v="0"/>
    <s v="R&amp;D"/>
    <d v="2023-10-07T00:00:00"/>
    <m/>
    <n v="194000"/>
    <n v="0"/>
    <x v="1"/>
    <n v="2"/>
    <x v="2"/>
  </r>
  <r>
    <s v="E00417"/>
    <x v="94"/>
    <x v="0"/>
    <n v="26"/>
    <s v="Net Admin"/>
    <x v="5"/>
    <s v="R&amp;D"/>
    <d v="2022-04-26T00:00:00"/>
    <m/>
    <n v="196000"/>
    <n v="0"/>
    <x v="1"/>
    <n v="3"/>
    <x v="2"/>
  </r>
  <r>
    <s v="E04267"/>
    <x v="95"/>
    <x v="0"/>
    <n v="27"/>
    <s v="Field Eng"/>
    <x v="0"/>
    <s v="Corporate"/>
    <d v="2020-02-28T00:00:00"/>
    <d v="2024-02-10T00:00:00"/>
    <n v="198000"/>
    <n v="0"/>
    <x v="0"/>
    <n v="3"/>
    <x v="2"/>
  </r>
  <r>
    <s v="E03061"/>
    <x v="96"/>
    <x v="0"/>
    <n v="30"/>
    <s v="Auto Eng"/>
    <x v="0"/>
    <s v="Corporate"/>
    <d v="2020-10-12T00:00:00"/>
    <m/>
    <n v="200000"/>
    <n v="0.1"/>
    <x v="1"/>
    <n v="5"/>
    <x v="1"/>
  </r>
  <r>
    <s v="E00013"/>
    <x v="97"/>
    <x v="0"/>
    <n v="36"/>
    <s v=" Dev Eng"/>
    <x v="0"/>
    <s v="Products"/>
    <d v="2022-01-27T00:00:00"/>
    <m/>
    <n v="202000"/>
    <n v="0"/>
    <x v="1"/>
    <n v="4"/>
    <x v="1"/>
  </r>
  <r>
    <s v="E04265"/>
    <x v="98"/>
    <x v="0"/>
    <n v="45"/>
    <s v="Sr. Acc Rep"/>
    <x v="1"/>
    <s v="Corporate"/>
    <d v="2024-02-15T00:00:00"/>
    <m/>
    <n v="204000"/>
    <n v="0"/>
    <x v="1"/>
    <n v="1"/>
    <x v="0"/>
  </r>
  <r>
    <s v="E04769"/>
    <x v="99"/>
    <x v="0"/>
    <n v="37"/>
    <s v="Field Eng"/>
    <x v="0"/>
    <s v="Products"/>
    <d v="2024-02-10T00:00:00"/>
    <m/>
    <n v="206000"/>
    <n v="0"/>
    <x v="1"/>
    <n v="1"/>
    <x v="1"/>
  </r>
  <r>
    <s v="E03042"/>
    <x v="100"/>
    <x v="0"/>
    <n v="38"/>
    <s v="Sr. Acc Rep"/>
    <x v="1"/>
    <s v="R&amp;D"/>
    <d v="2020-12-18T00:00:00"/>
    <m/>
    <n v="208000"/>
    <n v="0"/>
    <x v="1"/>
    <n v="5"/>
    <x v="1"/>
  </r>
  <r>
    <s v="E00527"/>
    <x v="101"/>
    <x v="1"/>
    <n v="45"/>
    <s v="Auto Eng"/>
    <x v="0"/>
    <s v="Products"/>
    <d v="2020-01-07T00:00:00"/>
    <m/>
    <n v="210000"/>
    <n v="0"/>
    <x v="1"/>
    <n v="6"/>
    <x v="0"/>
  </r>
  <r>
    <s v="E01095"/>
    <x v="102"/>
    <x v="0"/>
    <n v="51"/>
    <s v="Auto Eng"/>
    <x v="0"/>
    <s v="R&amp;D"/>
    <d v="2023-10-07T00:00:00"/>
    <m/>
    <n v="212000"/>
    <n v="0.33"/>
    <x v="1"/>
    <n v="2"/>
    <x v="3"/>
  </r>
  <r>
    <s v="E03131"/>
    <x v="103"/>
    <x v="1"/>
    <n v="56"/>
    <s v="Sr. Manger"/>
    <x v="2"/>
    <s v="R&amp;D"/>
    <d v="2021-10-18T00:00:00"/>
    <d v="2023-01-05T00:00:00"/>
    <n v="214000"/>
    <n v="0.12"/>
    <x v="0"/>
    <n v="1"/>
    <x v="3"/>
  </r>
  <r>
    <s v="E01713"/>
    <x v="104"/>
    <x v="1"/>
    <n v="53"/>
    <s v="Sr. Manger"/>
    <x v="3"/>
    <s v="Products"/>
    <d v="2022-08-18T00:00:00"/>
    <m/>
    <n v="216000"/>
    <n v="0"/>
    <x v="1"/>
    <n v="3"/>
    <x v="3"/>
  </r>
  <r>
    <s v="E00128"/>
    <x v="105"/>
    <x v="1"/>
    <n v="47"/>
    <s v="Sr. Manger"/>
    <x v="4"/>
    <s v="Corporate"/>
    <d v="2024-05-28T00:00:00"/>
    <m/>
    <n v="218000"/>
    <n v="0.28000000000000003"/>
    <x v="1"/>
    <n v="1"/>
    <x v="0"/>
  </r>
  <r>
    <s v="E03849"/>
    <x v="106"/>
    <x v="0"/>
    <n v="36"/>
    <s v="Quality Eng"/>
    <x v="0"/>
    <s v="Manufacturing"/>
    <d v="2022-09-07T00:00:00"/>
    <m/>
    <n v="220000"/>
    <n v="0"/>
    <x v="1"/>
    <n v="3"/>
    <x v="1"/>
  </r>
  <r>
    <s v="E02464"/>
    <x v="107"/>
    <x v="1"/>
    <n v="41"/>
    <s v="Sr. Manger"/>
    <x v="3"/>
    <s v="Manufacturing"/>
    <d v="2024-01-03T00:00:00"/>
    <m/>
    <n v="222000"/>
    <n v="0.4"/>
    <x v="1"/>
    <n v="2"/>
    <x v="0"/>
  </r>
  <r>
    <s v="E00306"/>
    <x v="108"/>
    <x v="0"/>
    <n v="30"/>
    <s v="IT Coord"/>
    <x v="5"/>
    <s v="R&amp;D"/>
    <d v="2023-05-28T00:00:00"/>
    <m/>
    <n v="224000"/>
    <n v="0"/>
    <x v="1"/>
    <n v="2"/>
    <x v="1"/>
  </r>
  <r>
    <s v="E03737"/>
    <x v="109"/>
    <x v="1"/>
    <n v="30"/>
    <s v="Quality Eng"/>
    <x v="0"/>
    <s v="Products"/>
    <d v="2023-11-15T00:00:00"/>
    <m/>
    <n v="226000"/>
    <n v="0.37"/>
    <x v="1"/>
    <n v="2"/>
    <x v="1"/>
  </r>
  <r>
    <s v="E02783"/>
    <x v="110"/>
    <x v="0"/>
    <n v="38"/>
    <s v="Quality Eng"/>
    <x v="0"/>
    <s v="R&amp;D"/>
    <d v="2020-01-21T00:00:00"/>
    <m/>
    <n v="228000"/>
    <n v="0.3"/>
    <x v="1"/>
    <n v="6"/>
    <x v="1"/>
  </r>
  <r>
    <s v="E02939"/>
    <x v="111"/>
    <x v="1"/>
    <n v="28"/>
    <s v="Ops Eng"/>
    <x v="0"/>
    <s v="Corporate"/>
    <d v="2023-10-07T00:00:00"/>
    <m/>
    <n v="230000"/>
    <n v="0"/>
    <x v="1"/>
    <n v="2"/>
    <x v="2"/>
  </r>
  <r>
    <s v="E02706"/>
    <x v="112"/>
    <x v="0"/>
    <n v="39"/>
    <s v="IT Coord"/>
    <x v="5"/>
    <s v="Products"/>
    <d v="2024-04-19T00:00:00"/>
    <m/>
    <n v="232000"/>
    <n v="0"/>
    <x v="1"/>
    <n v="1"/>
    <x v="1"/>
  </r>
  <r>
    <s v="E00170"/>
    <x v="113"/>
    <x v="1"/>
    <n v="31"/>
    <s v="Ops Eng"/>
    <x v="0"/>
    <s v="R&amp;D"/>
    <d v="2020-09-09T00:00:00"/>
    <m/>
    <n v="234000"/>
    <n v="0"/>
    <x v="1"/>
    <n v="5"/>
    <x v="1"/>
  </r>
  <r>
    <s v="E01425"/>
    <x v="114"/>
    <x v="1"/>
    <n v="45"/>
    <s v="Ops Eng"/>
    <x v="0"/>
    <s v="Manufacturing"/>
    <d v="2023-11-03T00:00:00"/>
    <m/>
    <n v="236000"/>
    <n v="0.3"/>
    <x v="1"/>
    <n v="2"/>
    <x v="0"/>
  </r>
  <r>
    <s v="E00130"/>
    <x v="115"/>
    <x v="0"/>
    <n v="50"/>
    <s v="IT Coord"/>
    <x v="5"/>
    <s v="Manufacturing"/>
    <d v="2024-04-30T00:00:00"/>
    <m/>
    <n v="238000"/>
    <n v="0.33"/>
    <x v="1"/>
    <n v="1"/>
    <x v="3"/>
  </r>
  <r>
    <s v="E02094"/>
    <x v="116"/>
    <x v="0"/>
    <n v="36"/>
    <s v="Auto Eng"/>
    <x v="0"/>
    <s v="Manufacturing"/>
    <d v="2020-02-26T00:00:00"/>
    <m/>
    <n v="240000"/>
    <n v="0"/>
    <x v="1"/>
    <n v="5"/>
    <x v="1"/>
  </r>
  <r>
    <s v="E03567"/>
    <x v="117"/>
    <x v="0"/>
    <n v="45"/>
    <s v=" Dev Eng"/>
    <x v="0"/>
    <s v="Manufacturing"/>
    <d v="2022-09-11T00:00:00"/>
    <m/>
    <n v="242000"/>
    <n v="0"/>
    <x v="1"/>
    <n v="3"/>
    <x v="0"/>
  </r>
  <r>
    <s v="E04682"/>
    <x v="118"/>
    <x v="1"/>
    <n v="29"/>
    <s v="Sr. Analyst"/>
    <x v="2"/>
    <s v="Manufacturing"/>
    <d v="2024-05-18T00:00:00"/>
    <m/>
    <n v="244000"/>
    <n v="0.08"/>
    <x v="1"/>
    <n v="1"/>
    <x v="2"/>
  </r>
  <r>
    <s v="E00957"/>
    <x v="119"/>
    <x v="1"/>
    <n v="41"/>
    <s v="Quality Eng"/>
    <x v="0"/>
    <s v="Corporate"/>
    <d v="2021-11-09T00:00:00"/>
    <m/>
    <n v="246000"/>
    <n v="0.14000000000000001"/>
    <x v="1"/>
    <n v="4"/>
    <x v="0"/>
  </r>
  <r>
    <s v="E04458"/>
    <x v="120"/>
    <x v="0"/>
    <n v="47"/>
    <s v="Ops Eng"/>
    <x v="0"/>
    <s v="Products"/>
    <d v="2020-05-12T00:00:00"/>
    <m/>
    <n v="248000"/>
    <n v="0"/>
    <x v="1"/>
    <n v="5"/>
    <x v="0"/>
  </r>
  <r>
    <s v="E01499"/>
    <x v="121"/>
    <x v="0"/>
    <n v="38"/>
    <s v="Field Eng"/>
    <x v="0"/>
    <s v="Manufacturing"/>
    <d v="2022-09-11T00:00:00"/>
    <m/>
    <n v="250000"/>
    <n v="0"/>
    <x v="1"/>
    <n v="3"/>
    <x v="1"/>
  </r>
  <r>
    <s v="E00521"/>
    <x v="122"/>
    <x v="0"/>
    <n v="40"/>
    <s v="Sr. Analyst"/>
    <x v="4"/>
    <s v="R&amp;D"/>
    <d v="2022-10-23T00:00:00"/>
    <m/>
    <n v="252000"/>
    <n v="0"/>
    <x v="1"/>
    <n v="3"/>
    <x v="0"/>
  </r>
  <r>
    <s v="E03717"/>
    <x v="123"/>
    <x v="1"/>
    <n v="45"/>
    <s v="Net Admin"/>
    <x v="5"/>
    <s v="Manufacturing"/>
    <d v="2024-08-23T00:00:00"/>
    <m/>
    <n v="254000"/>
    <n v="0"/>
    <x v="1"/>
    <n v="1"/>
    <x v="0"/>
  </r>
  <r>
    <s v="E01533"/>
    <x v="124"/>
    <x v="1"/>
    <n v="26"/>
    <s v="Sr. Analyst"/>
    <x v="3"/>
    <s v="Products"/>
    <d v="2023-11-07T00:00:00"/>
    <m/>
    <n v="256000"/>
    <n v="0"/>
    <x v="1"/>
    <n v="2"/>
    <x v="2"/>
  </r>
  <r>
    <s v="E04449"/>
    <x v="125"/>
    <x v="0"/>
    <n v="35"/>
    <s v=" Dev Eng"/>
    <x v="0"/>
    <s v="R&amp;D"/>
    <d v="2023-10-07T00:00:00"/>
    <m/>
    <n v="258000"/>
    <n v="0"/>
    <x v="1"/>
    <n v="2"/>
    <x v="1"/>
  </r>
  <r>
    <s v="E02855"/>
    <x v="126"/>
    <x v="1"/>
    <n v="29"/>
    <s v="Net Admin"/>
    <x v="5"/>
    <s v="R&amp;D"/>
    <d v="2022-04-26T00:00:00"/>
    <m/>
    <n v="260000"/>
    <n v="0"/>
    <x v="1"/>
    <n v="3"/>
    <x v="2"/>
  </r>
  <r>
    <s v="E00816"/>
    <x v="127"/>
    <x v="0"/>
    <n v="35"/>
    <s v="Field Eng"/>
    <x v="0"/>
    <s v="Corporate"/>
    <d v="2020-02-28T00:00:00"/>
    <m/>
    <n v="262000"/>
    <n v="0"/>
    <x v="1"/>
    <n v="5"/>
    <x v="1"/>
  </r>
  <r>
    <s v="E02283"/>
    <x v="128"/>
    <x v="0"/>
    <n v="27"/>
    <s v="Auto Eng"/>
    <x v="0"/>
    <s v="Corporate"/>
    <d v="2020-10-12T00:00:00"/>
    <m/>
    <n v="264000"/>
    <n v="0"/>
    <x v="1"/>
    <n v="5"/>
    <x v="2"/>
  </r>
  <r>
    <s v="E04888"/>
    <x v="129"/>
    <x v="0"/>
    <n v="26"/>
    <s v=" Dev Eng"/>
    <x v="0"/>
    <s v="Products"/>
    <d v="2022-01-27T00:00:00"/>
    <m/>
    <n v="266000"/>
    <n v="0.1"/>
    <x v="1"/>
    <n v="4"/>
    <x v="2"/>
  </r>
  <r>
    <s v="E03907"/>
    <x v="130"/>
    <x v="0"/>
    <n v="27"/>
    <s v="Sr. Acc Rep"/>
    <x v="1"/>
    <s v="Corporate"/>
    <d v="2024-02-15T00:00:00"/>
    <m/>
    <n v="268000"/>
    <n v="0.33"/>
    <x v="1"/>
    <n v="1"/>
    <x v="2"/>
  </r>
  <r>
    <s v="E02166"/>
    <x v="131"/>
    <x v="1"/>
    <n v="30"/>
    <s v="Field Eng"/>
    <x v="0"/>
    <s v="Products"/>
    <d v="2024-02-10T00:00:00"/>
    <m/>
    <n v="270000"/>
    <n v="0.05"/>
    <x v="1"/>
    <n v="1"/>
    <x v="1"/>
  </r>
  <r>
    <s v="E00431"/>
    <x v="132"/>
    <x v="0"/>
    <n v="36"/>
    <s v="Sr. Acc Rep"/>
    <x v="1"/>
    <s v="R&amp;D"/>
    <d v="2020-12-18T00:00:00"/>
    <d v="2023-12-13T00:00:00"/>
    <n v="272000"/>
    <n v="0"/>
    <x v="0"/>
    <n v="2"/>
    <x v="1"/>
  </r>
  <r>
    <s v="E01501"/>
    <x v="133"/>
    <x v="1"/>
    <n v="45"/>
    <s v="Auto Eng"/>
    <x v="0"/>
    <s v="Products"/>
    <d v="2020-01-07T00:00:00"/>
    <m/>
    <n v="274000"/>
    <n v="0.15"/>
    <x v="1"/>
    <n v="6"/>
    <x v="0"/>
  </r>
  <r>
    <s v="E01141"/>
    <x v="134"/>
    <x v="0"/>
    <n v="37"/>
    <s v="Auto Eng"/>
    <x v="0"/>
    <s v="R&amp;D"/>
    <d v="2023-10-07T00:00:00"/>
    <m/>
    <n v="276000"/>
    <n v="0"/>
    <x v="1"/>
    <n v="2"/>
    <x v="1"/>
  </r>
  <r>
    <s v="E02254"/>
    <x v="135"/>
    <x v="0"/>
    <n v="38"/>
    <s v="Sr. Manger"/>
    <x v="2"/>
    <s v="R&amp;D"/>
    <d v="2021-10-18T00:00:00"/>
    <m/>
    <n v="278000"/>
    <n v="0"/>
    <x v="1"/>
    <n v="4"/>
    <x v="1"/>
  </r>
  <r>
    <s v="E04504"/>
    <x v="136"/>
    <x v="1"/>
    <n v="45"/>
    <s v="Sr. Manger"/>
    <x v="3"/>
    <s v="Products"/>
    <d v="2022-08-18T00:00:00"/>
    <m/>
    <n v="280000"/>
    <n v="0"/>
    <x v="1"/>
    <n v="3"/>
    <x v="0"/>
  </r>
  <r>
    <s v="E03394"/>
    <x v="137"/>
    <x v="1"/>
    <n v="51"/>
    <s v="Sr. Manger"/>
    <x v="4"/>
    <s v="Corporate"/>
    <d v="2024-05-28T00:00:00"/>
    <m/>
    <n v="282000"/>
    <n v="0.31"/>
    <x v="1"/>
    <n v="1"/>
    <x v="3"/>
  </r>
  <r>
    <s v="E02942"/>
    <x v="138"/>
    <x v="0"/>
    <n v="56"/>
    <s v="Quality Eng"/>
    <x v="0"/>
    <s v="Manufacturing"/>
    <d v="2022-09-07T00:00:00"/>
    <m/>
    <n v="284000"/>
    <n v="0.28999999999999998"/>
    <x v="1"/>
    <n v="3"/>
    <x v="3"/>
  </r>
  <r>
    <s v="E04130"/>
    <x v="139"/>
    <x v="1"/>
    <n v="53"/>
    <s v="Sr. Manger"/>
    <x v="3"/>
    <s v="Manufacturing"/>
    <d v="2024-01-03T00:00:00"/>
    <m/>
    <n v="286000"/>
    <n v="0.15"/>
    <x v="1"/>
    <n v="2"/>
    <x v="3"/>
  </r>
  <r>
    <s v="E02848"/>
    <x v="140"/>
    <x v="0"/>
    <n v="47"/>
    <s v="IT Coord"/>
    <x v="5"/>
    <s v="R&amp;D"/>
    <d v="2023-05-28T00:00:00"/>
    <m/>
    <n v="288000"/>
    <n v="0"/>
    <x v="1"/>
    <n v="2"/>
    <x v="0"/>
  </r>
  <r>
    <s v="E00085"/>
    <x v="141"/>
    <x v="0"/>
    <n v="36"/>
    <s v="Quality Eng"/>
    <x v="0"/>
    <s v="Products"/>
    <d v="2023-11-15T00:00:00"/>
    <m/>
    <n v="290000"/>
    <n v="0.4"/>
    <x v="1"/>
    <n v="2"/>
    <x v="1"/>
  </r>
  <r>
    <s v="E03956"/>
    <x v="142"/>
    <x v="1"/>
    <n v="41"/>
    <s v="Quality Eng"/>
    <x v="0"/>
    <s v="R&amp;D"/>
    <d v="2020-01-21T00:00:00"/>
    <m/>
    <n v="292000"/>
    <n v="0.14000000000000001"/>
    <x v="1"/>
    <n v="6"/>
    <x v="0"/>
  </r>
  <r>
    <s v="E00672"/>
    <x v="143"/>
    <x v="1"/>
    <n v="30"/>
    <s v="Ops Eng"/>
    <x v="0"/>
    <s v="Corporate"/>
    <d v="2023-10-07T00:00:00"/>
    <m/>
    <n v="294000"/>
    <n v="0"/>
    <x v="1"/>
    <n v="2"/>
    <x v="1"/>
  </r>
  <r>
    <s v="E04618"/>
    <x v="144"/>
    <x v="1"/>
    <n v="30"/>
    <s v="IT Coord"/>
    <x v="5"/>
    <s v="Products"/>
    <d v="2024-04-19T00:00:00"/>
    <m/>
    <n v="296000"/>
    <n v="0"/>
    <x v="1"/>
    <n v="1"/>
    <x v="1"/>
  </r>
  <r>
    <s v="E03506"/>
    <x v="145"/>
    <x v="0"/>
    <n v="38"/>
    <s v="Ops Eng"/>
    <x v="0"/>
    <s v="R&amp;D"/>
    <d v="2020-09-09T00:00:00"/>
    <m/>
    <n v="298000"/>
    <n v="0.39"/>
    <x v="1"/>
    <n v="5"/>
    <x v="1"/>
  </r>
  <r>
    <s v="E00568"/>
    <x v="146"/>
    <x v="1"/>
    <n v="28"/>
    <s v="Ops Eng"/>
    <x v="0"/>
    <s v="Manufacturing"/>
    <d v="2023-11-03T00:00:00"/>
    <m/>
    <n v="300000"/>
    <n v="0.21"/>
    <x v="1"/>
    <n v="2"/>
    <x v="2"/>
  </r>
  <r>
    <s v="E00535"/>
    <x v="147"/>
    <x v="0"/>
    <n v="39"/>
    <s v="IT Coord"/>
    <x v="5"/>
    <s v="Manufacturing"/>
    <d v="2024-04-30T00:00:00"/>
    <m/>
    <n v="302000"/>
    <n v="0.1"/>
    <x v="1"/>
    <n v="1"/>
    <x v="1"/>
  </r>
  <r>
    <s v="E04630"/>
    <x v="148"/>
    <x v="1"/>
    <n v="31"/>
    <s v="Auto Eng"/>
    <x v="0"/>
    <s v="Manufacturing"/>
    <d v="2020-02-26T00:00:00"/>
    <m/>
    <n v="304000"/>
    <n v="0.05"/>
    <x v="1"/>
    <n v="5"/>
    <x v="1"/>
  </r>
  <r>
    <s v="E00874"/>
    <x v="149"/>
    <x v="0"/>
    <n v="45"/>
    <s v=" Dev Eng"/>
    <x v="0"/>
    <s v="Manufacturing"/>
    <d v="2022-09-11T00:00:00"/>
    <m/>
    <n v="306000"/>
    <n v="0.1"/>
    <x v="1"/>
    <n v="3"/>
    <x v="0"/>
  </r>
  <r>
    <s v="E01546"/>
    <x v="150"/>
    <x v="1"/>
    <n v="50"/>
    <s v="Sr. Analyst"/>
    <x v="2"/>
    <s v="Manufacturing"/>
    <d v="2024-05-18T00:00:00"/>
    <m/>
    <n v="308000"/>
    <n v="0.31"/>
    <x v="1"/>
    <n v="1"/>
    <x v="3"/>
  </r>
  <r>
    <s v="E00941"/>
    <x v="151"/>
    <x v="0"/>
    <n v="36"/>
    <s v="Quality Eng"/>
    <x v="0"/>
    <s v="Corporate"/>
    <d v="2021-11-09T00:00:00"/>
    <m/>
    <n v="310000"/>
    <n v="0"/>
    <x v="1"/>
    <n v="4"/>
    <x v="1"/>
  </r>
  <r>
    <s v="E03446"/>
    <x v="152"/>
    <x v="0"/>
    <n v="45"/>
    <s v="Ops Eng"/>
    <x v="0"/>
    <s v="Products"/>
    <d v="2020-05-12T00:00:00"/>
    <m/>
    <n v="312000"/>
    <n v="0.08"/>
    <x v="1"/>
    <n v="5"/>
    <x v="0"/>
  </r>
  <r>
    <s v="E01361"/>
    <x v="153"/>
    <x v="1"/>
    <n v="29"/>
    <s v="Field Eng"/>
    <x v="0"/>
    <s v="Manufacturing"/>
    <d v="2022-09-11T00:00:00"/>
    <m/>
    <n v="314000"/>
    <n v="0"/>
    <x v="1"/>
    <n v="3"/>
    <x v="2"/>
  </r>
  <r>
    <s v="E01631"/>
    <x v="154"/>
    <x v="1"/>
    <n v="41"/>
    <s v="Sr. Analyst"/>
    <x v="4"/>
    <s v="R&amp;D"/>
    <d v="2022-10-23T00:00:00"/>
    <m/>
    <n v="316000"/>
    <n v="0"/>
    <x v="1"/>
    <n v="3"/>
    <x v="0"/>
  </r>
  <r>
    <s v="E03719"/>
    <x v="155"/>
    <x v="1"/>
    <n v="47"/>
    <s v="Net Admin"/>
    <x v="5"/>
    <s v="Manufacturing"/>
    <d v="2024-08-23T00:00:00"/>
    <m/>
    <n v="318000"/>
    <n v="0"/>
    <x v="1"/>
    <n v="1"/>
    <x v="0"/>
  </r>
  <r>
    <s v="E03269"/>
    <x v="156"/>
    <x v="0"/>
    <n v="38"/>
    <s v="Sr. Analyst"/>
    <x v="3"/>
    <s v="Products"/>
    <d v="2023-11-07T00:00:00"/>
    <m/>
    <n v="320000"/>
    <n v="0"/>
    <x v="1"/>
    <n v="2"/>
    <x v="1"/>
  </r>
  <r>
    <s v="E01037"/>
    <x v="157"/>
    <x v="0"/>
    <n v="40"/>
    <s v=" Dev Eng"/>
    <x v="0"/>
    <s v="R&amp;D"/>
    <d v="2023-10-07T00:00:00"/>
    <m/>
    <n v="322000"/>
    <n v="0"/>
    <x v="1"/>
    <n v="2"/>
    <x v="0"/>
  </r>
  <r>
    <s v="E00671"/>
    <x v="158"/>
    <x v="1"/>
    <n v="45"/>
    <s v="Net Admin"/>
    <x v="5"/>
    <s v="R&amp;D"/>
    <d v="2022-04-26T00:00:00"/>
    <m/>
    <n v="324000"/>
    <n v="0"/>
    <x v="1"/>
    <n v="3"/>
    <x v="0"/>
  </r>
  <r>
    <s v="E02216"/>
    <x v="159"/>
    <x v="0"/>
    <n v="26"/>
    <s v="Field Eng"/>
    <x v="0"/>
    <s v="Corporate"/>
    <d v="2020-02-28T00:00:00"/>
    <m/>
    <n v="326000"/>
    <n v="0"/>
    <x v="1"/>
    <n v="5"/>
    <x v="2"/>
  </r>
  <r>
    <s v="E02803"/>
    <x v="160"/>
    <x v="0"/>
    <n v="35"/>
    <s v="Auto Eng"/>
    <x v="0"/>
    <s v="Corporate"/>
    <d v="2020-10-12T00:00:00"/>
    <m/>
    <n v="328000"/>
    <n v="0"/>
    <x v="1"/>
    <n v="5"/>
    <x v="1"/>
  </r>
  <r>
    <s v="E01584"/>
    <x v="161"/>
    <x v="0"/>
    <n v="29"/>
    <s v=" Dev Eng"/>
    <x v="0"/>
    <s v="Products"/>
    <d v="2022-01-27T00:00:00"/>
    <m/>
    <n v="330000"/>
    <n v="0.15"/>
    <x v="1"/>
    <n v="4"/>
    <x v="2"/>
  </r>
  <r>
    <s v="E02489"/>
    <x v="162"/>
    <x v="0"/>
    <n v="35"/>
    <s v="Sr. Acc Rep"/>
    <x v="1"/>
    <s v="Corporate"/>
    <d v="2024-02-15T00:00:00"/>
    <m/>
    <n v="332000"/>
    <n v="0"/>
    <x v="1"/>
    <n v="1"/>
    <x v="1"/>
  </r>
  <r>
    <s v="E03189"/>
    <x v="163"/>
    <x v="0"/>
    <n v="27"/>
    <s v="Field Eng"/>
    <x v="0"/>
    <s v="Products"/>
    <d v="2024-02-10T00:00:00"/>
    <m/>
    <n v="334000"/>
    <n v="0.13"/>
    <x v="1"/>
    <n v="1"/>
    <x v="2"/>
  </r>
  <r>
    <s v="E03560"/>
    <x v="164"/>
    <x v="1"/>
    <n v="26"/>
    <s v="Sr. Acc Rep"/>
    <x v="1"/>
    <s v="R&amp;D"/>
    <d v="2020-12-18T00:00:00"/>
    <m/>
    <n v="336000"/>
    <n v="0"/>
    <x v="1"/>
    <n v="5"/>
    <x v="2"/>
  </r>
  <r>
    <s v="E00769"/>
    <x v="165"/>
    <x v="0"/>
    <n v="27"/>
    <s v="Auto Eng"/>
    <x v="0"/>
    <s v="Products"/>
    <d v="2020-01-07T00:00:00"/>
    <m/>
    <n v="338000"/>
    <n v="0.1"/>
    <x v="1"/>
    <n v="6"/>
    <x v="2"/>
  </r>
  <r>
    <s v="E02791"/>
    <x v="166"/>
    <x v="1"/>
    <n v="30"/>
    <s v="Auto Eng"/>
    <x v="0"/>
    <s v="R&amp;D"/>
    <d v="2023-10-07T00:00:00"/>
    <m/>
    <n v="340000"/>
    <n v="0.3"/>
    <x v="1"/>
    <n v="2"/>
    <x v="1"/>
  </r>
  <r>
    <s v="E02333"/>
    <x v="167"/>
    <x v="0"/>
    <n v="36"/>
    <s v="Sr. Manger"/>
    <x v="2"/>
    <s v="R&amp;D"/>
    <d v="2021-10-18T00:00:00"/>
    <m/>
    <n v="342000"/>
    <n v="0"/>
    <x v="1"/>
    <n v="4"/>
    <x v="1"/>
  </r>
  <r>
    <s v="E01002"/>
    <x v="168"/>
    <x v="1"/>
    <n v="45"/>
    <s v="Sr. Manger"/>
    <x v="3"/>
    <s v="Products"/>
    <d v="2022-08-18T00:00:00"/>
    <m/>
    <n v="344000"/>
    <n v="0.06"/>
    <x v="1"/>
    <n v="3"/>
    <x v="0"/>
  </r>
  <r>
    <s v="E03520"/>
    <x v="169"/>
    <x v="0"/>
    <n v="37"/>
    <s v="Sr. Manger"/>
    <x v="4"/>
    <s v="Corporate"/>
    <d v="2024-05-28T00:00:00"/>
    <m/>
    <n v="346000"/>
    <n v="0"/>
    <x v="1"/>
    <n v="1"/>
    <x v="1"/>
  </r>
  <r>
    <s v="E00752"/>
    <x v="170"/>
    <x v="0"/>
    <n v="38"/>
    <s v="Quality Eng"/>
    <x v="0"/>
    <s v="Manufacturing"/>
    <d v="2022-09-07T00:00:00"/>
    <m/>
    <n v="348000"/>
    <n v="0.3"/>
    <x v="1"/>
    <n v="3"/>
    <x v="1"/>
  </r>
  <r>
    <s v="E00233"/>
    <x v="171"/>
    <x v="0"/>
    <n v="45"/>
    <s v="Sr. Manger"/>
    <x v="3"/>
    <s v="Manufacturing"/>
    <d v="2024-01-03T00:00:00"/>
    <m/>
    <n v="350000"/>
    <n v="0"/>
    <x v="1"/>
    <n v="2"/>
    <x v="0"/>
  </r>
  <r>
    <s v="E02639"/>
    <x v="172"/>
    <x v="1"/>
    <n v="51"/>
    <s v="IT Coord"/>
    <x v="5"/>
    <s v="R&amp;D"/>
    <d v="2023-05-28T00:00:00"/>
    <d v="2024-09-01T00:00:00"/>
    <n v="352000"/>
    <n v="0.32"/>
    <x v="0"/>
    <n v="1"/>
    <x v="3"/>
  </r>
  <r>
    <s v="E00697"/>
    <x v="173"/>
    <x v="0"/>
    <n v="56"/>
    <s v="Quality Eng"/>
    <x v="0"/>
    <s v="Products"/>
    <d v="2023-11-15T00:00:00"/>
    <m/>
    <n v="354000"/>
    <n v="0"/>
    <x v="1"/>
    <n v="2"/>
    <x v="3"/>
  </r>
  <r>
    <s v="E02183"/>
    <x v="174"/>
    <x v="0"/>
    <n v="53"/>
    <s v="Quality Eng"/>
    <x v="0"/>
    <s v="R&amp;D"/>
    <d v="2020-01-21T00:00:00"/>
    <m/>
    <n v="356000"/>
    <n v="0"/>
    <x v="1"/>
    <n v="6"/>
    <x v="3"/>
  </r>
  <r>
    <s v="E00715"/>
    <x v="175"/>
    <x v="1"/>
    <n v="47"/>
    <s v="Ops Eng"/>
    <x v="0"/>
    <s v="Corporate"/>
    <d v="2023-10-07T00:00:00"/>
    <m/>
    <n v="358000"/>
    <n v="0.39"/>
    <x v="1"/>
    <n v="2"/>
    <x v="0"/>
  </r>
  <r>
    <s v="E04288"/>
    <x v="176"/>
    <x v="0"/>
    <n v="36"/>
    <s v="IT Coord"/>
    <x v="5"/>
    <s v="Products"/>
    <d v="2024-04-19T00:00:00"/>
    <m/>
    <n v="360000"/>
    <n v="0"/>
    <x v="1"/>
    <n v="1"/>
    <x v="1"/>
  </r>
  <r>
    <s v="E02421"/>
    <x v="177"/>
    <x v="1"/>
    <n v="41"/>
    <s v="Ops Eng"/>
    <x v="0"/>
    <s v="R&amp;D"/>
    <d v="2020-09-09T00:00:00"/>
    <m/>
    <n v="362000"/>
    <n v="0.22"/>
    <x v="1"/>
    <n v="5"/>
    <x v="0"/>
  </r>
  <r>
    <s v="E00523"/>
    <x v="178"/>
    <x v="1"/>
    <n v="30"/>
    <s v="Ops Eng"/>
    <x v="0"/>
    <s v="Manufacturing"/>
    <d v="2023-11-03T00:00:00"/>
    <m/>
    <n v="364000"/>
    <n v="0"/>
    <x v="1"/>
    <n v="2"/>
    <x v="1"/>
  </r>
  <r>
    <s v="E03615"/>
    <x v="179"/>
    <x v="1"/>
    <n v="30"/>
    <s v="IT Coord"/>
    <x v="5"/>
    <s v="Manufacturing"/>
    <d v="2024-04-30T00:00:00"/>
    <m/>
    <n v="366000"/>
    <n v="0"/>
    <x v="1"/>
    <n v="1"/>
    <x v="1"/>
  </r>
  <r>
    <s v="E02761"/>
    <x v="180"/>
    <x v="0"/>
    <n v="38"/>
    <s v="Auto Eng"/>
    <x v="0"/>
    <s v="Manufacturing"/>
    <d v="2020-02-26T00:00:00"/>
    <m/>
    <n v="368000"/>
    <n v="7.0000000000000007E-2"/>
    <x v="1"/>
    <n v="5"/>
    <x v="1"/>
  </r>
  <r>
    <s v="E02121"/>
    <x v="181"/>
    <x v="1"/>
    <n v="28"/>
    <s v=" Dev Eng"/>
    <x v="0"/>
    <s v="Manufacturing"/>
    <d v="2022-09-11T00:00:00"/>
    <m/>
    <n v="370000"/>
    <n v="0"/>
    <x v="1"/>
    <n v="3"/>
    <x v="2"/>
  </r>
  <r>
    <s v="E01486"/>
    <x v="182"/>
    <x v="0"/>
    <n v="39"/>
    <s v="Sr. Analyst"/>
    <x v="2"/>
    <s v="Manufacturing"/>
    <d v="2024-05-18T00:00:00"/>
    <m/>
    <n v="372000"/>
    <n v="0.4"/>
    <x v="1"/>
    <n v="1"/>
    <x v="1"/>
  </r>
  <r>
    <s v="E00725"/>
    <x v="183"/>
    <x v="1"/>
    <n v="31"/>
    <s v="Quality Eng"/>
    <x v="0"/>
    <s v="Corporate"/>
    <d v="2021-11-09T00:00:00"/>
    <m/>
    <n v="374000"/>
    <n v="0"/>
    <x v="1"/>
    <n v="4"/>
    <x v="1"/>
  </r>
  <r>
    <s v="E03027"/>
    <x v="184"/>
    <x v="1"/>
    <n v="45"/>
    <s v="Ops Eng"/>
    <x v="0"/>
    <s v="Products"/>
    <d v="2020-05-12T00:00:00"/>
    <m/>
    <n v="376000"/>
    <n v="0.15"/>
    <x v="1"/>
    <n v="5"/>
    <x v="0"/>
  </r>
  <r>
    <s v="E03689"/>
    <x v="185"/>
    <x v="0"/>
    <n v="50"/>
    <s v="Field Eng"/>
    <x v="0"/>
    <s v="Manufacturing"/>
    <d v="2022-09-11T00:00:00"/>
    <m/>
    <n v="378000"/>
    <n v="0"/>
    <x v="1"/>
    <n v="3"/>
    <x v="3"/>
  </r>
  <r>
    <s v="E01986"/>
    <x v="186"/>
    <x v="0"/>
    <n v="36"/>
    <s v="Sr. Analyst"/>
    <x v="4"/>
    <s v="R&amp;D"/>
    <d v="2022-10-23T00:00:00"/>
    <m/>
    <n v="380000"/>
    <n v="0.05"/>
    <x v="1"/>
    <n v="3"/>
    <x v="1"/>
  </r>
  <r>
    <s v="E01286"/>
    <x v="187"/>
    <x v="1"/>
    <n v="45"/>
    <s v="Net Admin"/>
    <x v="5"/>
    <s v="Manufacturing"/>
    <d v="2024-08-23T00:00:00"/>
    <m/>
    <n v="382000"/>
    <n v="0"/>
    <x v="1"/>
    <n v="1"/>
    <x v="0"/>
  </r>
  <r>
    <s v="E01409"/>
    <x v="188"/>
    <x v="1"/>
    <n v="29"/>
    <s v="Sr. Analyst"/>
    <x v="3"/>
    <s v="Products"/>
    <d v="2023-11-07T00:00:00"/>
    <m/>
    <n v="384000"/>
    <n v="0"/>
    <x v="1"/>
    <n v="2"/>
    <x v="2"/>
  </r>
  <r>
    <s v="E00626"/>
    <x v="189"/>
    <x v="1"/>
    <n v="41"/>
    <s v=" Dev Eng"/>
    <x v="0"/>
    <s v="R&amp;D"/>
    <d v="2023-10-07T00:00:00"/>
    <m/>
    <n v="386000"/>
    <n v="0"/>
    <x v="1"/>
    <n v="2"/>
    <x v="0"/>
  </r>
  <r>
    <s v="E04342"/>
    <x v="190"/>
    <x v="0"/>
    <n v="47"/>
    <s v="Net Admin"/>
    <x v="5"/>
    <s v="R&amp;D"/>
    <d v="2022-04-26T00:00:00"/>
    <m/>
    <n v="388000"/>
    <n v="0.37"/>
    <x v="1"/>
    <n v="3"/>
    <x v="0"/>
  </r>
  <r>
    <s v="E03904"/>
    <x v="191"/>
    <x v="1"/>
    <n v="46"/>
    <s v="Field Eng"/>
    <x v="0"/>
    <s v="Corporate"/>
    <d v="2020-02-28T00:00:00"/>
    <m/>
    <n v="390000"/>
    <n v="0"/>
    <x v="1"/>
    <n v="5"/>
    <x v="0"/>
  </r>
  <r>
    <s v="E01291"/>
    <x v="192"/>
    <x v="1"/>
    <n v="46"/>
    <s v="Auto Eng"/>
    <x v="0"/>
    <s v="Corporate"/>
    <d v="2020-10-12T00:00:00"/>
    <m/>
    <n v="392000"/>
    <n v="0"/>
    <x v="1"/>
    <n v="5"/>
    <x v="0"/>
  </r>
  <r>
    <s v="E00917"/>
    <x v="193"/>
    <x v="0"/>
    <n v="45"/>
    <s v=" Dev Eng"/>
    <x v="0"/>
    <s v="Products"/>
    <d v="2022-01-27T00:00:00"/>
    <m/>
    <n v="394000"/>
    <n v="0.36"/>
    <x v="1"/>
    <n v="4"/>
    <x v="0"/>
  </r>
  <r>
    <s v="E01484"/>
    <x v="194"/>
    <x v="0"/>
    <n v="26"/>
    <s v="Sr. Acc Rep"/>
    <x v="1"/>
    <s v="Corporate"/>
    <d v="2024-02-15T00:00:00"/>
    <m/>
    <n v="396000"/>
    <n v="0"/>
    <x v="1"/>
    <n v="1"/>
    <x v="2"/>
  </r>
  <r>
    <s v="E03864"/>
    <x v="195"/>
    <x v="0"/>
    <n v="35"/>
    <s v="Field Eng"/>
    <x v="0"/>
    <s v="Products"/>
    <d v="2024-02-10T00:00:00"/>
    <m/>
    <n v="398000"/>
    <n v="0"/>
    <x v="1"/>
    <n v="1"/>
    <x v="1"/>
  </r>
  <r>
    <s v="E00488"/>
    <x v="196"/>
    <x v="1"/>
    <n v="29"/>
    <s v="Sr. Acc Rep"/>
    <x v="1"/>
    <s v="R&amp;D"/>
    <d v="2020-12-18T00:00:00"/>
    <m/>
    <n v="400000"/>
    <n v="0"/>
    <x v="1"/>
    <n v="5"/>
    <x v="2"/>
  </r>
  <r>
    <s v="E02227"/>
    <x v="197"/>
    <x v="0"/>
    <n v="35"/>
    <s v="Auto Eng"/>
    <x v="0"/>
    <s v="Products"/>
    <d v="2020-01-07T00:00:00"/>
    <m/>
    <n v="402000"/>
    <n v="0"/>
    <x v="1"/>
    <n v="6"/>
    <x v="1"/>
  </r>
  <r>
    <s v="E04802"/>
    <x v="198"/>
    <x v="1"/>
    <n v="27"/>
    <s v="Auto Eng"/>
    <x v="0"/>
    <s v="R&amp;D"/>
    <d v="2023-10-07T00:00:00"/>
    <m/>
    <n v="404000"/>
    <n v="0"/>
    <x v="1"/>
    <n v="2"/>
    <x v="2"/>
  </r>
  <r>
    <s v="E01970"/>
    <x v="199"/>
    <x v="0"/>
    <n v="26"/>
    <s v="Sr. Manger"/>
    <x v="2"/>
    <s v="R&amp;D"/>
    <d v="2021-10-18T00:00:00"/>
    <m/>
    <n v="406000"/>
    <n v="0.19"/>
    <x v="1"/>
    <n v="4"/>
    <x v="2"/>
  </r>
  <r>
    <s v="E02813"/>
    <x v="200"/>
    <x v="1"/>
    <n v="27"/>
    <s v="Sr. Manger"/>
    <x v="3"/>
    <s v="Products"/>
    <d v="2022-08-18T00:00:00"/>
    <d v="2024-01-15T00:00:00"/>
    <n v="408000"/>
    <n v="0.15"/>
    <x v="0"/>
    <n v="1"/>
    <x v="2"/>
  </r>
  <r>
    <s v="E02031"/>
    <x v="201"/>
    <x v="1"/>
    <n v="30"/>
    <s v="Sr. Manger"/>
    <x v="4"/>
    <s v="Corporate"/>
    <d v="2024-05-28T00:00:00"/>
    <m/>
    <n v="410000"/>
    <n v="0"/>
    <x v="1"/>
    <n v="1"/>
    <x v="1"/>
  </r>
  <r>
    <s v="E03252"/>
    <x v="202"/>
    <x v="1"/>
    <n v="46"/>
    <s v="Quality Eng"/>
    <x v="0"/>
    <s v="Manufacturing"/>
    <d v="2022-09-07T00:00:00"/>
    <m/>
    <n v="412000"/>
    <n v="0.09"/>
    <x v="1"/>
    <n v="3"/>
    <x v="0"/>
  </r>
  <r>
    <s v="E04871"/>
    <x v="203"/>
    <x v="0"/>
    <n v="45"/>
    <s v="Sr. Manger"/>
    <x v="3"/>
    <s v="Manufacturing"/>
    <d v="2024-01-03T00:00:00"/>
    <m/>
    <n v="414000"/>
    <n v="0"/>
    <x v="1"/>
    <n v="2"/>
    <x v="0"/>
  </r>
  <r>
    <s v="E03547"/>
    <x v="204"/>
    <x v="1"/>
    <n v="46"/>
    <s v="IT Coord"/>
    <x v="5"/>
    <s v="R&amp;D"/>
    <d v="2023-05-28T00:00:00"/>
    <m/>
    <n v="416000"/>
    <n v="0"/>
    <x v="1"/>
    <n v="2"/>
    <x v="0"/>
  </r>
  <r>
    <s v="E04742"/>
    <x v="205"/>
    <x v="0"/>
    <n v="38"/>
    <s v="Quality Eng"/>
    <x v="0"/>
    <s v="Products"/>
    <d v="2023-11-15T00:00:00"/>
    <m/>
    <n v="418000"/>
    <n v="0.4"/>
    <x v="1"/>
    <n v="2"/>
    <x v="1"/>
  </r>
  <r>
    <s v="E01070"/>
    <x v="206"/>
    <x v="0"/>
    <n v="45"/>
    <s v="Quality Eng"/>
    <x v="0"/>
    <s v="R&amp;D"/>
    <d v="2020-01-21T00:00:00"/>
    <m/>
    <n v="420000"/>
    <n v="0.09"/>
    <x v="1"/>
    <n v="6"/>
    <x v="0"/>
  </r>
  <r>
    <s v="E04359"/>
    <x v="207"/>
    <x v="0"/>
    <n v="51"/>
    <s v="Ops Eng"/>
    <x v="0"/>
    <s v="Corporate"/>
    <d v="2023-10-07T00:00:00"/>
    <m/>
    <n v="422000"/>
    <n v="0.31"/>
    <x v="1"/>
    <n v="2"/>
    <x v="3"/>
  </r>
  <r>
    <s v="E03268"/>
    <x v="208"/>
    <x v="0"/>
    <n v="56"/>
    <s v="IT Coord"/>
    <x v="5"/>
    <s v="Products"/>
    <d v="2024-04-19T00:00:00"/>
    <m/>
    <n v="424000"/>
    <n v="0"/>
    <x v="1"/>
    <n v="1"/>
    <x v="3"/>
  </r>
  <r>
    <s v="E04035"/>
    <x v="209"/>
    <x v="0"/>
    <n v="53"/>
    <s v="Ops Eng"/>
    <x v="0"/>
    <s v="R&amp;D"/>
    <d v="2020-09-09T00:00:00"/>
    <d v="2023-05-06T00:00:00"/>
    <n v="426000"/>
    <n v="0"/>
    <x v="0"/>
    <n v="2"/>
    <x v="3"/>
  </r>
  <r>
    <s v="E01221"/>
    <x v="210"/>
    <x v="1"/>
    <n v="47"/>
    <s v="Ops Eng"/>
    <x v="0"/>
    <s v="Manufacturing"/>
    <d v="2023-11-03T00:00:00"/>
    <m/>
    <n v="428000"/>
    <n v="0"/>
    <x v="1"/>
    <n v="2"/>
    <x v="0"/>
  </r>
  <r>
    <s v="E00276"/>
    <x v="211"/>
    <x v="1"/>
    <n v="36"/>
    <s v="IT Coord"/>
    <x v="5"/>
    <s v="Manufacturing"/>
    <d v="2021-04-30T00:00:00"/>
    <d v="2023-07-17T00:00:00"/>
    <n v="430000"/>
    <n v="0.14000000000000001"/>
    <x v="0"/>
    <n v="2"/>
    <x v="1"/>
  </r>
  <r>
    <s v="E01687"/>
    <x v="212"/>
    <x v="0"/>
    <n v="41"/>
    <s v="Auto Eng"/>
    <x v="0"/>
    <s v="Manufacturing"/>
    <d v="2020-02-26T00:00:00"/>
    <m/>
    <n v="432000"/>
    <n v="0"/>
    <x v="1"/>
    <n v="5"/>
    <x v="0"/>
  </r>
  <r>
    <s v="E02844"/>
    <x v="213"/>
    <x v="1"/>
    <n v="30"/>
    <s v=" Dev Eng"/>
    <x v="0"/>
    <s v="Manufacturing"/>
    <d v="2022-09-11T00:00:00"/>
    <m/>
    <n v="434000"/>
    <n v="0.15"/>
    <x v="1"/>
    <n v="3"/>
    <x v="1"/>
  </r>
  <r>
    <s v="E01263"/>
    <x v="214"/>
    <x v="0"/>
    <n v="30"/>
    <s v="Sr. Analyst"/>
    <x v="2"/>
    <s v="Manufacturing"/>
    <d v="2024-05-18T00:00:00"/>
    <m/>
    <n v="436000"/>
    <n v="0"/>
    <x v="1"/>
    <n v="1"/>
    <x v="1"/>
  </r>
  <r>
    <s v="E00119"/>
    <x v="215"/>
    <x v="1"/>
    <n v="38"/>
    <s v="Quality Eng"/>
    <x v="0"/>
    <s v="Corporate"/>
    <d v="2021-11-09T00:00:00"/>
    <d v="2023-06-25T00:00:00"/>
    <n v="438000"/>
    <n v="0.22"/>
    <x v="0"/>
    <n v="1"/>
    <x v="1"/>
  </r>
  <r>
    <s v="E03935"/>
    <x v="216"/>
    <x v="1"/>
    <n v="31"/>
    <s v="Ops Eng"/>
    <x v="0"/>
    <s v="Products"/>
    <d v="2020-05-12T00:00:00"/>
    <m/>
    <n v="440000"/>
    <n v="0.3"/>
    <x v="1"/>
    <n v="5"/>
    <x v="1"/>
  </r>
  <r>
    <s v="E00742"/>
    <x v="217"/>
    <x v="0"/>
    <n v="39"/>
    <s v="Field Eng"/>
    <x v="0"/>
    <s v="Manufacturing"/>
    <d v="2022-09-11T00:00:00"/>
    <m/>
    <n v="442000"/>
    <n v="7.0000000000000007E-2"/>
    <x v="1"/>
    <n v="3"/>
    <x v="1"/>
  </r>
  <r>
    <s v="E02810"/>
    <x v="218"/>
    <x v="1"/>
    <n v="31"/>
    <s v="Sr. Analyst"/>
    <x v="4"/>
    <s v="R&amp;D"/>
    <d v="2022-10-23T00:00:00"/>
    <m/>
    <n v="444000"/>
    <n v="0.11"/>
    <x v="1"/>
    <n v="3"/>
    <x v="1"/>
  </r>
  <r>
    <s v="E01860"/>
    <x v="219"/>
    <x v="0"/>
    <n v="45"/>
    <s v="Net Admin"/>
    <x v="5"/>
    <s v="Manufacturing"/>
    <d v="2024-08-23T00:00:00"/>
    <m/>
    <n v="446000"/>
    <n v="0.06"/>
    <x v="1"/>
    <n v="1"/>
    <x v="0"/>
  </r>
  <r>
    <s v="E04890"/>
    <x v="220"/>
    <x v="1"/>
    <n v="50"/>
    <s v="Sr. Analyst"/>
    <x v="3"/>
    <s v="Products"/>
    <d v="2023-11-07T00:00:00"/>
    <m/>
    <n v="448000"/>
    <n v="0.12"/>
    <x v="1"/>
    <n v="2"/>
    <x v="3"/>
  </r>
  <r>
    <s v="E02285"/>
    <x v="221"/>
    <x v="1"/>
    <n v="36"/>
    <s v=" Dev Eng"/>
    <x v="0"/>
    <s v="R&amp;D"/>
    <d v="2023-10-07T00:00:00"/>
    <m/>
    <n v="450000"/>
    <n v="0.16"/>
    <x v="1"/>
    <n v="2"/>
    <x v="1"/>
  </r>
  <r>
    <s v="E00842"/>
    <x v="222"/>
    <x v="0"/>
    <n v="45"/>
    <s v="Net Admin"/>
    <x v="5"/>
    <s v="R&amp;D"/>
    <d v="2022-04-26T00:00:00"/>
    <m/>
    <n v="452000"/>
    <n v="0.35"/>
    <x v="1"/>
    <n v="3"/>
    <x v="0"/>
  </r>
  <r>
    <s v="E01271"/>
    <x v="223"/>
    <x v="1"/>
    <n v="31"/>
    <s v="Field Eng"/>
    <x v="0"/>
    <s v="Corporate"/>
    <d v="2020-02-28T00:00:00"/>
    <m/>
    <n v="454000"/>
    <n v="0.18"/>
    <x v="1"/>
    <n v="5"/>
    <x v="1"/>
  </r>
  <r>
    <s v="E01921"/>
    <x v="224"/>
    <x v="0"/>
    <n v="41"/>
    <s v="Auto Eng"/>
    <x v="0"/>
    <s v="Corporate"/>
    <d v="2020-10-12T00:00:00"/>
    <m/>
    <n v="456000"/>
    <n v="0.1"/>
    <x v="1"/>
    <n v="5"/>
    <x v="0"/>
  </r>
  <r>
    <s v="E03664"/>
    <x v="225"/>
    <x v="0"/>
    <n v="47"/>
    <s v=" Dev Eng"/>
    <x v="0"/>
    <s v="Products"/>
    <d v="2022-01-27T00:00:00"/>
    <m/>
    <n v="458000"/>
    <n v="0.11"/>
    <x v="1"/>
    <n v="4"/>
    <x v="0"/>
  </r>
  <r>
    <s v="E00813"/>
    <x v="226"/>
    <x v="0"/>
    <n v="38"/>
    <s v="Sr. Acc Rep"/>
    <x v="1"/>
    <s v="Corporate"/>
    <d v="2024-02-15T00:00:00"/>
    <m/>
    <n v="460000"/>
    <n v="0"/>
    <x v="1"/>
    <n v="1"/>
    <x v="1"/>
  </r>
  <r>
    <s v="E00870"/>
    <x v="227"/>
    <x v="0"/>
    <n v="40"/>
    <s v="Field Eng"/>
    <x v="0"/>
    <s v="Products"/>
    <d v="2024-02-10T00:00:00"/>
    <m/>
    <n v="462000"/>
    <n v="0"/>
    <x v="1"/>
    <n v="1"/>
    <x v="0"/>
  </r>
  <r>
    <s v="E04167"/>
    <x v="228"/>
    <x v="0"/>
    <n v="45"/>
    <s v="Sr. Acc Rep"/>
    <x v="1"/>
    <s v="R&amp;D"/>
    <d v="2020-12-18T00:00:00"/>
    <m/>
    <n v="464000"/>
    <n v="0"/>
    <x v="1"/>
    <n v="5"/>
    <x v="0"/>
  </r>
  <r>
    <s v="E00245"/>
    <x v="229"/>
    <x v="1"/>
    <n v="31"/>
    <s v="Auto Eng"/>
    <x v="0"/>
    <s v="Products"/>
    <d v="2020-01-07T00:00:00"/>
    <m/>
    <n v="466000"/>
    <n v="0"/>
    <x v="1"/>
    <n v="6"/>
    <x v="1"/>
  </r>
  <r>
    <s v="E00976"/>
    <x v="230"/>
    <x v="0"/>
    <n v="35"/>
    <s v="Auto Eng"/>
    <x v="0"/>
    <s v="R&amp;D"/>
    <d v="2023-10-07T00:00:00"/>
    <m/>
    <n v="468000"/>
    <n v="0.2"/>
    <x v="1"/>
    <n v="2"/>
    <x v="1"/>
  </r>
  <r>
    <s v="E04112"/>
    <x v="231"/>
    <x v="1"/>
    <n v="31"/>
    <s v="Sr. Manger"/>
    <x v="2"/>
    <s v="R&amp;D"/>
    <d v="2021-10-18T00:00:00"/>
    <m/>
    <n v="470000"/>
    <n v="0"/>
    <x v="1"/>
    <n v="4"/>
    <x v="1"/>
  </r>
  <r>
    <s v="E01807"/>
    <x v="232"/>
    <x v="0"/>
    <n v="35"/>
    <s v="Sr. Manger"/>
    <x v="3"/>
    <s v="Products"/>
    <d v="2022-08-18T00:00:00"/>
    <m/>
    <n v="472000"/>
    <n v="0"/>
    <x v="1"/>
    <n v="3"/>
    <x v="1"/>
  </r>
  <r>
    <s v="E04103"/>
    <x v="233"/>
    <x v="1"/>
    <n v="31"/>
    <s v="Sr. Manger"/>
    <x v="4"/>
    <s v="Corporate"/>
    <d v="2024-05-28T00:00:00"/>
    <m/>
    <n v="474000"/>
    <n v="0.33"/>
    <x v="1"/>
    <n v="1"/>
    <x v="1"/>
  </r>
  <r>
    <s v="E01412"/>
    <x v="234"/>
    <x v="1"/>
    <n v="31"/>
    <s v="Quality Eng"/>
    <x v="0"/>
    <s v="Manufacturing"/>
    <d v="2022-09-07T00:00:00"/>
    <m/>
    <n v="476000"/>
    <n v="0.14000000000000001"/>
    <x v="1"/>
    <n v="3"/>
    <x v="1"/>
  </r>
  <r>
    <s v="E04386"/>
    <x v="235"/>
    <x v="1"/>
    <n v="27"/>
    <s v="Sr. Manger"/>
    <x v="3"/>
    <s v="Manufacturing"/>
    <d v="2022-01-03T00:00:00"/>
    <d v="2023-06-17T00:00:00"/>
    <n v="478000"/>
    <n v="0"/>
    <x v="0"/>
    <n v="1"/>
    <x v="2"/>
  </r>
  <r>
    <s v="E01232"/>
    <x v="236"/>
    <x v="0"/>
    <n v="30"/>
    <s v="IT Coord"/>
    <x v="5"/>
    <s v="R&amp;D"/>
    <d v="2023-05-28T00:00:00"/>
    <m/>
    <n v="480000"/>
    <n v="0.38"/>
    <x v="1"/>
    <n v="2"/>
    <x v="1"/>
  </r>
  <r>
    <s v="E04572"/>
    <x v="237"/>
    <x v="1"/>
    <n v="36"/>
    <s v="Quality Eng"/>
    <x v="0"/>
    <s v="Products"/>
    <d v="2023-11-15T00:00:00"/>
    <m/>
    <n v="482000"/>
    <n v="0.3"/>
    <x v="1"/>
    <n v="2"/>
    <x v="1"/>
  </r>
  <r>
    <s v="E02747"/>
    <x v="238"/>
    <x v="0"/>
    <n v="45"/>
    <s v="Quality Eng"/>
    <x v="0"/>
    <s v="R&amp;D"/>
    <d v="2020-01-21T00:00:00"/>
    <m/>
    <n v="484000"/>
    <n v="0.31"/>
    <x v="1"/>
    <n v="6"/>
    <x v="0"/>
  </r>
  <r>
    <s v="E01064"/>
    <x v="239"/>
    <x v="1"/>
    <n v="37"/>
    <s v="Ops Eng"/>
    <x v="0"/>
    <s v="Corporate"/>
    <d v="2023-10-07T00:00:00"/>
    <m/>
    <n v="486000"/>
    <n v="0.14000000000000001"/>
    <x v="1"/>
    <n v="2"/>
    <x v="1"/>
  </r>
  <r>
    <s v="E00178"/>
    <x v="240"/>
    <x v="1"/>
    <n v="38"/>
    <s v="IT Coord"/>
    <x v="5"/>
    <s v="Products"/>
    <d v="2024-04-19T00:00:00"/>
    <m/>
    <n v="488000"/>
    <n v="0"/>
    <x v="1"/>
    <n v="1"/>
    <x v="1"/>
  </r>
  <r>
    <s v="E01091"/>
    <x v="241"/>
    <x v="0"/>
    <n v="45"/>
    <s v="Ops Eng"/>
    <x v="0"/>
    <s v="R&amp;D"/>
    <d v="2020-09-09T00:00:00"/>
    <m/>
    <n v="490000"/>
    <n v="0"/>
    <x v="1"/>
    <n v="5"/>
    <x v="0"/>
  </r>
  <r>
    <s v="E01525"/>
    <x v="242"/>
    <x v="0"/>
    <n v="51"/>
    <s v="Ops Eng"/>
    <x v="0"/>
    <s v="Manufacturing"/>
    <d v="2023-11-03T00:00:00"/>
    <m/>
    <n v="492000"/>
    <n v="0.09"/>
    <x v="1"/>
    <n v="2"/>
    <x v="3"/>
  </r>
  <r>
    <s v="E01309"/>
    <x v="243"/>
    <x v="0"/>
    <n v="56"/>
    <s v="IT Coord"/>
    <x v="5"/>
    <s v="Manufacturing"/>
    <d v="2024-04-30T00:00:00"/>
    <m/>
    <n v="494000"/>
    <n v="0.28999999999999998"/>
    <x v="1"/>
    <n v="1"/>
    <x v="3"/>
  </r>
  <r>
    <s v="E02378"/>
    <x v="244"/>
    <x v="0"/>
    <n v="53"/>
    <s v="Auto Eng"/>
    <x v="0"/>
    <s v="Manufacturing"/>
    <d v="2020-02-26T00:00:00"/>
    <m/>
    <n v="496000"/>
    <n v="0"/>
    <x v="1"/>
    <n v="5"/>
    <x v="3"/>
  </r>
  <r>
    <s v="E04127"/>
    <x v="245"/>
    <x v="0"/>
    <n v="47"/>
    <s v=" Dev Eng"/>
    <x v="0"/>
    <s v="Manufacturing"/>
    <d v="2022-09-11T00:00:00"/>
    <m/>
    <n v="498000"/>
    <n v="0.3"/>
    <x v="1"/>
    <n v="3"/>
    <x v="0"/>
  </r>
  <r>
    <s v="E02072"/>
    <x v="246"/>
    <x v="1"/>
    <n v="36"/>
    <s v="Sr. Analyst"/>
    <x v="2"/>
    <s v="Manufacturing"/>
    <d v="2024-05-18T00:00:00"/>
    <m/>
    <n v="500000"/>
    <n v="0"/>
    <x v="1"/>
    <n v="1"/>
    <x v="1"/>
  </r>
  <r>
    <s v="E02555"/>
    <x v="247"/>
    <x v="0"/>
    <n v="41"/>
    <s v="Quality Eng"/>
    <x v="0"/>
    <s v="Corporate"/>
    <d v="2021-11-09T00:00:00"/>
    <m/>
    <n v="502000"/>
    <n v="0"/>
    <x v="1"/>
    <n v="4"/>
    <x v="0"/>
  </r>
  <r>
    <s v="E00187"/>
    <x v="248"/>
    <x v="1"/>
    <n v="31"/>
    <s v="Ops Eng"/>
    <x v="0"/>
    <s v="Products"/>
    <d v="2020-05-12T00:00:00"/>
    <m/>
    <n v="504000"/>
    <n v="0.23"/>
    <x v="1"/>
    <n v="5"/>
    <x v="1"/>
  </r>
  <r>
    <s v="E04332"/>
    <x v="249"/>
    <x v="1"/>
    <n v="31"/>
    <s v="Field Eng"/>
    <x v="0"/>
    <s v="Manufacturing"/>
    <d v="2022-09-11T00:00:00"/>
    <m/>
    <n v="506000"/>
    <n v="0"/>
    <x v="1"/>
    <n v="3"/>
    <x v="1"/>
  </r>
  <r>
    <s v="E02062"/>
    <x v="250"/>
    <x v="0"/>
    <n v="38"/>
    <s v="Sr. Analyst"/>
    <x v="4"/>
    <s v="R&amp;D"/>
    <d v="2022-10-23T00:00:00"/>
    <m/>
    <n v="508000"/>
    <n v="0"/>
    <x v="1"/>
    <n v="3"/>
    <x v="1"/>
  </r>
  <r>
    <s v="E00034"/>
    <x v="251"/>
    <x v="1"/>
    <n v="31"/>
    <s v="Net Admin"/>
    <x v="5"/>
    <s v="Manufacturing"/>
    <d v="2024-08-23T00:00:00"/>
    <m/>
    <n v="510000"/>
    <n v="0.15"/>
    <x v="1"/>
    <n v="1"/>
    <x v="1"/>
  </r>
  <r>
    <s v="E00273"/>
    <x v="252"/>
    <x v="1"/>
    <n v="39"/>
    <s v="Sr. Analyst"/>
    <x v="3"/>
    <s v="Products"/>
    <d v="2023-11-07T00:00:00"/>
    <m/>
    <n v="512000"/>
    <n v="0"/>
    <x v="1"/>
    <n v="2"/>
    <x v="1"/>
  </r>
  <r>
    <s v="E00691"/>
    <x v="253"/>
    <x v="1"/>
    <n v="31"/>
    <s v=" Dev Eng"/>
    <x v="0"/>
    <s v="R&amp;D"/>
    <d v="2023-10-07T00:00:00"/>
    <m/>
    <n v="514000"/>
    <n v="0"/>
    <x v="1"/>
    <n v="2"/>
    <x v="1"/>
  </r>
  <r>
    <s v="E01403"/>
    <x v="254"/>
    <x v="0"/>
    <n v="45"/>
    <s v="Net Admin"/>
    <x v="5"/>
    <s v="R&amp;D"/>
    <d v="2022-04-26T00:00:00"/>
    <m/>
    <n v="516000"/>
    <n v="0.31"/>
    <x v="1"/>
    <n v="3"/>
    <x v="0"/>
  </r>
  <r>
    <s v="E03438"/>
    <x v="255"/>
    <x v="0"/>
    <n v="50"/>
    <s v="Field Eng"/>
    <x v="0"/>
    <s v="Corporate"/>
    <d v="2020-02-28T00:00:00"/>
    <m/>
    <n v="518000"/>
    <n v="0"/>
    <x v="1"/>
    <n v="5"/>
    <x v="3"/>
  </r>
  <r>
    <s v="E04136"/>
    <x v="256"/>
    <x v="1"/>
    <n v="36"/>
    <s v="Auto Eng"/>
    <x v="0"/>
    <s v="Corporate"/>
    <d v="2020-10-12T00:00:00"/>
    <m/>
    <n v="520000"/>
    <n v="0"/>
    <x v="1"/>
    <n v="5"/>
    <x v="1"/>
  </r>
  <r>
    <s v="E02944"/>
    <x v="257"/>
    <x v="0"/>
    <n v="45"/>
    <s v=" Dev Eng"/>
    <x v="0"/>
    <s v="Products"/>
    <d v="2022-01-27T00:00:00"/>
    <m/>
    <n v="522000"/>
    <n v="0.39"/>
    <x v="1"/>
    <n v="4"/>
    <x v="0"/>
  </r>
  <r>
    <s v="E03300"/>
    <x v="258"/>
    <x v="0"/>
    <n v="29"/>
    <s v="Sr. Acc Rep"/>
    <x v="1"/>
    <s v="Corporate"/>
    <d v="2024-02-15T00:00:00"/>
    <m/>
    <n v="524000"/>
    <n v="0"/>
    <x v="1"/>
    <n v="1"/>
    <x v="2"/>
  </r>
  <r>
    <s v="E00078"/>
    <x v="259"/>
    <x v="0"/>
    <n v="41"/>
    <s v="Field Eng"/>
    <x v="0"/>
    <s v="Products"/>
    <d v="2024-02-10T00:00:00"/>
    <m/>
    <n v="526000"/>
    <n v="0"/>
    <x v="1"/>
    <n v="1"/>
    <x v="0"/>
  </r>
  <r>
    <s v="E00825"/>
    <x v="260"/>
    <x v="0"/>
    <n v="47"/>
    <s v="Sr. Acc Rep"/>
    <x v="1"/>
    <s v="R&amp;D"/>
    <d v="2020-12-18T00:00:00"/>
    <m/>
    <n v="528000"/>
    <n v="0"/>
    <x v="1"/>
    <n v="5"/>
    <x v="0"/>
  </r>
  <r>
    <s v="E04972"/>
    <x v="261"/>
    <x v="1"/>
    <n v="38"/>
    <s v="Auto Eng"/>
    <x v="0"/>
    <s v="Products"/>
    <d v="2020-01-07T00:00:00"/>
    <m/>
    <n v="530000"/>
    <n v="0.15"/>
    <x v="1"/>
    <n v="6"/>
    <x v="1"/>
  </r>
  <r>
    <s v="E03941"/>
    <x v="262"/>
    <x v="0"/>
    <n v="40"/>
    <s v="Auto Eng"/>
    <x v="0"/>
    <s v="R&amp;D"/>
    <d v="2023-10-07T00:00:00"/>
    <m/>
    <n v="532000"/>
    <n v="0"/>
    <x v="1"/>
    <n v="2"/>
    <x v="0"/>
  </r>
  <r>
    <s v="E02148"/>
    <x v="263"/>
    <x v="0"/>
    <n v="45"/>
    <s v="Sr. Manger"/>
    <x v="2"/>
    <s v="R&amp;D"/>
    <d v="2021-10-18T00:00:00"/>
    <m/>
    <n v="534000"/>
    <n v="0.15"/>
    <x v="1"/>
    <n v="4"/>
    <x v="0"/>
  </r>
  <r>
    <s v="E02252"/>
    <x v="264"/>
    <x v="0"/>
    <n v="26"/>
    <s v="Sr. Manger"/>
    <x v="3"/>
    <s v="Products"/>
    <d v="2022-08-18T00:00:00"/>
    <d v="2024-10-11T00:00:00"/>
    <n v="536000"/>
    <n v="0"/>
    <x v="0"/>
    <n v="2"/>
    <x v="2"/>
  </r>
  <r>
    <s v="E03096"/>
    <x v="265"/>
    <x v="1"/>
    <n v="35"/>
    <s v="Sr. Manger"/>
    <x v="4"/>
    <s v="Corporate"/>
    <d v="2024-05-28T00:00:00"/>
    <m/>
    <n v="538000"/>
    <n v="0.17"/>
    <x v="1"/>
    <n v="1"/>
    <x v="1"/>
  </r>
  <r>
    <s v="E04800"/>
    <x v="266"/>
    <x v="1"/>
    <n v="31"/>
    <s v="Quality Eng"/>
    <x v="0"/>
    <s v="Manufacturing"/>
    <d v="2022-09-07T00:00:00"/>
    <m/>
    <n v="540000"/>
    <n v="0"/>
    <x v="1"/>
    <n v="3"/>
    <x v="1"/>
  </r>
  <r>
    <s v="E02838"/>
    <x v="267"/>
    <x v="1"/>
    <n v="35"/>
    <s v="Sr. Manger"/>
    <x v="3"/>
    <s v="Manufacturing"/>
    <d v="2024-01-03T00:00:00"/>
    <m/>
    <n v="542000"/>
    <n v="0.14000000000000001"/>
    <x v="1"/>
    <n v="2"/>
    <x v="1"/>
  </r>
  <r>
    <s v="E02980"/>
    <x v="268"/>
    <x v="0"/>
    <n v="27"/>
    <s v="IT Coord"/>
    <x v="5"/>
    <s v="R&amp;D"/>
    <d v="2023-05-28T00:00:00"/>
    <m/>
    <n v="544000"/>
    <n v="0.23"/>
    <x v="1"/>
    <n v="2"/>
    <x v="2"/>
  </r>
  <r>
    <s v="E04477"/>
    <x v="269"/>
    <x v="1"/>
    <n v="31"/>
    <s v="Quality Eng"/>
    <x v="0"/>
    <s v="Products"/>
    <d v="2023-11-15T00:00:00"/>
    <m/>
    <n v="546000"/>
    <n v="0"/>
    <x v="1"/>
    <n v="2"/>
    <x v="1"/>
  </r>
  <r>
    <s v="E04348"/>
    <x v="270"/>
    <x v="0"/>
    <n v="27"/>
    <s v="Quality Eng"/>
    <x v="0"/>
    <s v="R&amp;D"/>
    <d v="2020-01-21T00:00:00"/>
    <m/>
    <n v="548000"/>
    <n v="7.0000000000000007E-2"/>
    <x v="1"/>
    <n v="6"/>
    <x v="2"/>
  </r>
  <r>
    <s v="E01638"/>
    <x v="271"/>
    <x v="0"/>
    <n v="30"/>
    <s v="Ops Eng"/>
    <x v="0"/>
    <s v="Corporate"/>
    <d v="2023-10-07T00:00:00"/>
    <d v="2024-08-10T00:00:00"/>
    <n v="550000"/>
    <n v="0"/>
    <x v="0"/>
    <n v="0"/>
    <x v="1"/>
  </r>
  <r>
    <s v="E03419"/>
    <x v="272"/>
    <x v="1"/>
    <n v="36"/>
    <s v="IT Coord"/>
    <x v="5"/>
    <s v="Products"/>
    <d v="2024-04-19T00:00:00"/>
    <m/>
    <n v="552000"/>
    <n v="0"/>
    <x v="1"/>
    <n v="1"/>
    <x v="1"/>
  </r>
  <r>
    <s v="E04222"/>
    <x v="273"/>
    <x v="0"/>
    <n v="45"/>
    <s v="Ops Eng"/>
    <x v="0"/>
    <s v="R&amp;D"/>
    <d v="2020-09-09T00:00:00"/>
    <m/>
    <n v="554000"/>
    <n v="0"/>
    <x v="1"/>
    <n v="5"/>
    <x v="0"/>
  </r>
  <r>
    <s v="E04126"/>
    <x v="274"/>
    <x v="1"/>
    <n v="37"/>
    <s v="Ops Eng"/>
    <x v="0"/>
    <s v="Manufacturing"/>
    <d v="2023-11-03T00:00:00"/>
    <m/>
    <n v="556000"/>
    <n v="0"/>
    <x v="1"/>
    <n v="2"/>
    <x v="1"/>
  </r>
  <r>
    <s v="E01896"/>
    <x v="275"/>
    <x v="1"/>
    <n v="38"/>
    <s v="IT Coord"/>
    <x v="5"/>
    <s v="Manufacturing"/>
    <d v="2020-04-30T00:00:00"/>
    <d v="2023-07-27T00:00:00"/>
    <n v="558000"/>
    <n v="0.27"/>
    <x v="0"/>
    <n v="3"/>
    <x v="1"/>
  </r>
  <r>
    <s v="E03018"/>
    <x v="276"/>
    <x v="0"/>
    <n v="45"/>
    <s v="Auto Eng"/>
    <x v="0"/>
    <s v="Manufacturing"/>
    <d v="2020-02-26T00:00:00"/>
    <m/>
    <n v="560000"/>
    <n v="0"/>
    <x v="1"/>
    <n v="5"/>
    <x v="0"/>
  </r>
  <r>
    <s v="E03325"/>
    <x v="277"/>
    <x v="0"/>
    <n v="51"/>
    <s v=" Dev Eng"/>
    <x v="0"/>
    <s v="Manufacturing"/>
    <d v="2022-09-11T00:00:00"/>
    <m/>
    <n v="562000"/>
    <n v="0"/>
    <x v="1"/>
    <n v="3"/>
    <x v="3"/>
  </r>
  <r>
    <s v="E04037"/>
    <x v="278"/>
    <x v="0"/>
    <n v="56"/>
    <s v="Sr. Analyst"/>
    <x v="2"/>
    <s v="Manufacturing"/>
    <d v="2024-05-18T00:00:00"/>
    <m/>
    <n v="564000"/>
    <n v="0.15"/>
    <x v="1"/>
    <n v="1"/>
    <x v="3"/>
  </r>
  <r>
    <s v="E01902"/>
    <x v="279"/>
    <x v="0"/>
    <n v="53"/>
    <s v="Quality Eng"/>
    <x v="0"/>
    <s v="Corporate"/>
    <d v="2021-11-09T00:00:00"/>
    <m/>
    <n v="566000"/>
    <n v="0.15"/>
    <x v="1"/>
    <n v="4"/>
    <x v="3"/>
  </r>
  <r>
    <s v="E01466"/>
    <x v="280"/>
    <x v="1"/>
    <n v="47"/>
    <s v="Ops Eng"/>
    <x v="0"/>
    <s v="Products"/>
    <d v="2020-05-12T00:00:00"/>
    <m/>
    <n v="568000"/>
    <n v="0"/>
    <x v="1"/>
    <n v="5"/>
    <x v="0"/>
  </r>
  <r>
    <s v="E02038"/>
    <x v="281"/>
    <x v="1"/>
    <n v="36"/>
    <s v="Field Eng"/>
    <x v="0"/>
    <s v="Manufacturing"/>
    <d v="2022-09-11T00:00:00"/>
    <m/>
    <n v="570000"/>
    <n v="0.1"/>
    <x v="1"/>
    <n v="3"/>
    <x v="1"/>
  </r>
  <r>
    <s v="E03474"/>
    <x v="282"/>
    <x v="0"/>
    <n v="41"/>
    <s v="Sr. Analyst"/>
    <x v="4"/>
    <s v="R&amp;D"/>
    <d v="2022-10-23T00:00:00"/>
    <m/>
    <n v="572000"/>
    <n v="0"/>
    <x v="1"/>
    <n v="3"/>
    <x v="0"/>
  </r>
  <r>
    <s v="E02744"/>
    <x v="283"/>
    <x v="0"/>
    <n v="30"/>
    <s v="Net Admin"/>
    <x v="5"/>
    <s v="Manufacturing"/>
    <d v="2024-08-23T00:00:00"/>
    <m/>
    <n v="574000"/>
    <n v="0"/>
    <x v="1"/>
    <n v="1"/>
    <x v="1"/>
  </r>
  <r>
    <s v="E00702"/>
    <x v="284"/>
    <x v="1"/>
    <n v="31"/>
    <s v="Sr. Analyst"/>
    <x v="3"/>
    <s v="Products"/>
    <d v="2023-11-07T00:00:00"/>
    <m/>
    <n v="576000"/>
    <n v="0.14000000000000001"/>
    <x v="1"/>
    <n v="2"/>
    <x v="1"/>
  </r>
  <r>
    <s v="E03081"/>
    <x v="285"/>
    <x v="1"/>
    <n v="38"/>
    <s v=" Dev Eng"/>
    <x v="0"/>
    <s v="R&amp;D"/>
    <d v="2023-10-07T00:00:00"/>
    <m/>
    <n v="578000"/>
    <n v="0.15"/>
    <x v="1"/>
    <n v="2"/>
    <x v="1"/>
  </r>
  <r>
    <s v="E01281"/>
    <x v="286"/>
    <x v="1"/>
    <n v="31"/>
    <s v="Net Admin"/>
    <x v="5"/>
    <s v="R&amp;D"/>
    <d v="2022-04-26T00:00:00"/>
    <m/>
    <n v="580000"/>
    <n v="0"/>
    <x v="1"/>
    <n v="3"/>
    <x v="1"/>
  </r>
  <r>
    <s v="E04029"/>
    <x v="287"/>
    <x v="0"/>
    <n v="39"/>
    <s v="Field Eng"/>
    <x v="0"/>
    <s v="Corporate"/>
    <d v="2020-02-28T00:00:00"/>
    <m/>
    <n v="582000"/>
    <n v="0.06"/>
    <x v="1"/>
    <n v="5"/>
    <x v="1"/>
  </r>
  <r>
    <s v="E01116"/>
    <x v="288"/>
    <x v="1"/>
    <n v="31"/>
    <s v="Auto Eng"/>
    <x v="0"/>
    <s v="Corporate"/>
    <d v="2020-10-12T00:00:00"/>
    <m/>
    <n v="584000"/>
    <n v="0.1"/>
    <x v="1"/>
    <n v="5"/>
    <x v="1"/>
  </r>
  <r>
    <s v="E01753"/>
    <x v="289"/>
    <x v="0"/>
    <n v="45"/>
    <s v=" Dev Eng"/>
    <x v="0"/>
    <s v="Products"/>
    <d v="2022-01-27T00:00:00"/>
    <m/>
    <n v="586000"/>
    <n v="0.05"/>
    <x v="1"/>
    <n v="4"/>
    <x v="0"/>
  </r>
  <r>
    <s v="E04072"/>
    <x v="290"/>
    <x v="0"/>
    <n v="50"/>
    <s v="Sr. Acc Rep"/>
    <x v="1"/>
    <s v="Corporate"/>
    <d v="2024-02-15T00:00:00"/>
    <m/>
    <n v="588000"/>
    <n v="0.36"/>
    <x v="1"/>
    <n v="1"/>
    <x v="3"/>
  </r>
  <r>
    <s v="E00672"/>
    <x v="291"/>
    <x v="0"/>
    <n v="36"/>
    <s v="Field Eng"/>
    <x v="0"/>
    <s v="Products"/>
    <d v="2024-02-10T00:00:00"/>
    <m/>
    <n v="590000"/>
    <n v="0.33"/>
    <x v="1"/>
    <n v="1"/>
    <x v="1"/>
  </r>
  <r>
    <s v="E04419"/>
    <x v="292"/>
    <x v="0"/>
    <n v="45"/>
    <s v="Sr. Acc Rep"/>
    <x v="1"/>
    <s v="R&amp;D"/>
    <d v="2020-12-18T00:00:00"/>
    <m/>
    <n v="592000"/>
    <n v="0.11"/>
    <x v="1"/>
    <n v="5"/>
    <x v="0"/>
  </r>
  <r>
    <s v="E00467"/>
    <x v="293"/>
    <x v="0"/>
    <n v="29"/>
    <s v="Auto Eng"/>
    <x v="0"/>
    <s v="Products"/>
    <d v="2020-01-07T00:00:00"/>
    <d v="2023-10-07T00:00:00"/>
    <n v="594000"/>
    <n v="0"/>
    <x v="0"/>
    <n v="3"/>
    <x v="2"/>
  </r>
  <r>
    <s v="E00365"/>
    <x v="294"/>
    <x v="0"/>
    <n v="41"/>
    <s v="Auto Eng"/>
    <x v="0"/>
    <s v="R&amp;D"/>
    <d v="2023-10-07T00:00:00"/>
    <m/>
    <n v="596000"/>
    <n v="0.06"/>
    <x v="1"/>
    <n v="2"/>
    <x v="0"/>
  </r>
  <r>
    <s v="E00306"/>
    <x v="295"/>
    <x v="0"/>
    <n v="47"/>
    <s v="Sr. Manger"/>
    <x v="2"/>
    <s v="R&amp;D"/>
    <d v="2021-10-18T00:00:00"/>
    <m/>
    <n v="598000"/>
    <n v="0"/>
    <x v="1"/>
    <n v="4"/>
    <x v="0"/>
  </r>
  <r>
    <s v="E03292"/>
    <x v="296"/>
    <x v="1"/>
    <n v="38"/>
    <s v="Sr. Manger"/>
    <x v="3"/>
    <s v="Products"/>
    <d v="2022-08-18T00:00:00"/>
    <m/>
    <n v="600000"/>
    <n v="0.06"/>
    <x v="1"/>
    <n v="3"/>
    <x v="1"/>
  </r>
  <r>
    <s v="E04779"/>
    <x v="297"/>
    <x v="0"/>
    <n v="40"/>
    <s v="Sr. Manger"/>
    <x v="4"/>
    <s v="Corporate"/>
    <d v="2024-05-28T00:00:00"/>
    <m/>
    <n v="602000"/>
    <n v="0.39"/>
    <x v="1"/>
    <n v="1"/>
    <x v="0"/>
  </r>
  <r>
    <s v="E00501"/>
    <x v="298"/>
    <x v="0"/>
    <n v="45"/>
    <s v="Quality Eng"/>
    <x v="0"/>
    <s v="Manufacturing"/>
    <d v="2022-09-07T00:00:00"/>
    <m/>
    <n v="604000"/>
    <n v="0"/>
    <x v="1"/>
    <n v="3"/>
    <x v="0"/>
  </r>
  <r>
    <s v="E01132"/>
    <x v="299"/>
    <x v="1"/>
    <n v="31"/>
    <s v="Sr. Manger"/>
    <x v="3"/>
    <s v="Manufacturing"/>
    <d v="2024-01-03T00:00:00"/>
    <m/>
    <n v="606000"/>
    <n v="0"/>
    <x v="1"/>
    <n v="2"/>
    <x v="1"/>
  </r>
  <r>
    <s v="E00556"/>
    <x v="300"/>
    <x v="1"/>
    <n v="35"/>
    <s v="IT Coord"/>
    <x v="5"/>
    <s v="R&amp;D"/>
    <d v="2023-05-28T00:00:00"/>
    <d v="2024-04-19T00:00:00"/>
    <n v="608000"/>
    <n v="0.28999999999999998"/>
    <x v="0"/>
    <n v="0"/>
    <x v="1"/>
  </r>
  <r>
    <s v="E00311"/>
    <x v="301"/>
    <x v="0"/>
    <n v="29"/>
    <s v="Quality Eng"/>
    <x v="0"/>
    <s v="Products"/>
    <d v="2023-11-15T00:00:00"/>
    <m/>
    <n v="610000"/>
    <n v="0"/>
    <x v="1"/>
    <n v="2"/>
    <x v="2"/>
  </r>
  <r>
    <s v="E04567"/>
    <x v="302"/>
    <x v="1"/>
    <n v="35"/>
    <s v="Quality Eng"/>
    <x v="0"/>
    <s v="R&amp;D"/>
    <d v="2020-01-21T00:00:00"/>
    <m/>
    <n v="612000"/>
    <n v="0"/>
    <x v="1"/>
    <n v="6"/>
    <x v="1"/>
  </r>
  <r>
    <s v="E04378"/>
    <x v="303"/>
    <x v="0"/>
    <n v="27"/>
    <s v="Ops Eng"/>
    <x v="0"/>
    <s v="Corporate"/>
    <d v="2023-10-07T00:00:00"/>
    <m/>
    <n v="614000"/>
    <n v="0"/>
    <x v="1"/>
    <n v="2"/>
    <x v="2"/>
  </r>
  <r>
    <s v="E03251"/>
    <x v="304"/>
    <x v="0"/>
    <n v="26"/>
    <s v="IT Coord"/>
    <x v="5"/>
    <s v="Products"/>
    <d v="2024-04-19T00:00:00"/>
    <m/>
    <n v="616000"/>
    <n v="0.2"/>
    <x v="1"/>
    <n v="1"/>
    <x v="2"/>
  </r>
  <r>
    <s v="E03167"/>
    <x v="305"/>
    <x v="1"/>
    <n v="31"/>
    <s v="Ops Eng"/>
    <x v="0"/>
    <s v="R&amp;D"/>
    <d v="2020-09-09T00:00:00"/>
    <m/>
    <n v="618000"/>
    <n v="0.28999999999999998"/>
    <x v="1"/>
    <n v="5"/>
    <x v="1"/>
  </r>
  <r>
    <s v="E03347"/>
    <x v="306"/>
    <x v="1"/>
    <n v="31"/>
    <s v="Ops Eng"/>
    <x v="0"/>
    <s v="Manufacturing"/>
    <d v="2023-11-03T00:00:00"/>
    <m/>
    <n v="620000"/>
    <n v="0"/>
    <x v="1"/>
    <n v="2"/>
    <x v="1"/>
  </r>
  <r>
    <s v="E03908"/>
    <x v="307"/>
    <x v="1"/>
    <n v="36"/>
    <s v="IT Coord"/>
    <x v="5"/>
    <s v="Manufacturing"/>
    <d v="2024-04-30T00:00:00"/>
    <m/>
    <n v="622000"/>
    <n v="0"/>
    <x v="1"/>
    <n v="1"/>
    <x v="1"/>
  </r>
  <r>
    <s v="E01351"/>
    <x v="308"/>
    <x v="1"/>
    <n v="45"/>
    <s v="Auto Eng"/>
    <x v="0"/>
    <s v="Manufacturing"/>
    <d v="2020-02-26T00:00:00"/>
    <m/>
    <n v="624000"/>
    <n v="0"/>
    <x v="1"/>
    <n v="5"/>
    <x v="0"/>
  </r>
  <r>
    <s v="E02681"/>
    <x v="309"/>
    <x v="1"/>
    <n v="37"/>
    <s v=" Dev Eng"/>
    <x v="0"/>
    <s v="Manufacturing"/>
    <d v="2022-09-11T00:00:00"/>
    <m/>
    <n v="626000"/>
    <n v="0.22"/>
    <x v="1"/>
    <n v="3"/>
    <x v="1"/>
  </r>
  <r>
    <s v="E03807"/>
    <x v="310"/>
    <x v="0"/>
    <n v="38"/>
    <s v="Sr. Analyst"/>
    <x v="2"/>
    <s v="Manufacturing"/>
    <d v="2024-05-18T00:00:00"/>
    <m/>
    <n v="628000"/>
    <n v="7.0000000000000007E-2"/>
    <x v="1"/>
    <n v="1"/>
    <x v="1"/>
  </r>
  <r>
    <s v="E00422"/>
    <x v="311"/>
    <x v="1"/>
    <n v="45"/>
    <s v="Quality Eng"/>
    <x v="0"/>
    <s v="Corporate"/>
    <d v="2021-11-09T00:00:00"/>
    <m/>
    <n v="630000"/>
    <n v="0"/>
    <x v="1"/>
    <n v="4"/>
    <x v="0"/>
  </r>
  <r>
    <s v="E00265"/>
    <x v="312"/>
    <x v="0"/>
    <n v="51"/>
    <s v="Ops Eng"/>
    <x v="0"/>
    <s v="Products"/>
    <d v="2020-05-12T00:00:00"/>
    <m/>
    <n v="632000"/>
    <n v="0"/>
    <x v="1"/>
    <n v="5"/>
    <x v="3"/>
  </r>
  <r>
    <s v="E04601"/>
    <x v="313"/>
    <x v="0"/>
    <n v="56"/>
    <s v="Field Eng"/>
    <x v="0"/>
    <s v="Manufacturing"/>
    <d v="2022-09-11T00:00:00"/>
    <m/>
    <n v="634000"/>
    <n v="0"/>
    <x v="1"/>
    <n v="3"/>
    <x v="3"/>
  </r>
  <r>
    <s v="E04816"/>
    <x v="314"/>
    <x v="0"/>
    <n v="53"/>
    <s v="Sr. Analyst"/>
    <x v="4"/>
    <s v="R&amp;D"/>
    <d v="2022-10-23T00:00:00"/>
    <m/>
    <n v="636000"/>
    <n v="0"/>
    <x v="1"/>
    <n v="3"/>
    <x v="3"/>
  </r>
  <r>
    <s v="E02147"/>
    <x v="315"/>
    <x v="0"/>
    <n v="47"/>
    <s v="Net Admin"/>
    <x v="5"/>
    <s v="Manufacturing"/>
    <d v="2024-08-23T00:00:00"/>
    <m/>
    <n v="638000"/>
    <n v="0.05"/>
    <x v="1"/>
    <n v="1"/>
    <x v="0"/>
  </r>
  <r>
    <s v="E02914"/>
    <x v="316"/>
    <x v="1"/>
    <n v="36"/>
    <s v="Sr. Analyst"/>
    <x v="3"/>
    <s v="Products"/>
    <d v="2023-11-07T00:00:00"/>
    <m/>
    <n v="640000"/>
    <n v="0.34"/>
    <x v="1"/>
    <n v="2"/>
    <x v="1"/>
  </r>
  <r>
    <s v="E03268"/>
    <x v="317"/>
    <x v="1"/>
    <n v="41"/>
    <s v=" Dev Eng"/>
    <x v="0"/>
    <s v="R&amp;D"/>
    <d v="2023-10-07T00:00:00"/>
    <m/>
    <n v="642000"/>
    <n v="0.35"/>
    <x v="1"/>
    <n v="2"/>
    <x v="0"/>
  </r>
  <r>
    <s v="E03972"/>
    <x v="318"/>
    <x v="1"/>
    <n v="30"/>
    <s v="Net Admin"/>
    <x v="5"/>
    <s v="R&amp;D"/>
    <d v="2022-04-26T00:00:00"/>
    <d v="2024-04-30T00:00:00"/>
    <n v="644000"/>
    <n v="0"/>
    <x v="0"/>
    <n v="2"/>
    <x v="1"/>
  </r>
  <r>
    <s v="E02189"/>
    <x v="319"/>
    <x v="1"/>
    <n v="31"/>
    <s v="Field Eng"/>
    <x v="0"/>
    <s v="Corporate"/>
    <d v="2020-02-28T00:00:00"/>
    <m/>
    <n v="646000"/>
    <n v="0"/>
    <x v="1"/>
    <n v="5"/>
    <x v="1"/>
  </r>
  <r>
    <s v="E04290"/>
    <x v="320"/>
    <x v="0"/>
    <n v="38"/>
    <s v="Auto Eng"/>
    <x v="0"/>
    <s v="Corporate"/>
    <d v="2020-10-12T00:00:00"/>
    <m/>
    <n v="648000"/>
    <n v="0"/>
    <x v="1"/>
    <n v="5"/>
    <x v="1"/>
  </r>
  <r>
    <s v="E03630"/>
    <x v="321"/>
    <x v="1"/>
    <n v="31"/>
    <s v=" Dev Eng"/>
    <x v="0"/>
    <s v="Products"/>
    <d v="2022-01-27T00:00:00"/>
    <m/>
    <n v="650000"/>
    <n v="0.28000000000000003"/>
    <x v="1"/>
    <n v="4"/>
    <x v="1"/>
  </r>
  <r>
    <s v="E00432"/>
    <x v="322"/>
    <x v="0"/>
    <n v="39"/>
    <s v="Sr. Acc Rep"/>
    <x v="1"/>
    <s v="Corporate"/>
    <d v="2024-02-15T00:00:00"/>
    <m/>
    <n v="652000"/>
    <n v="0.19"/>
    <x v="1"/>
    <n v="1"/>
    <x v="1"/>
  </r>
  <r>
    <s v="E03045"/>
    <x v="323"/>
    <x v="0"/>
    <n v="31"/>
    <s v="Field Eng"/>
    <x v="0"/>
    <s v="Products"/>
    <d v="2020-01-21T00:00:00"/>
    <d v="2024-05-28T00:00:00"/>
    <n v="654000"/>
    <n v="0"/>
    <x v="0"/>
    <n v="4"/>
    <x v="1"/>
  </r>
  <r>
    <s v="E01924"/>
    <x v="324"/>
    <x v="0"/>
    <n v="45"/>
    <s v="Sr. Acc Rep"/>
    <x v="1"/>
    <s v="R&amp;D"/>
    <d v="2020-12-18T00:00:00"/>
    <m/>
    <n v="656000"/>
    <n v="0.28999999999999998"/>
    <x v="1"/>
    <n v="5"/>
    <x v="0"/>
  </r>
  <r>
    <s v="E04877"/>
    <x v="325"/>
    <x v="0"/>
    <n v="50"/>
    <s v="Auto Eng"/>
    <x v="0"/>
    <s v="Products"/>
    <d v="2020-01-07T00:00:00"/>
    <m/>
    <n v="658000"/>
    <n v="0"/>
    <x v="1"/>
    <n v="6"/>
    <x v="3"/>
  </r>
  <r>
    <s v="E02770"/>
    <x v="326"/>
    <x v="1"/>
    <n v="36"/>
    <s v="Auto Eng"/>
    <x v="0"/>
    <s v="R&amp;D"/>
    <d v="2023-10-07T00:00:00"/>
    <m/>
    <n v="660000"/>
    <n v="0"/>
    <x v="1"/>
    <n v="2"/>
    <x v="1"/>
  </r>
  <r>
    <s v="E04590"/>
    <x v="327"/>
    <x v="0"/>
    <n v="45"/>
    <s v="Sr. Manger"/>
    <x v="2"/>
    <s v="R&amp;D"/>
    <d v="2021-10-18T00:00:00"/>
    <m/>
    <n v="662000"/>
    <n v="0"/>
    <x v="1"/>
    <n v="4"/>
    <x v="0"/>
  </r>
  <r>
    <s v="E01977"/>
    <x v="328"/>
    <x v="1"/>
    <n v="31"/>
    <s v="Sr. Manger"/>
    <x v="3"/>
    <s v="Products"/>
    <d v="2022-08-18T00:00:00"/>
    <m/>
    <n v="664000"/>
    <n v="0.11"/>
    <x v="1"/>
    <n v="3"/>
    <x v="1"/>
  </r>
  <r>
    <s v="E01378"/>
    <x v="329"/>
    <x v="0"/>
    <n v="41"/>
    <s v="Sr. Manger"/>
    <x v="4"/>
    <s v="Corporate"/>
    <d v="2024-05-28T00:00:00"/>
    <m/>
    <n v="666000"/>
    <n v="0"/>
    <x v="1"/>
    <n v="1"/>
    <x v="0"/>
  </r>
  <r>
    <s v="E04224"/>
    <x v="330"/>
    <x v="1"/>
    <n v="47"/>
    <s v="Quality Eng"/>
    <x v="0"/>
    <s v="Manufacturing"/>
    <d v="2022-09-07T00:00:00"/>
    <m/>
    <n v="668000"/>
    <n v="0"/>
    <x v="1"/>
    <n v="3"/>
    <x v="0"/>
  </r>
  <r>
    <s v="E03423"/>
    <x v="331"/>
    <x v="1"/>
    <n v="38"/>
    <s v="Sr. Manger"/>
    <x v="3"/>
    <s v="Manufacturing"/>
    <d v="2024-01-03T00:00:00"/>
    <m/>
    <n v="670000"/>
    <n v="7.0000000000000007E-2"/>
    <x v="1"/>
    <n v="2"/>
    <x v="1"/>
  </r>
  <r>
    <s v="E01584"/>
    <x v="332"/>
    <x v="1"/>
    <n v="40"/>
    <s v="IT Coord"/>
    <x v="5"/>
    <s v="R&amp;D"/>
    <d v="2023-05-28T00:00:00"/>
    <m/>
    <n v="672000"/>
    <n v="0.36"/>
    <x v="1"/>
    <n v="2"/>
    <x v="0"/>
  </r>
  <r>
    <s v="E00788"/>
    <x v="333"/>
    <x v="0"/>
    <n v="45"/>
    <s v="Quality Eng"/>
    <x v="0"/>
    <s v="Products"/>
    <d v="2023-11-15T00:00:00"/>
    <m/>
    <n v="674000"/>
    <n v="0"/>
    <x v="1"/>
    <n v="2"/>
    <x v="0"/>
  </r>
  <r>
    <s v="E00207"/>
    <x v="334"/>
    <x v="0"/>
    <n v="26"/>
    <s v="Quality Eng"/>
    <x v="0"/>
    <s v="R&amp;D"/>
    <d v="2020-01-21T00:00:00"/>
    <m/>
    <n v="676000"/>
    <n v="0.32"/>
    <x v="1"/>
    <n v="6"/>
    <x v="2"/>
  </r>
  <r>
    <s v="E00834"/>
    <x v="335"/>
    <x v="0"/>
    <n v="35"/>
    <s v="Ops Eng"/>
    <x v="0"/>
    <s v="Corporate"/>
    <d v="2023-10-07T00:00:00"/>
    <m/>
    <n v="678000"/>
    <n v="0"/>
    <x v="1"/>
    <n v="2"/>
    <x v="1"/>
  </r>
  <r>
    <s v="E04571"/>
    <x v="336"/>
    <x v="0"/>
    <n v="29"/>
    <s v="IT Coord"/>
    <x v="5"/>
    <s v="Products"/>
    <d v="2024-04-19T00:00:00"/>
    <m/>
    <n v="680000"/>
    <n v="0.2"/>
    <x v="1"/>
    <n v="1"/>
    <x v="2"/>
  </r>
  <r>
    <s v="E02652"/>
    <x v="337"/>
    <x v="1"/>
    <n v="35"/>
    <s v="Ops Eng"/>
    <x v="0"/>
    <s v="R&amp;D"/>
    <d v="2020-09-09T00:00:00"/>
    <m/>
    <n v="682000"/>
    <n v="0.05"/>
    <x v="1"/>
    <n v="5"/>
    <x v="1"/>
  </r>
  <r>
    <s v="E02693"/>
    <x v="338"/>
    <x v="0"/>
    <n v="27"/>
    <s v="Ops Eng"/>
    <x v="0"/>
    <s v="Manufacturing"/>
    <d v="2023-11-03T00:00:00"/>
    <m/>
    <n v="684000"/>
    <n v="0.22"/>
    <x v="1"/>
    <n v="2"/>
    <x v="2"/>
  </r>
  <r>
    <s v="E03359"/>
    <x v="339"/>
    <x v="0"/>
    <n v="26"/>
    <s v="IT Coord"/>
    <x v="5"/>
    <s v="Manufacturing"/>
    <d v="2024-04-30T00:00:00"/>
    <m/>
    <n v="686000"/>
    <n v="0"/>
    <x v="1"/>
    <n v="1"/>
    <x v="2"/>
  </r>
  <r>
    <s v="E00399"/>
    <x v="340"/>
    <x v="0"/>
    <n v="27"/>
    <s v="Auto Eng"/>
    <x v="0"/>
    <s v="Manufacturing"/>
    <d v="2020-02-26T00:00:00"/>
    <m/>
    <n v="688000"/>
    <n v="0"/>
    <x v="1"/>
    <n v="5"/>
    <x v="2"/>
  </r>
  <r>
    <s v="E02971"/>
    <x v="341"/>
    <x v="0"/>
    <n v="30"/>
    <s v=" Dev Eng"/>
    <x v="0"/>
    <s v="Manufacturing"/>
    <d v="2022-09-11T00:00:00"/>
    <m/>
    <n v="690000"/>
    <n v="0"/>
    <x v="1"/>
    <n v="3"/>
    <x v="1"/>
  </r>
  <r>
    <s v="E03327"/>
    <x v="342"/>
    <x v="0"/>
    <n v="36"/>
    <s v="Sr. Analyst"/>
    <x v="2"/>
    <s v="Manufacturing"/>
    <d v="2024-05-18T00:00:00"/>
    <m/>
    <n v="692000"/>
    <n v="0.12"/>
    <x v="1"/>
    <n v="1"/>
    <x v="1"/>
  </r>
  <r>
    <s v="E00900"/>
    <x v="343"/>
    <x v="1"/>
    <n v="45"/>
    <s v="Quality Eng"/>
    <x v="0"/>
    <s v="Corporate"/>
    <d v="2021-11-09T00:00:00"/>
    <m/>
    <n v="694000"/>
    <n v="0"/>
    <x v="1"/>
    <n v="4"/>
    <x v="0"/>
  </r>
  <r>
    <s v="E00836"/>
    <x v="344"/>
    <x v="0"/>
    <n v="37"/>
    <s v="Ops Eng"/>
    <x v="0"/>
    <s v="Products"/>
    <d v="2020-05-12T00:00:00"/>
    <m/>
    <n v="696000"/>
    <n v="0"/>
    <x v="1"/>
    <n v="5"/>
    <x v="1"/>
  </r>
  <r>
    <s v="E03854"/>
    <x v="345"/>
    <x v="1"/>
    <n v="38"/>
    <s v="Field Eng"/>
    <x v="0"/>
    <s v="Manufacturing"/>
    <d v="2022-09-11T00:00:00"/>
    <m/>
    <n v="698000"/>
    <n v="0.1"/>
    <x v="1"/>
    <n v="3"/>
    <x v="1"/>
  </r>
  <r>
    <s v="E04729"/>
    <x v="346"/>
    <x v="1"/>
    <n v="45"/>
    <s v="Sr. Analyst"/>
    <x v="4"/>
    <s v="R&amp;D"/>
    <d v="2022-10-23T00:00:00"/>
    <m/>
    <n v="700000"/>
    <n v="0.32"/>
    <x v="1"/>
    <n v="3"/>
    <x v="0"/>
  </r>
  <r>
    <s v="E00360"/>
    <x v="347"/>
    <x v="0"/>
    <n v="51"/>
    <s v="Net Admin"/>
    <x v="5"/>
    <s v="Manufacturing"/>
    <d v="2024-08-23T00:00:00"/>
    <m/>
    <n v="702000"/>
    <n v="0.28999999999999998"/>
    <x v="1"/>
    <n v="1"/>
    <x v="3"/>
  </r>
  <r>
    <s v="E02284"/>
    <x v="348"/>
    <x v="0"/>
    <n v="56"/>
    <s v="Sr. Analyst"/>
    <x v="3"/>
    <s v="Products"/>
    <d v="2023-11-07T00:00:00"/>
    <m/>
    <n v="704000"/>
    <n v="0"/>
    <x v="1"/>
    <n v="2"/>
    <x v="3"/>
  </r>
  <r>
    <s v="E00181"/>
    <x v="349"/>
    <x v="0"/>
    <n v="53"/>
    <s v=" Dev Eng"/>
    <x v="0"/>
    <s v="R&amp;D"/>
    <d v="2020-01-07T00:00:00"/>
    <d v="2024-02-10T00:00:00"/>
    <n v="706000"/>
    <n v="0"/>
    <x v="0"/>
    <n v="4"/>
    <x v="3"/>
  </r>
  <r>
    <s v="E04168"/>
    <x v="350"/>
    <x v="1"/>
    <n v="47"/>
    <s v="Net Admin"/>
    <x v="5"/>
    <s v="R&amp;D"/>
    <d v="2022-04-26T00:00:00"/>
    <m/>
    <n v="708000"/>
    <n v="0.09"/>
    <x v="1"/>
    <n v="3"/>
    <x v="0"/>
  </r>
  <r>
    <s v="E02861"/>
    <x v="351"/>
    <x v="1"/>
    <n v="36"/>
    <s v="Field Eng"/>
    <x v="0"/>
    <s v="Corporate"/>
    <d v="2020-02-28T00:00:00"/>
    <m/>
    <n v="710000"/>
    <n v="0"/>
    <x v="1"/>
    <n v="5"/>
    <x v="1"/>
  </r>
  <r>
    <s v="E01357"/>
    <x v="352"/>
    <x v="0"/>
    <n v="41"/>
    <s v="Auto Eng"/>
    <x v="0"/>
    <s v="Corporate"/>
    <d v="2020-10-12T00:00:00"/>
    <m/>
    <n v="712000"/>
    <n v="0.13"/>
    <x v="1"/>
    <n v="5"/>
    <x v="0"/>
  </r>
  <r>
    <s v="E04387"/>
    <x v="353"/>
    <x v="0"/>
    <n v="30"/>
    <s v=" Dev Eng"/>
    <x v="0"/>
    <s v="Products"/>
    <d v="2022-01-27T00:00:00"/>
    <m/>
    <n v="714000"/>
    <n v="0"/>
    <x v="1"/>
    <n v="4"/>
    <x v="1"/>
  </r>
  <r>
    <s v="E03090"/>
    <x v="354"/>
    <x v="0"/>
    <n v="30"/>
    <s v="Sr. Acc Rep"/>
    <x v="1"/>
    <s v="Corporate"/>
    <d v="2024-02-15T00:00:00"/>
    <m/>
    <n v="716000"/>
    <n v="0"/>
    <x v="1"/>
    <n v="1"/>
    <x v="1"/>
  </r>
  <r>
    <s v="E03591"/>
    <x v="355"/>
    <x v="0"/>
    <n v="38"/>
    <s v="Field Eng"/>
    <x v="0"/>
    <s v="Products"/>
    <d v="2024-02-10T00:00:00"/>
    <m/>
    <n v="718000"/>
    <n v="0.19"/>
    <x v="1"/>
    <n v="1"/>
    <x v="1"/>
  </r>
  <r>
    <s v="E03328"/>
    <x v="356"/>
    <x v="0"/>
    <n v="28"/>
    <s v="Sr. Acc Rep"/>
    <x v="1"/>
    <s v="R&amp;D"/>
    <d v="2020-12-18T00:00:00"/>
    <m/>
    <n v="720000"/>
    <n v="7.0000000000000007E-2"/>
    <x v="1"/>
    <n v="5"/>
    <x v="2"/>
  </r>
  <r>
    <s v="E04937"/>
    <x v="357"/>
    <x v="0"/>
    <n v="39"/>
    <s v="Auto Eng"/>
    <x v="0"/>
    <s v="Products"/>
    <d v="2020-01-07T00:00:00"/>
    <m/>
    <n v="722000"/>
    <n v="7.0000000000000007E-2"/>
    <x v="1"/>
    <n v="6"/>
    <x v="1"/>
  </r>
  <r>
    <s v="E00515"/>
    <x v="358"/>
    <x v="0"/>
    <n v="31"/>
    <s v="Auto Eng"/>
    <x v="0"/>
    <s v="R&amp;D"/>
    <d v="2023-10-07T00:00:00"/>
    <m/>
    <n v="724000"/>
    <n v="0.1"/>
    <x v="1"/>
    <n v="2"/>
    <x v="1"/>
  </r>
  <r>
    <s v="E01241"/>
    <x v="359"/>
    <x v="1"/>
    <n v="45"/>
    <s v="Sr. Manger"/>
    <x v="2"/>
    <s v="R&amp;D"/>
    <d v="2021-10-18T00:00:00"/>
    <m/>
    <n v="726000"/>
    <n v="0.1"/>
    <x v="1"/>
    <n v="4"/>
    <x v="0"/>
  </r>
  <r>
    <s v="E03255"/>
    <x v="360"/>
    <x v="0"/>
    <n v="50"/>
    <s v="Sr. Manger"/>
    <x v="3"/>
    <s v="Products"/>
    <d v="2022-08-18T00:00:00"/>
    <m/>
    <n v="728000"/>
    <n v="0"/>
    <x v="1"/>
    <n v="3"/>
    <x v="3"/>
  </r>
  <r>
    <s v="E01711"/>
    <x v="361"/>
    <x v="1"/>
    <n v="36"/>
    <s v="Sr. Manger"/>
    <x v="4"/>
    <s v="Corporate"/>
    <d v="2024-05-28T00:00:00"/>
    <m/>
    <n v="730000"/>
    <n v="0"/>
    <x v="1"/>
    <n v="1"/>
    <x v="1"/>
  </r>
  <r>
    <s v="E00500"/>
    <x v="362"/>
    <x v="0"/>
    <n v="45"/>
    <s v="Quality Eng"/>
    <x v="0"/>
    <s v="Manufacturing"/>
    <d v="2022-09-07T00:00:00"/>
    <m/>
    <n v="732000"/>
    <n v="0.25"/>
    <x v="1"/>
    <n v="3"/>
    <x v="0"/>
  </r>
  <r>
    <s v="E04972"/>
    <x v="363"/>
    <x v="0"/>
    <n v="29"/>
    <s v="Sr. Manger"/>
    <x v="3"/>
    <s v="Manufacturing"/>
    <d v="2024-01-03T00:00:00"/>
    <m/>
    <n v="734000"/>
    <n v="0.13"/>
    <x v="1"/>
    <n v="2"/>
    <x v="2"/>
  </r>
  <r>
    <s v="E02728"/>
    <x v="364"/>
    <x v="1"/>
    <n v="41"/>
    <s v="IT Coord"/>
    <x v="5"/>
    <s v="R&amp;D"/>
    <d v="2023-05-28T00:00:00"/>
    <m/>
    <n v="736000"/>
    <n v="0"/>
    <x v="1"/>
    <n v="2"/>
    <x v="0"/>
  </r>
  <r>
    <s v="E04749"/>
    <x v="365"/>
    <x v="1"/>
    <n v="47"/>
    <s v="Quality Eng"/>
    <x v="0"/>
    <s v="Products"/>
    <d v="2023-11-15T00:00:00"/>
    <m/>
    <n v="738000"/>
    <n v="0.12"/>
    <x v="1"/>
    <n v="2"/>
    <x v="0"/>
  </r>
  <r>
    <s v="E02023"/>
    <x v="366"/>
    <x v="0"/>
    <n v="38"/>
    <s v="Quality Eng"/>
    <x v="0"/>
    <s v="R&amp;D"/>
    <d v="2020-01-21T00:00:00"/>
    <m/>
    <n v="740000"/>
    <n v="0"/>
    <x v="1"/>
    <n v="6"/>
    <x v="1"/>
  </r>
  <r>
    <s v="E03166"/>
    <x v="367"/>
    <x v="1"/>
    <n v="40"/>
    <s v="Ops Eng"/>
    <x v="0"/>
    <s v="Corporate"/>
    <d v="2023-10-07T00:00:00"/>
    <m/>
    <n v="742000"/>
    <n v="0"/>
    <x v="1"/>
    <n v="2"/>
    <x v="0"/>
  </r>
  <r>
    <s v="E02599"/>
    <x v="368"/>
    <x v="0"/>
    <n v="45"/>
    <s v="IT Coord"/>
    <x v="5"/>
    <s v="Products"/>
    <d v="2024-04-19T00:00:00"/>
    <m/>
    <n v="744000"/>
    <n v="0.34"/>
    <x v="1"/>
    <n v="1"/>
    <x v="0"/>
  </r>
  <r>
    <s v="E01014"/>
    <x v="369"/>
    <x v="0"/>
    <n v="26"/>
    <s v="Ops Eng"/>
    <x v="0"/>
    <s v="R&amp;D"/>
    <d v="2020-09-09T00:00:00"/>
    <m/>
    <n v="746000"/>
    <n v="0.21"/>
    <x v="1"/>
    <n v="5"/>
    <x v="2"/>
  </r>
  <r>
    <s v="E04529"/>
    <x v="370"/>
    <x v="1"/>
    <n v="35"/>
    <s v="Ops Eng"/>
    <x v="0"/>
    <s v="Manufacturing"/>
    <d v="2023-11-03T00:00:00"/>
    <m/>
    <n v="748000"/>
    <n v="0"/>
    <x v="1"/>
    <n v="2"/>
    <x v="1"/>
  </r>
  <r>
    <s v="E00085"/>
    <x v="371"/>
    <x v="0"/>
    <n v="29"/>
    <s v="IT Coord"/>
    <x v="5"/>
    <s v="Manufacturing"/>
    <d v="2024-04-30T00:00:00"/>
    <m/>
    <n v="750000"/>
    <n v="0.11"/>
    <x v="1"/>
    <n v="1"/>
    <x v="2"/>
  </r>
  <r>
    <s v="E00632"/>
    <x v="372"/>
    <x v="1"/>
    <n v="35"/>
    <s v="Auto Eng"/>
    <x v="0"/>
    <s v="Manufacturing"/>
    <d v="2020-02-26T00:00:00"/>
    <m/>
    <n v="752000"/>
    <n v="0"/>
    <x v="1"/>
    <n v="5"/>
    <x v="1"/>
  </r>
  <r>
    <s v="E02108"/>
    <x v="373"/>
    <x v="0"/>
    <n v="27"/>
    <s v=" Dev Eng"/>
    <x v="0"/>
    <s v="Manufacturing"/>
    <d v="2022-09-11T00:00:00"/>
    <d v="2023-11-07T00:00:00"/>
    <n v="754000"/>
    <n v="0.13"/>
    <x v="0"/>
    <n v="1"/>
    <x v="2"/>
  </r>
  <r>
    <s v="E03802"/>
    <x v="374"/>
    <x v="0"/>
    <n v="31"/>
    <s v="Sr. Analyst"/>
    <x v="2"/>
    <s v="Manufacturing"/>
    <d v="2024-05-18T00:00:00"/>
    <m/>
    <n v="756000"/>
    <n v="0.21"/>
    <x v="1"/>
    <n v="1"/>
    <x v="1"/>
  </r>
  <r>
    <s v="E03685"/>
    <x v="375"/>
    <x v="0"/>
    <n v="31"/>
    <s v="Quality Eng"/>
    <x v="0"/>
    <s v="Corporate"/>
    <d v="2021-11-09T00:00:00"/>
    <m/>
    <n v="758000"/>
    <n v="0"/>
    <x v="1"/>
    <n v="4"/>
    <x v="1"/>
  </r>
  <r>
    <s v="E01089"/>
    <x v="376"/>
    <x v="0"/>
    <n v="31"/>
    <s v="Ops Eng"/>
    <x v="0"/>
    <s v="Products"/>
    <d v="2020-05-12T00:00:00"/>
    <m/>
    <n v="760000"/>
    <n v="0"/>
    <x v="1"/>
    <n v="5"/>
    <x v="1"/>
  </r>
  <r>
    <s v="E03988"/>
    <x v="377"/>
    <x v="0"/>
    <n v="36"/>
    <s v="Field Eng"/>
    <x v="0"/>
    <s v="Manufacturing"/>
    <d v="2022-09-11T00:00:00"/>
    <m/>
    <n v="762000"/>
    <n v="0"/>
    <x v="1"/>
    <n v="3"/>
    <x v="1"/>
  </r>
  <r>
    <s v="E00401"/>
    <x v="378"/>
    <x v="1"/>
    <n v="45"/>
    <s v="Sr. Analyst"/>
    <x v="4"/>
    <s v="R&amp;D"/>
    <d v="2022-10-23T00:00:00"/>
    <m/>
    <n v="764000"/>
    <n v="0"/>
    <x v="1"/>
    <n v="3"/>
    <x v="0"/>
  </r>
  <r>
    <s v="E03429"/>
    <x v="379"/>
    <x v="1"/>
    <n v="37"/>
    <s v="Net Admin"/>
    <x v="5"/>
    <s v="Manufacturing"/>
    <d v="2024-08-23T00:00:00"/>
    <m/>
    <n v="766000"/>
    <n v="0"/>
    <x v="1"/>
    <n v="1"/>
    <x v="1"/>
  </r>
  <r>
    <s v="E02417"/>
    <x v="380"/>
    <x v="0"/>
    <n v="38"/>
    <s v="Sr. Analyst"/>
    <x v="3"/>
    <s v="Products"/>
    <d v="2023-11-07T00:00:00"/>
    <m/>
    <n v="768000"/>
    <n v="0"/>
    <x v="1"/>
    <n v="2"/>
    <x v="1"/>
  </r>
  <r>
    <s v="E00359"/>
    <x v="381"/>
    <x v="1"/>
    <n v="45"/>
    <s v=" Dev Eng"/>
    <x v="0"/>
    <s v="R&amp;D"/>
    <d v="2023-10-07T00:00:00"/>
    <m/>
    <n v="770000"/>
    <n v="0"/>
    <x v="1"/>
    <n v="2"/>
    <x v="0"/>
  </r>
  <r>
    <s v="E02044"/>
    <x v="382"/>
    <x v="0"/>
    <n v="51"/>
    <s v="Net Admin"/>
    <x v="5"/>
    <s v="R&amp;D"/>
    <d v="2022-04-26T00:00:00"/>
    <m/>
    <n v="772000"/>
    <n v="0"/>
    <x v="1"/>
    <n v="3"/>
    <x v="3"/>
  </r>
  <r>
    <s v="E01479"/>
    <x v="383"/>
    <x v="0"/>
    <n v="56"/>
    <s v="Field Eng"/>
    <x v="0"/>
    <s v="Corporate"/>
    <d v="2020-02-28T00:00:00"/>
    <m/>
    <n v="774000"/>
    <n v="0"/>
    <x v="1"/>
    <n v="5"/>
    <x v="3"/>
  </r>
  <r>
    <s v="E04962"/>
    <x v="384"/>
    <x v="0"/>
    <n v="53"/>
    <s v="Auto Eng"/>
    <x v="0"/>
    <s v="Corporate"/>
    <d v="2020-10-12T00:00:00"/>
    <d v="2024-05-28T00:00:00"/>
    <n v="776000"/>
    <n v="0.4"/>
    <x v="0"/>
    <n v="3"/>
    <x v="3"/>
  </r>
  <r>
    <s v="E02769"/>
    <x v="385"/>
    <x v="0"/>
    <n v="47"/>
    <s v=" Dev Eng"/>
    <x v="0"/>
    <s v="Products"/>
    <d v="2022-01-27T00:00:00"/>
    <m/>
    <n v="778000"/>
    <n v="0"/>
    <x v="1"/>
    <n v="4"/>
    <x v="0"/>
  </r>
  <r>
    <s v="E03893"/>
    <x v="386"/>
    <x v="1"/>
    <n v="36"/>
    <s v="Sr. Acc Rep"/>
    <x v="1"/>
    <s v="Corporate"/>
    <d v="2024-02-15T00:00:00"/>
    <m/>
    <n v="780000"/>
    <n v="0.34"/>
    <x v="1"/>
    <n v="1"/>
    <x v="1"/>
  </r>
  <r>
    <s v="E00553"/>
    <x v="387"/>
    <x v="0"/>
    <n v="41"/>
    <s v="Field Eng"/>
    <x v="0"/>
    <s v="Products"/>
    <d v="2022-02-10T00:00:00"/>
    <d v="2024-05-28T00:00:00"/>
    <n v="782000"/>
    <n v="0"/>
    <x v="0"/>
    <n v="2"/>
    <x v="0"/>
  </r>
  <r>
    <s v="E03540"/>
    <x v="388"/>
    <x v="0"/>
    <n v="31"/>
    <s v="Sr. Acc Rep"/>
    <x v="1"/>
    <s v="R&amp;D"/>
    <d v="2020-12-18T00:00:00"/>
    <m/>
    <n v="784000"/>
    <n v="0"/>
    <x v="1"/>
    <n v="5"/>
    <x v="1"/>
  </r>
  <r>
    <s v="E02769"/>
    <x v="389"/>
    <x v="0"/>
    <n v="31"/>
    <s v="Auto Eng"/>
    <x v="0"/>
    <s v="Products"/>
    <d v="2020-01-07T00:00:00"/>
    <m/>
    <n v="786000"/>
    <n v="0.11"/>
    <x v="1"/>
    <n v="6"/>
    <x v="1"/>
  </r>
  <r>
    <s v="E03277"/>
    <x v="390"/>
    <x v="0"/>
    <n v="38"/>
    <s v="Auto Eng"/>
    <x v="0"/>
    <s v="R&amp;D"/>
    <d v="2023-10-07T00:00:00"/>
    <m/>
    <n v="788000"/>
    <n v="0.12"/>
    <x v="1"/>
    <n v="2"/>
    <x v="1"/>
  </r>
  <r>
    <s v="E04194"/>
    <x v="391"/>
    <x v="0"/>
    <n v="31"/>
    <s v="Sr. Manger"/>
    <x v="2"/>
    <s v="R&amp;D"/>
    <d v="2021-10-18T00:00:00"/>
    <m/>
    <n v="790000"/>
    <n v="0.23"/>
    <x v="1"/>
    <n v="4"/>
    <x v="1"/>
  </r>
  <r>
    <s v="E01807"/>
    <x v="392"/>
    <x v="0"/>
    <n v="39"/>
    <s v="Sr. Manger"/>
    <x v="3"/>
    <s v="Products"/>
    <d v="2022-08-18T00:00:00"/>
    <m/>
    <n v="792000"/>
    <n v="0"/>
    <x v="1"/>
    <n v="3"/>
    <x v="1"/>
  </r>
  <r>
    <s v="E01762"/>
    <x v="393"/>
    <x v="1"/>
    <n v="31"/>
    <s v="Sr. Manger"/>
    <x v="4"/>
    <s v="Corporate"/>
    <d v="2024-05-28T00:00:00"/>
    <m/>
    <n v="794000"/>
    <n v="0.06"/>
    <x v="1"/>
    <n v="1"/>
    <x v="1"/>
  </r>
  <r>
    <s v="E02632"/>
    <x v="394"/>
    <x v="0"/>
    <n v="45"/>
    <s v="Quality Eng"/>
    <x v="0"/>
    <s v="Manufacturing"/>
    <d v="2022-09-07T00:00:00"/>
    <m/>
    <n v="796000"/>
    <n v="0"/>
    <x v="1"/>
    <n v="3"/>
    <x v="0"/>
  </r>
  <r>
    <s v="E04226"/>
    <x v="395"/>
    <x v="1"/>
    <n v="50"/>
    <s v="Sr. Manger"/>
    <x v="3"/>
    <s v="Manufacturing"/>
    <d v="2024-01-03T00:00:00"/>
    <m/>
    <n v="798000"/>
    <n v="0"/>
    <x v="1"/>
    <n v="2"/>
    <x v="3"/>
  </r>
  <r>
    <s v="E04101"/>
    <x v="396"/>
    <x v="1"/>
    <n v="36"/>
    <s v="IT Coord"/>
    <x v="5"/>
    <s v="R&amp;D"/>
    <d v="2023-05-28T00:00:00"/>
    <m/>
    <n v="800000"/>
    <n v="0.27"/>
    <x v="1"/>
    <n v="2"/>
    <x v="1"/>
  </r>
  <r>
    <s v="E01981"/>
    <x v="397"/>
    <x v="1"/>
    <n v="45"/>
    <s v="Quality Eng"/>
    <x v="0"/>
    <s v="Products"/>
    <d v="2023-11-15T00:00:00"/>
    <m/>
    <n v="802000"/>
    <n v="0"/>
    <x v="1"/>
    <n v="2"/>
    <x v="0"/>
  </r>
  <r>
    <s v="E02534"/>
    <x v="398"/>
    <x v="0"/>
    <n v="31"/>
    <s v="Quality Eng"/>
    <x v="0"/>
    <s v="R&amp;D"/>
    <d v="2020-01-21T00:00:00"/>
    <m/>
    <n v="804000"/>
    <n v="0.12"/>
    <x v="1"/>
    <n v="6"/>
    <x v="1"/>
  </r>
  <r>
    <s v="E01238"/>
    <x v="399"/>
    <x v="1"/>
    <n v="41"/>
    <s v="Ops Eng"/>
    <x v="0"/>
    <s v="Corporate"/>
    <d v="2023-10-07T00:00:00"/>
    <m/>
    <n v="806000"/>
    <n v="0.15"/>
    <x v="1"/>
    <n v="2"/>
    <x v="0"/>
  </r>
  <r>
    <s v="E01118"/>
    <x v="400"/>
    <x v="0"/>
    <n v="47"/>
    <s v="IT Coord"/>
    <x v="5"/>
    <s v="Products"/>
    <d v="2024-04-19T00:00:00"/>
    <m/>
    <n v="808000"/>
    <n v="0.08"/>
    <x v="1"/>
    <n v="1"/>
    <x v="0"/>
  </r>
  <r>
    <s v="E04041"/>
    <x v="401"/>
    <x v="1"/>
    <n v="38"/>
    <s v="Ops Eng"/>
    <x v="0"/>
    <s v="R&amp;D"/>
    <d v="2020-09-09T00:00:00"/>
    <m/>
    <n v="810000"/>
    <n v="0"/>
    <x v="1"/>
    <n v="5"/>
    <x v="1"/>
  </r>
  <r>
    <s v="E04308"/>
    <x v="402"/>
    <x v="1"/>
    <n v="40"/>
    <s v="Ops Eng"/>
    <x v="0"/>
    <s v="Manufacturing"/>
    <d v="2023-11-03T00:00:00"/>
    <m/>
    <n v="812000"/>
    <n v="0"/>
    <x v="1"/>
    <n v="2"/>
    <x v="0"/>
  </r>
  <r>
    <s v="E01052"/>
    <x v="403"/>
    <x v="1"/>
    <n v="45"/>
    <s v="IT Coord"/>
    <x v="5"/>
    <s v="Manufacturing"/>
    <d v="2022-04-30T00:00:00"/>
    <d v="2023-11-07T00:00:00"/>
    <n v="814000"/>
    <n v="0.12"/>
    <x v="0"/>
    <n v="1"/>
    <x v="0"/>
  </r>
  <r>
    <s v="E04165"/>
    <x v="404"/>
    <x v="0"/>
    <n v="31"/>
    <s v="Auto Eng"/>
    <x v="0"/>
    <s v="Manufacturing"/>
    <d v="2020-02-26T00:00:00"/>
    <m/>
    <n v="816000"/>
    <n v="0.14000000000000001"/>
    <x v="1"/>
    <n v="5"/>
    <x v="1"/>
  </r>
  <r>
    <s v="E02295"/>
    <x v="405"/>
    <x v="1"/>
    <n v="35"/>
    <s v=" Dev Eng"/>
    <x v="0"/>
    <s v="Manufacturing"/>
    <d v="2022-09-11T00:00:00"/>
    <m/>
    <n v="818000"/>
    <n v="0"/>
    <x v="1"/>
    <n v="3"/>
    <x v="1"/>
  </r>
  <r>
    <s v="E04546"/>
    <x v="406"/>
    <x v="0"/>
    <n v="31"/>
    <s v="Sr. Analyst"/>
    <x v="2"/>
    <s v="Manufacturing"/>
    <d v="2024-05-18T00:00:00"/>
    <m/>
    <n v="820000"/>
    <n v="0"/>
    <x v="1"/>
    <n v="1"/>
    <x v="1"/>
  </r>
  <r>
    <s v="E04217"/>
    <x v="407"/>
    <x v="0"/>
    <n v="35"/>
    <s v="Quality Eng"/>
    <x v="0"/>
    <s v="Corporate"/>
    <d v="2021-11-09T00:00:00"/>
    <m/>
    <n v="822000"/>
    <n v="0"/>
    <x v="1"/>
    <n v="4"/>
    <x v="1"/>
  </r>
  <r>
    <s v="E00650"/>
    <x v="408"/>
    <x v="0"/>
    <n v="31"/>
    <s v="Ops Eng"/>
    <x v="0"/>
    <s v="Products"/>
    <d v="2020-05-12T00:00:00"/>
    <m/>
    <n v="824000"/>
    <n v="0"/>
    <x v="1"/>
    <n v="5"/>
    <x v="1"/>
  </r>
  <r>
    <s v="E00344"/>
    <x v="409"/>
    <x v="0"/>
    <n v="31"/>
    <s v="Field Eng"/>
    <x v="0"/>
    <s v="Manufacturing"/>
    <d v="2022-09-11T00:00:00"/>
    <m/>
    <n v="826000"/>
    <n v="0.23"/>
    <x v="1"/>
    <n v="3"/>
    <x v="1"/>
  </r>
  <r>
    <s v="E04645"/>
    <x v="410"/>
    <x v="0"/>
    <n v="31"/>
    <s v="Sr. Analyst"/>
    <x v="4"/>
    <s v="R&amp;D"/>
    <d v="2022-10-23T00:00:00"/>
    <m/>
    <n v="828000"/>
    <n v="0.36"/>
    <x v="1"/>
    <n v="3"/>
    <x v="1"/>
  </r>
  <r>
    <s v="E03880"/>
    <x v="411"/>
    <x v="0"/>
    <n v="31"/>
    <s v="Net Admin"/>
    <x v="5"/>
    <s v="Manufacturing"/>
    <d v="2024-08-23T00:00:00"/>
    <m/>
    <n v="830000"/>
    <n v="0"/>
    <x v="1"/>
    <n v="1"/>
    <x v="1"/>
  </r>
  <r>
    <s v="E02730"/>
    <x v="412"/>
    <x v="0"/>
    <n v="36"/>
    <s v="Sr. Analyst"/>
    <x v="3"/>
    <s v="Products"/>
    <d v="2023-11-07T00:00:00"/>
    <m/>
    <n v="832000"/>
    <n v="0"/>
    <x v="1"/>
    <n v="2"/>
    <x v="1"/>
  </r>
  <r>
    <s v="E04517"/>
    <x v="413"/>
    <x v="1"/>
    <n v="45"/>
    <s v=" Dev Eng"/>
    <x v="0"/>
    <s v="R&amp;D"/>
    <d v="2023-10-07T00:00:00"/>
    <m/>
    <n v="834000"/>
    <n v="0.09"/>
    <x v="1"/>
    <n v="2"/>
    <x v="0"/>
  </r>
  <r>
    <s v="E00965"/>
    <x v="414"/>
    <x v="1"/>
    <n v="37"/>
    <s v="Net Admin"/>
    <x v="5"/>
    <s v="R&amp;D"/>
    <d v="2022-04-26T00:00:00"/>
    <m/>
    <n v="836000"/>
    <n v="0.09"/>
    <x v="1"/>
    <n v="3"/>
    <x v="1"/>
  </r>
  <r>
    <s v="E04639"/>
    <x v="415"/>
    <x v="1"/>
    <n v="38"/>
    <s v="Field Eng"/>
    <x v="0"/>
    <s v="Corporate"/>
    <d v="2020-02-28T00:00:00"/>
    <m/>
    <n v="838000"/>
    <n v="0"/>
    <x v="1"/>
    <n v="5"/>
    <x v="1"/>
  </r>
  <r>
    <s v="E00465"/>
    <x v="416"/>
    <x v="1"/>
    <n v="45"/>
    <s v="Auto Eng"/>
    <x v="0"/>
    <s v="Corporate"/>
    <d v="2020-10-12T00:00:00"/>
    <m/>
    <n v="840000"/>
    <n v="0"/>
    <x v="1"/>
    <n v="5"/>
    <x v="0"/>
  </r>
  <r>
    <s v="E03058"/>
    <x v="417"/>
    <x v="0"/>
    <n v="51"/>
    <s v=" Dev Eng"/>
    <x v="0"/>
    <s v="Products"/>
    <d v="2022-01-27T00:00:00"/>
    <m/>
    <n v="842000"/>
    <n v="0.36"/>
    <x v="1"/>
    <n v="4"/>
    <x v="3"/>
  </r>
  <r>
    <s v="E02337"/>
    <x v="418"/>
    <x v="0"/>
    <n v="56"/>
    <s v="Sr. Acc Rep"/>
    <x v="1"/>
    <s v="Corporate"/>
    <d v="2024-02-15T00:00:00"/>
    <m/>
    <n v="844000"/>
    <n v="0"/>
    <x v="1"/>
    <n v="1"/>
    <x v="3"/>
  </r>
  <r>
    <s v="E04927"/>
    <x v="419"/>
    <x v="0"/>
    <n v="53"/>
    <s v="Field Eng"/>
    <x v="0"/>
    <s v="Products"/>
    <d v="2024-02-10T00:00:00"/>
    <m/>
    <n v="846000"/>
    <n v="0"/>
    <x v="1"/>
    <n v="1"/>
    <x v="3"/>
  </r>
  <r>
    <s v="E03799"/>
    <x v="420"/>
    <x v="0"/>
    <n v="47"/>
    <s v="Sr. Acc Rep"/>
    <x v="1"/>
    <s v="R&amp;D"/>
    <d v="2020-12-18T00:00:00"/>
    <m/>
    <n v="848000"/>
    <n v="0"/>
    <x v="1"/>
    <n v="5"/>
    <x v="0"/>
  </r>
  <r>
    <s v="E04538"/>
    <x v="421"/>
    <x v="0"/>
    <n v="36"/>
    <s v="Auto Eng"/>
    <x v="0"/>
    <s v="Products"/>
    <d v="2020-01-07T00:00:00"/>
    <m/>
    <n v="850000"/>
    <n v="0"/>
    <x v="1"/>
    <n v="6"/>
    <x v="1"/>
  </r>
  <r>
    <s v="E02633"/>
    <x v="422"/>
    <x v="0"/>
    <n v="41"/>
    <s v="Auto Eng"/>
    <x v="0"/>
    <s v="R&amp;D"/>
    <d v="2023-10-07T00:00:00"/>
    <m/>
    <n v="852000"/>
    <n v="0.38"/>
    <x v="1"/>
    <n v="2"/>
    <x v="0"/>
  </r>
  <r>
    <s v="E02965"/>
    <x v="423"/>
    <x v="0"/>
    <n v="31"/>
    <s v="Sr. Manger"/>
    <x v="2"/>
    <s v="R&amp;D"/>
    <d v="2021-10-18T00:00:00"/>
    <m/>
    <n v="854000"/>
    <n v="0.15"/>
    <x v="1"/>
    <n v="4"/>
    <x v="1"/>
  </r>
  <r>
    <s v="E04345"/>
    <x v="424"/>
    <x v="0"/>
    <n v="31"/>
    <s v="Sr. Manger"/>
    <x v="3"/>
    <s v="Products"/>
    <d v="2022-08-18T00:00:00"/>
    <m/>
    <n v="856000"/>
    <n v="0.1"/>
    <x v="1"/>
    <n v="3"/>
    <x v="1"/>
  </r>
  <r>
    <s v="E02895"/>
    <x v="425"/>
    <x v="0"/>
    <n v="38"/>
    <s v="Sr. Manger"/>
    <x v="4"/>
    <s v="Corporate"/>
    <d v="2024-05-28T00:00:00"/>
    <m/>
    <n v="858000"/>
    <n v="0.15"/>
    <x v="1"/>
    <n v="1"/>
    <x v="1"/>
  </r>
  <r>
    <s v="E01132"/>
    <x v="426"/>
    <x v="0"/>
    <n v="28"/>
    <s v="Quality Eng"/>
    <x v="0"/>
    <s v="Manufacturing"/>
    <d v="2022-09-07T00:00:00"/>
    <d v="2024-04-30T00:00:00"/>
    <n v="860000"/>
    <n v="0.05"/>
    <x v="0"/>
    <n v="1"/>
    <x v="2"/>
  </r>
  <r>
    <s v="E00758"/>
    <x v="427"/>
    <x v="0"/>
    <n v="39"/>
    <s v="Sr. Manger"/>
    <x v="3"/>
    <s v="Manufacturing"/>
    <d v="2024-01-03T00:00:00"/>
    <m/>
    <n v="862000"/>
    <n v="0"/>
    <x v="1"/>
    <n v="2"/>
    <x v="1"/>
  </r>
  <r>
    <s v="E03750"/>
    <x v="428"/>
    <x v="1"/>
    <n v="31"/>
    <s v="IT Coord"/>
    <x v="5"/>
    <s v="R&amp;D"/>
    <d v="2023-05-28T00:00:00"/>
    <m/>
    <n v="864000"/>
    <n v="0.18"/>
    <x v="1"/>
    <n v="2"/>
    <x v="1"/>
  </r>
  <r>
    <s v="E00144"/>
    <x v="429"/>
    <x v="1"/>
    <n v="45"/>
    <s v="Quality Eng"/>
    <x v="0"/>
    <s v="Products"/>
    <d v="2023-11-15T00:00:00"/>
    <m/>
    <n v="866000"/>
    <n v="0"/>
    <x v="1"/>
    <n v="2"/>
    <x v="0"/>
  </r>
  <r>
    <s v="E02943"/>
    <x v="430"/>
    <x v="1"/>
    <n v="50"/>
    <s v="Quality Eng"/>
    <x v="0"/>
    <s v="R&amp;D"/>
    <d v="2020-01-21T00:00:00"/>
    <m/>
    <n v="868000"/>
    <n v="0"/>
    <x v="1"/>
    <n v="6"/>
    <x v="3"/>
  </r>
  <r>
    <s v="E03901"/>
    <x v="431"/>
    <x v="0"/>
    <n v="36"/>
    <s v="Ops Eng"/>
    <x v="0"/>
    <s v="Corporate"/>
    <d v="2023-10-07T00:00:00"/>
    <m/>
    <n v="870000"/>
    <n v="0.24"/>
    <x v="1"/>
    <n v="2"/>
    <x v="1"/>
  </r>
  <r>
    <s v="E03461"/>
    <x v="432"/>
    <x v="1"/>
    <n v="45"/>
    <s v="IT Coord"/>
    <x v="5"/>
    <s v="Products"/>
    <d v="2020-04-19T00:00:00"/>
    <d v="2023-05-28T00:00:00"/>
    <n v="872000"/>
    <n v="0"/>
    <x v="0"/>
    <n v="3"/>
    <x v="0"/>
  </r>
  <r>
    <s v="E03490"/>
    <x v="433"/>
    <x v="0"/>
    <n v="31"/>
    <s v="Ops Eng"/>
    <x v="0"/>
    <s v="R&amp;D"/>
    <d v="2020-09-09T00:00:00"/>
    <m/>
    <n v="874000"/>
    <n v="0.15"/>
    <x v="1"/>
    <n v="5"/>
    <x v="1"/>
  </r>
  <r>
    <s v="E04466"/>
    <x v="434"/>
    <x v="1"/>
    <n v="41"/>
    <s v="Ops Eng"/>
    <x v="0"/>
    <s v="Manufacturing"/>
    <d v="2023-11-03T00:00:00"/>
    <m/>
    <n v="876000"/>
    <n v="0"/>
    <x v="1"/>
    <n v="2"/>
    <x v="0"/>
  </r>
  <r>
    <s v="E03226"/>
    <x v="435"/>
    <x v="1"/>
    <n v="47"/>
    <s v="IT Coord"/>
    <x v="5"/>
    <s v="Manufacturing"/>
    <d v="2024-04-30T00:00:00"/>
    <m/>
    <n v="878000"/>
    <n v="0.38"/>
    <x v="1"/>
    <n v="1"/>
    <x v="0"/>
  </r>
  <r>
    <s v="E04607"/>
    <x v="436"/>
    <x v="1"/>
    <n v="38"/>
    <s v="Auto Eng"/>
    <x v="0"/>
    <s v="Manufacturing"/>
    <d v="2020-02-26T00:00:00"/>
    <m/>
    <n v="880000"/>
    <n v="0.3"/>
    <x v="1"/>
    <n v="5"/>
    <x v="1"/>
  </r>
  <r>
    <s v="E02678"/>
    <x v="437"/>
    <x v="1"/>
    <n v="40"/>
    <s v=" Dev Eng"/>
    <x v="0"/>
    <s v="Manufacturing"/>
    <d v="2022-09-11T00:00:00"/>
    <m/>
    <n v="882000"/>
    <n v="0.23"/>
    <x v="1"/>
    <n v="3"/>
    <x v="0"/>
  </r>
  <r>
    <s v="E02190"/>
    <x v="438"/>
    <x v="1"/>
    <n v="45"/>
    <s v="Sr. Analyst"/>
    <x v="2"/>
    <s v="Manufacturing"/>
    <d v="2024-05-18T00:00:00"/>
    <m/>
    <n v="884000"/>
    <n v="0"/>
    <x v="1"/>
    <n v="1"/>
    <x v="0"/>
  </r>
  <r>
    <s v="E00747"/>
    <x v="439"/>
    <x v="0"/>
    <n v="31"/>
    <s v="Quality Eng"/>
    <x v="0"/>
    <s v="Corporate"/>
    <d v="2021-11-09T00:00:00"/>
    <m/>
    <n v="886000"/>
    <n v="0"/>
    <x v="1"/>
    <n v="4"/>
    <x v="1"/>
  </r>
  <r>
    <s v="E00268"/>
    <x v="440"/>
    <x v="0"/>
    <n v="35"/>
    <s v="Ops Eng"/>
    <x v="0"/>
    <s v="Products"/>
    <d v="2020-05-12T00:00:00"/>
    <m/>
    <n v="888000"/>
    <n v="0.24"/>
    <x v="1"/>
    <n v="5"/>
    <x v="1"/>
  </r>
  <r>
    <s v="E01416"/>
    <x v="441"/>
    <x v="1"/>
    <n v="31"/>
    <s v="Field Eng"/>
    <x v="0"/>
    <s v="Manufacturing"/>
    <d v="2022-09-11T00:00:00"/>
    <m/>
    <n v="890000"/>
    <n v="0"/>
    <x v="1"/>
    <n v="3"/>
    <x v="1"/>
  </r>
  <r>
    <s v="E01524"/>
    <x v="442"/>
    <x v="0"/>
    <n v="35"/>
    <s v="Sr. Analyst"/>
    <x v="4"/>
    <s v="R&amp;D"/>
    <d v="2022-10-23T00:00:00"/>
    <m/>
    <n v="892000"/>
    <n v="0.08"/>
    <x v="1"/>
    <n v="3"/>
    <x v="1"/>
  </r>
  <r>
    <s v="E03849"/>
    <x v="443"/>
    <x v="1"/>
    <n v="31"/>
    <s v="Net Admin"/>
    <x v="5"/>
    <s v="Manufacturing"/>
    <d v="2024-08-23T00:00:00"/>
    <m/>
    <n v="894000"/>
    <n v="0"/>
    <x v="1"/>
    <n v="1"/>
    <x v="1"/>
  </r>
  <r>
    <s v="E02801"/>
    <x v="444"/>
    <x v="1"/>
    <n v="31"/>
    <s v="Sr. Analyst"/>
    <x v="3"/>
    <s v="Products"/>
    <d v="2023-11-07T00:00:00"/>
    <m/>
    <n v="896000"/>
    <n v="0.12"/>
    <x v="1"/>
    <n v="2"/>
    <x v="1"/>
  </r>
  <r>
    <s v="E04155"/>
    <x v="445"/>
    <x v="0"/>
    <n v="31"/>
    <s v=" Dev Eng"/>
    <x v="0"/>
    <s v="R&amp;D"/>
    <d v="2023-10-07T00:00:00"/>
    <m/>
    <n v="898000"/>
    <n v="0"/>
    <x v="1"/>
    <n v="2"/>
    <x v="1"/>
  </r>
  <r>
    <s v="E01952"/>
    <x v="446"/>
    <x v="1"/>
    <n v="31"/>
    <s v="Net Admin"/>
    <x v="5"/>
    <s v="R&amp;D"/>
    <d v="2022-04-26T00:00:00"/>
    <m/>
    <n v="900000"/>
    <n v="0"/>
    <x v="1"/>
    <n v="3"/>
    <x v="1"/>
  </r>
  <r>
    <s v="E00116"/>
    <x v="447"/>
    <x v="1"/>
    <n v="36"/>
    <s v="Field Eng"/>
    <x v="0"/>
    <s v="Corporate"/>
    <d v="2020-02-28T00:00:00"/>
    <m/>
    <n v="902000"/>
    <n v="0"/>
    <x v="1"/>
    <n v="5"/>
    <x v="1"/>
  </r>
  <r>
    <s v="E04811"/>
    <x v="448"/>
    <x v="1"/>
    <n v="45"/>
    <s v="Auto Eng"/>
    <x v="0"/>
    <s v="Corporate"/>
    <d v="2020-10-12T00:00:00"/>
    <m/>
    <n v="904000"/>
    <n v="0"/>
    <x v="1"/>
    <n v="5"/>
    <x v="0"/>
  </r>
  <r>
    <s v="E00624"/>
    <x v="449"/>
    <x v="1"/>
    <n v="37"/>
    <s v=" Dev Eng"/>
    <x v="0"/>
    <s v="Products"/>
    <d v="2022-01-27T00:00:00"/>
    <m/>
    <n v="906000"/>
    <n v="0.26"/>
    <x v="1"/>
    <n v="4"/>
    <x v="1"/>
  </r>
  <r>
    <s v="E03404"/>
    <x v="450"/>
    <x v="0"/>
    <n v="38"/>
    <s v="Sr. Acc Rep"/>
    <x v="1"/>
    <s v="Corporate"/>
    <d v="2024-02-15T00:00:00"/>
    <m/>
    <n v="908000"/>
    <n v="0"/>
    <x v="1"/>
    <n v="1"/>
    <x v="1"/>
  </r>
  <r>
    <s v="E01845"/>
    <x v="451"/>
    <x v="1"/>
    <n v="45"/>
    <s v="Field Eng"/>
    <x v="0"/>
    <s v="Products"/>
    <d v="2021-02-10T00:00:00"/>
    <d v="2023-11-15T00:00:00"/>
    <n v="910000"/>
    <n v="0.09"/>
    <x v="0"/>
    <n v="2"/>
    <x v="0"/>
  </r>
  <r>
    <s v="E04784"/>
    <x v="452"/>
    <x v="0"/>
    <n v="51"/>
    <s v="Sr. Acc Rep"/>
    <x v="1"/>
    <s v="R&amp;D"/>
    <d v="2020-12-18T00:00:00"/>
    <m/>
    <n v="912000"/>
    <n v="0"/>
    <x v="1"/>
    <n v="5"/>
    <x v="3"/>
  </r>
  <r>
    <s v="E00145"/>
    <x v="453"/>
    <x v="0"/>
    <n v="56"/>
    <s v="Auto Eng"/>
    <x v="0"/>
    <s v="Products"/>
    <d v="2020-01-07T00:00:00"/>
    <m/>
    <n v="914000"/>
    <n v="0"/>
    <x v="1"/>
    <n v="6"/>
    <x v="3"/>
  </r>
  <r>
    <s v="E00218"/>
    <x v="454"/>
    <x v="0"/>
    <n v="53"/>
    <s v="Auto Eng"/>
    <x v="0"/>
    <s v="R&amp;D"/>
    <d v="2023-10-07T00:00:00"/>
    <m/>
    <n v="916000"/>
    <n v="0.31"/>
    <x v="1"/>
    <n v="2"/>
    <x v="3"/>
  </r>
  <r>
    <s v="E02185"/>
    <x v="455"/>
    <x v="0"/>
    <n v="47"/>
    <s v="Sr. Manger"/>
    <x v="2"/>
    <s v="R&amp;D"/>
    <d v="2021-10-18T00:00:00"/>
    <m/>
    <n v="918000"/>
    <n v="0"/>
    <x v="1"/>
    <n v="4"/>
    <x v="0"/>
  </r>
  <r>
    <s v="E01070"/>
    <x v="456"/>
    <x v="1"/>
    <n v="36"/>
    <s v="Sr. Manger"/>
    <x v="3"/>
    <s v="Products"/>
    <d v="2022-08-18T00:00:00"/>
    <m/>
    <n v="920000"/>
    <n v="0.34"/>
    <x v="1"/>
    <n v="3"/>
    <x v="1"/>
  </r>
  <r>
    <s v="E03807"/>
    <x v="457"/>
    <x v="0"/>
    <n v="41"/>
    <s v="Sr. Manger"/>
    <x v="4"/>
    <s v="Corporate"/>
    <d v="2024-05-28T00:00:00"/>
    <m/>
    <n v="922000"/>
    <n v="0.15"/>
    <x v="1"/>
    <n v="1"/>
    <x v="0"/>
  </r>
  <r>
    <s v="E00784"/>
    <x v="458"/>
    <x v="1"/>
    <n v="31"/>
    <s v="Quality Eng"/>
    <x v="0"/>
    <s v="Manufacturing"/>
    <d v="2022-09-07T00:00:00"/>
    <m/>
    <n v="924000"/>
    <n v="0"/>
    <x v="1"/>
    <n v="3"/>
    <x v="1"/>
  </r>
  <r>
    <s v="E04925"/>
    <x v="459"/>
    <x v="0"/>
    <n v="31"/>
    <s v="Sr. Manger"/>
    <x v="3"/>
    <s v="Manufacturing"/>
    <d v="2024-01-03T00:00:00"/>
    <m/>
    <n v="926000"/>
    <n v="0"/>
    <x v="1"/>
    <n v="2"/>
    <x v="1"/>
  </r>
  <r>
    <s v="E04448"/>
    <x v="460"/>
    <x v="1"/>
    <n v="38"/>
    <s v="IT Coord"/>
    <x v="5"/>
    <s v="R&amp;D"/>
    <d v="2023-05-28T00:00:00"/>
    <d v="2024-04-30T00:00:00"/>
    <n v="928000"/>
    <n v="0"/>
    <x v="0"/>
    <n v="0"/>
    <x v="1"/>
  </r>
  <r>
    <s v="E04817"/>
    <x v="461"/>
    <x v="0"/>
    <n v="31"/>
    <s v="Quality Eng"/>
    <x v="0"/>
    <s v="Products"/>
    <d v="2023-11-15T00:00:00"/>
    <m/>
    <n v="930000"/>
    <n v="0"/>
    <x v="1"/>
    <n v="2"/>
    <x v="1"/>
  </r>
  <r>
    <s v="E00325"/>
    <x v="462"/>
    <x v="1"/>
    <n v="39"/>
    <s v="Quality Eng"/>
    <x v="0"/>
    <s v="R&amp;D"/>
    <d v="2020-01-21T00:00:00"/>
    <m/>
    <n v="932000"/>
    <n v="0.39"/>
    <x v="1"/>
    <n v="6"/>
    <x v="1"/>
  </r>
  <r>
    <s v="E00403"/>
    <x v="463"/>
    <x v="0"/>
    <n v="31"/>
    <s v="Ops Eng"/>
    <x v="0"/>
    <s v="Corporate"/>
    <d v="2023-10-07T00:00:00"/>
    <m/>
    <n v="934000"/>
    <n v="0"/>
    <x v="1"/>
    <n v="2"/>
    <x v="1"/>
  </r>
  <r>
    <s v="E00436"/>
    <x v="464"/>
    <x v="1"/>
    <n v="45"/>
    <s v="IT Coord"/>
    <x v="5"/>
    <s v="Products"/>
    <d v="2024-04-19T00:00:00"/>
    <m/>
    <n v="936000"/>
    <n v="0.09"/>
    <x v="1"/>
    <n v="1"/>
    <x v="0"/>
  </r>
  <r>
    <s v="E04358"/>
    <x v="465"/>
    <x v="0"/>
    <n v="50"/>
    <s v="Ops Eng"/>
    <x v="0"/>
    <s v="R&amp;D"/>
    <d v="2020-09-09T00:00:00"/>
    <m/>
    <n v="938000"/>
    <n v="0"/>
    <x v="1"/>
    <n v="5"/>
    <x v="3"/>
  </r>
  <r>
    <s v="E04662"/>
    <x v="466"/>
    <x v="1"/>
    <n v="36"/>
    <s v="Ops Eng"/>
    <x v="0"/>
    <s v="Manufacturing"/>
    <d v="2023-11-03T00:00:00"/>
    <m/>
    <n v="940000"/>
    <n v="0.11"/>
    <x v="1"/>
    <n v="2"/>
    <x v="1"/>
  </r>
  <r>
    <s v="E01496"/>
    <x v="467"/>
    <x v="1"/>
    <n v="45"/>
    <s v="IT Coord"/>
    <x v="5"/>
    <s v="Manufacturing"/>
    <d v="2024-04-30T00:00:00"/>
    <m/>
    <n v="942000"/>
    <n v="0"/>
    <x v="1"/>
    <n v="1"/>
    <x v="0"/>
  </r>
  <r>
    <s v="E01870"/>
    <x v="468"/>
    <x v="0"/>
    <n v="31"/>
    <s v="Auto Eng"/>
    <x v="0"/>
    <s v="Manufacturing"/>
    <d v="2020-02-26T00:00:00"/>
    <m/>
    <n v="944000"/>
    <n v="0.24"/>
    <x v="1"/>
    <n v="5"/>
    <x v="1"/>
  </r>
  <r>
    <s v="E03971"/>
    <x v="469"/>
    <x v="1"/>
    <n v="41"/>
    <s v=" Dev Eng"/>
    <x v="0"/>
    <s v="Manufacturing"/>
    <d v="2022-09-11T00:00:00"/>
    <m/>
    <n v="946000"/>
    <n v="0.1"/>
    <x v="1"/>
    <n v="3"/>
    <x v="0"/>
  </r>
  <r>
    <s v="E03616"/>
    <x v="470"/>
    <x v="1"/>
    <n v="47"/>
    <s v="Sr. Analyst"/>
    <x v="2"/>
    <s v="Manufacturing"/>
    <d v="2024-05-18T00:00:00"/>
    <m/>
    <n v="948000"/>
    <n v="0.1"/>
    <x v="1"/>
    <n v="1"/>
    <x v="0"/>
  </r>
  <r>
    <s v="E00153"/>
    <x v="471"/>
    <x v="1"/>
    <n v="38"/>
    <s v="Quality Eng"/>
    <x v="0"/>
    <s v="Corporate"/>
    <d v="2021-11-09T00:00:00"/>
    <m/>
    <n v="950000"/>
    <n v="0"/>
    <x v="1"/>
    <n v="4"/>
    <x v="1"/>
  </r>
  <r>
    <s v="E02313"/>
    <x v="472"/>
    <x v="0"/>
    <n v="40"/>
    <s v="Ops Eng"/>
    <x v="0"/>
    <s v="Products"/>
    <d v="2020-05-12T00:00:00"/>
    <m/>
    <n v="952000"/>
    <n v="0"/>
    <x v="1"/>
    <n v="5"/>
    <x v="0"/>
  </r>
  <r>
    <s v="E02960"/>
    <x v="473"/>
    <x v="1"/>
    <n v="45"/>
    <s v="Field Eng"/>
    <x v="0"/>
    <s v="Manufacturing"/>
    <d v="2022-09-11T00:00:00"/>
    <m/>
    <n v="954000"/>
    <n v="0"/>
    <x v="1"/>
    <n v="3"/>
    <x v="0"/>
  </r>
  <r>
    <s v="E00096"/>
    <x v="474"/>
    <x v="0"/>
    <n v="31"/>
    <s v="Sr. Analyst"/>
    <x v="4"/>
    <s v="R&amp;D"/>
    <d v="2022-10-23T00:00:00"/>
    <m/>
    <n v="956000"/>
    <n v="0"/>
    <x v="1"/>
    <n v="3"/>
    <x v="1"/>
  </r>
  <r>
    <s v="E02140"/>
    <x v="475"/>
    <x v="1"/>
    <n v="35"/>
    <s v="Net Admin"/>
    <x v="5"/>
    <s v="Manufacturing"/>
    <d v="2024-08-23T00:00:00"/>
    <m/>
    <n v="958000"/>
    <n v="0.32"/>
    <x v="1"/>
    <n v="1"/>
    <x v="1"/>
  </r>
  <r>
    <s v="E00826"/>
    <x v="476"/>
    <x v="0"/>
    <n v="31"/>
    <s v="Sr. Analyst"/>
    <x v="3"/>
    <s v="Products"/>
    <d v="2023-11-07T00:00:00"/>
    <m/>
    <n v="960000"/>
    <n v="0"/>
    <x v="1"/>
    <n v="2"/>
    <x v="1"/>
  </r>
  <r>
    <s v="E03881"/>
    <x v="477"/>
    <x v="0"/>
    <n v="35"/>
    <s v=" Dev Eng"/>
    <x v="0"/>
    <s v="R&amp;D"/>
    <d v="2023-10-07T00:00:00"/>
    <d v="2024-02-15T00:00:00"/>
    <n v="962000"/>
    <n v="0"/>
    <x v="0"/>
    <n v="0"/>
    <x v="1"/>
  </r>
  <r>
    <s v="E02604"/>
    <x v="478"/>
    <x v="0"/>
    <n v="31"/>
    <s v="Net Admin"/>
    <x v="5"/>
    <s v="R&amp;D"/>
    <d v="2022-04-26T00:00:00"/>
    <m/>
    <n v="964000"/>
    <n v="0.11"/>
    <x v="1"/>
    <n v="3"/>
    <x v="1"/>
  </r>
  <r>
    <s v="E02613"/>
    <x v="479"/>
    <x v="0"/>
    <n v="31"/>
    <s v="Field Eng"/>
    <x v="0"/>
    <s v="Corporate"/>
    <d v="2020-02-28T00:00:00"/>
    <m/>
    <n v="966000"/>
    <n v="0"/>
    <x v="1"/>
    <n v="5"/>
    <x v="1"/>
  </r>
  <r>
    <s v="E00864"/>
    <x v="480"/>
    <x v="0"/>
    <n v="31"/>
    <s v="Auto Eng"/>
    <x v="0"/>
    <s v="Corporate"/>
    <d v="2020-10-12T00:00:00"/>
    <m/>
    <n v="968000"/>
    <n v="0.06"/>
    <x v="1"/>
    <n v="5"/>
    <x v="1"/>
  </r>
  <r>
    <s v="E01760"/>
    <x v="481"/>
    <x v="0"/>
    <n v="31"/>
    <s v=" Dev Eng"/>
    <x v="0"/>
    <s v="Products"/>
    <d v="2022-01-27T00:00:00"/>
    <m/>
    <n v="970000"/>
    <n v="0"/>
    <x v="1"/>
    <n v="4"/>
    <x v="1"/>
  </r>
  <r>
    <s v="E03223"/>
    <x v="482"/>
    <x v="0"/>
    <n v="36"/>
    <s v="Sr. Acc Rep"/>
    <x v="1"/>
    <s v="Corporate"/>
    <d v="2024-02-15T00:00:00"/>
    <m/>
    <n v="972000"/>
    <n v="0"/>
    <x v="1"/>
    <n v="1"/>
    <x v="1"/>
  </r>
  <r>
    <s v="E01262"/>
    <x v="483"/>
    <x v="1"/>
    <n v="45"/>
    <s v="Field Eng"/>
    <x v="0"/>
    <s v="Products"/>
    <d v="2024-02-10T00:00:00"/>
    <m/>
    <n v="974000"/>
    <n v="7.0000000000000007E-2"/>
    <x v="1"/>
    <n v="1"/>
    <x v="0"/>
  </r>
  <r>
    <s v="E01075"/>
    <x v="484"/>
    <x v="0"/>
    <n v="37"/>
    <s v="Sr. Acc Rep"/>
    <x v="1"/>
    <s v="R&amp;D"/>
    <d v="2020-12-18T00:00:00"/>
    <m/>
    <n v="976000"/>
    <n v="0"/>
    <x v="1"/>
    <n v="5"/>
    <x v="1"/>
  </r>
  <r>
    <s v="E00364"/>
    <x v="485"/>
    <x v="0"/>
    <n v="38"/>
    <s v="Auto Eng"/>
    <x v="0"/>
    <s v="Products"/>
    <d v="2020-01-07T00:00:00"/>
    <m/>
    <n v="978000"/>
    <n v="0.3"/>
    <x v="1"/>
    <n v="6"/>
    <x v="1"/>
  </r>
  <r>
    <s v="E04108"/>
    <x v="486"/>
    <x v="0"/>
    <n v="45"/>
    <s v="Auto Eng"/>
    <x v="0"/>
    <s v="R&amp;D"/>
    <d v="2023-10-07T00:00:00"/>
    <m/>
    <n v="980000"/>
    <n v="0"/>
    <x v="1"/>
    <n v="2"/>
    <x v="0"/>
  </r>
  <r>
    <s v="E02917"/>
    <x v="487"/>
    <x v="0"/>
    <n v="51"/>
    <s v="Sr. Manger"/>
    <x v="2"/>
    <s v="R&amp;D"/>
    <d v="2021-10-18T00:00:00"/>
    <m/>
    <n v="982000"/>
    <n v="0"/>
    <x v="1"/>
    <n v="4"/>
    <x v="3"/>
  </r>
  <r>
    <s v="E03720"/>
    <x v="488"/>
    <x v="1"/>
    <n v="56"/>
    <s v="Sr. Manger"/>
    <x v="3"/>
    <s v="Products"/>
    <d v="2022-08-18T00:00:00"/>
    <m/>
    <n v="984000"/>
    <n v="0.05"/>
    <x v="1"/>
    <n v="3"/>
    <x v="3"/>
  </r>
  <r>
    <s v="E03393"/>
    <x v="489"/>
    <x v="1"/>
    <n v="53"/>
    <s v="Sr. Manger"/>
    <x v="4"/>
    <s v="Corporate"/>
    <d v="2024-05-28T00:00:00"/>
    <m/>
    <n v="986000"/>
    <n v="0.15"/>
    <x v="1"/>
    <n v="1"/>
    <x v="3"/>
  </r>
  <r>
    <s v="E02977"/>
    <x v="490"/>
    <x v="0"/>
    <n v="47"/>
    <s v="Quality Eng"/>
    <x v="0"/>
    <s v="Manufacturing"/>
    <d v="2022-09-07T00:00:00"/>
    <d v="2024-01-03T00:00:00"/>
    <n v="988000"/>
    <n v="0"/>
    <x v="0"/>
    <n v="1"/>
    <x v="0"/>
  </r>
  <r>
    <s v="E03371"/>
    <x v="491"/>
    <x v="1"/>
    <n v="36"/>
    <s v="Sr. Manger"/>
    <x v="3"/>
    <s v="Manufacturing"/>
    <d v="2024-01-03T00:00:00"/>
    <m/>
    <n v="990000"/>
    <n v="0.36"/>
    <x v="1"/>
    <n v="2"/>
    <x v="1"/>
  </r>
  <r>
    <s v="E02531"/>
    <x v="492"/>
    <x v="0"/>
    <n v="41"/>
    <s v="IT Coord"/>
    <x v="5"/>
    <s v="R&amp;D"/>
    <d v="2023-05-28T00:00:00"/>
    <m/>
    <n v="992000"/>
    <n v="0"/>
    <x v="1"/>
    <n v="2"/>
    <x v="0"/>
  </r>
  <r>
    <s v="E02473"/>
    <x v="493"/>
    <x v="0"/>
    <n v="31"/>
    <s v="Quality Eng"/>
    <x v="0"/>
    <s v="Products"/>
    <d v="2023-11-15T00:00:00"/>
    <m/>
    <n v="994000"/>
    <n v="0"/>
    <x v="1"/>
    <n v="2"/>
    <x v="1"/>
  </r>
  <r>
    <s v="E02468"/>
    <x v="494"/>
    <x v="0"/>
    <n v="31"/>
    <s v="Quality Eng"/>
    <x v="0"/>
    <s v="R&amp;D"/>
    <d v="2020-01-21T00:00:00"/>
    <m/>
    <n v="996000"/>
    <n v="0.31"/>
    <x v="1"/>
    <n v="6"/>
    <x v="1"/>
  </r>
  <r>
    <s v="E01499"/>
    <x v="495"/>
    <x v="1"/>
    <n v="38"/>
    <s v="Ops Eng"/>
    <x v="0"/>
    <s v="Corporate"/>
    <d v="2023-10-07T00:00:00"/>
    <m/>
    <n v="998000"/>
    <n v="0.09"/>
    <x v="1"/>
    <n v="2"/>
    <x v="1"/>
  </r>
  <r>
    <s v="E03697"/>
    <x v="496"/>
    <x v="0"/>
    <n v="31"/>
    <s v="IT Coord"/>
    <x v="5"/>
    <s v="Products"/>
    <d v="2024-04-19T00:00:00"/>
    <m/>
    <n v="1000000"/>
    <n v="0.1"/>
    <x v="1"/>
    <n v="1"/>
    <x v="1"/>
  </r>
  <r>
    <s v="E00593"/>
    <x v="497"/>
    <x v="1"/>
    <n v="39"/>
    <s v="Ops Eng"/>
    <x v="0"/>
    <s v="R&amp;D"/>
    <d v="2020-09-09T00:00:00"/>
    <m/>
    <n v="1002000"/>
    <n v="0"/>
    <x v="1"/>
    <n v="5"/>
    <x v="1"/>
  </r>
  <r>
    <s v="E01103"/>
    <x v="498"/>
    <x v="0"/>
    <n v="31"/>
    <s v="Ops Eng"/>
    <x v="0"/>
    <s v="Manufacturing"/>
    <d v="2023-11-03T00:00:00"/>
    <m/>
    <n v="1004000"/>
    <n v="0"/>
    <x v="1"/>
    <n v="2"/>
    <x v="1"/>
  </r>
  <r>
    <s v="E03889"/>
    <x v="499"/>
    <x v="1"/>
    <n v="45"/>
    <s v="IT Coord"/>
    <x v="5"/>
    <s v="Manufacturing"/>
    <d v="2024-04-30T00:00:00"/>
    <m/>
    <n v="1006000"/>
    <n v="0.06"/>
    <x v="1"/>
    <n v="1"/>
    <x v="0"/>
  </r>
  <r>
    <s v="E01958"/>
    <x v="500"/>
    <x v="1"/>
    <n v="50"/>
    <s v="Auto Eng"/>
    <x v="0"/>
    <s v="Manufacturing"/>
    <d v="2020-02-26T00:00:00"/>
    <m/>
    <n v="1008000"/>
    <n v="0"/>
    <x v="1"/>
    <n v="5"/>
    <x v="3"/>
  </r>
  <r>
    <s v="E01870"/>
    <x v="501"/>
    <x v="1"/>
    <n v="36"/>
    <s v=" Dev Eng"/>
    <x v="0"/>
    <s v="Manufacturing"/>
    <d v="2022-09-11T00:00:00"/>
    <m/>
    <n v="1010000"/>
    <n v="0.09"/>
    <x v="1"/>
    <n v="3"/>
    <x v="1"/>
  </r>
  <r>
    <s v="E01167"/>
    <x v="502"/>
    <x v="1"/>
    <n v="45"/>
    <s v="Sr. Analyst"/>
    <x v="2"/>
    <s v="Manufacturing"/>
    <d v="2024-05-18T00:00:00"/>
    <m/>
    <n v="1012000"/>
    <n v="0"/>
    <x v="1"/>
    <n v="1"/>
    <x v="0"/>
  </r>
  <r>
    <s v="E00099"/>
    <x v="503"/>
    <x v="0"/>
    <n v="31"/>
    <s v="Quality Eng"/>
    <x v="0"/>
    <s v="Corporate"/>
    <d v="2021-11-09T00:00:00"/>
    <m/>
    <n v="1014000"/>
    <n v="0"/>
    <x v="1"/>
    <n v="4"/>
    <x v="1"/>
  </r>
  <r>
    <s v="E00044"/>
    <x v="504"/>
    <x v="1"/>
    <n v="41"/>
    <s v="Ops Eng"/>
    <x v="0"/>
    <s v="Products"/>
    <d v="2020-05-12T00:00:00"/>
    <m/>
    <n v="1016000"/>
    <n v="0.32"/>
    <x v="1"/>
    <n v="5"/>
    <x v="0"/>
  </r>
  <r>
    <s v="E00711"/>
    <x v="505"/>
    <x v="0"/>
    <n v="47"/>
    <s v="Field Eng"/>
    <x v="0"/>
    <s v="Manufacturing"/>
    <d v="2022-09-11T00:00:00"/>
    <m/>
    <n v="1018000"/>
    <n v="0.11"/>
    <x v="1"/>
    <n v="3"/>
    <x v="0"/>
  </r>
  <r>
    <s v="E04795"/>
    <x v="506"/>
    <x v="1"/>
    <n v="38"/>
    <s v="Sr. Analyst"/>
    <x v="4"/>
    <s v="R&amp;D"/>
    <d v="2022-10-23T00:00:00"/>
    <m/>
    <n v="1020000"/>
    <n v="0.3"/>
    <x v="1"/>
    <n v="3"/>
    <x v="1"/>
  </r>
  <r>
    <s v="E03912"/>
    <x v="507"/>
    <x v="0"/>
    <n v="40"/>
    <s v="Net Admin"/>
    <x v="5"/>
    <s v="Manufacturing"/>
    <d v="2024-08-23T00:00:00"/>
    <m/>
    <n v="1022000"/>
    <n v="0"/>
    <x v="1"/>
    <n v="1"/>
    <x v="0"/>
  </r>
  <r>
    <s v="E02103"/>
    <x v="508"/>
    <x v="1"/>
    <n v="45"/>
    <s v="Sr. Analyst"/>
    <x v="3"/>
    <s v="Products"/>
    <d v="2023-11-07T00:00:00"/>
    <m/>
    <n v="1024000"/>
    <n v="0"/>
    <x v="1"/>
    <n v="2"/>
    <x v="0"/>
  </r>
  <r>
    <s v="E04213"/>
    <x v="509"/>
    <x v="0"/>
    <n v="31"/>
    <s v=" Dev Eng"/>
    <x v="0"/>
    <s v="R&amp;D"/>
    <d v="2023-10-07T00:00:00"/>
    <m/>
    <n v="1026000"/>
    <n v="0.08"/>
    <x v="1"/>
    <n v="2"/>
    <x v="1"/>
  </r>
  <r>
    <s v="E04756"/>
    <x v="510"/>
    <x v="0"/>
    <n v="35"/>
    <s v="Net Admin"/>
    <x v="5"/>
    <s v="R&amp;D"/>
    <d v="2022-04-26T00:00:00"/>
    <m/>
    <n v="1028000"/>
    <n v="0"/>
    <x v="1"/>
    <n v="3"/>
    <x v="1"/>
  </r>
  <r>
    <s v="E04114"/>
    <x v="511"/>
    <x v="0"/>
    <n v="31"/>
    <s v="Field Eng"/>
    <x v="0"/>
    <s v="Corporate"/>
    <d v="2020-02-28T00:00:00"/>
    <m/>
    <n v="1030000"/>
    <n v="0.24"/>
    <x v="1"/>
    <n v="5"/>
    <x v="1"/>
  </r>
  <r>
    <s v="E01423"/>
    <x v="512"/>
    <x v="1"/>
    <n v="35"/>
    <s v="Auto Eng"/>
    <x v="0"/>
    <s v="Corporate"/>
    <d v="2020-10-12T00:00:00"/>
    <m/>
    <n v="1032000"/>
    <n v="0.33"/>
    <x v="1"/>
    <n v="5"/>
    <x v="1"/>
  </r>
  <r>
    <s v="E03181"/>
    <x v="513"/>
    <x v="0"/>
    <n v="31"/>
    <s v=" Dev Eng"/>
    <x v="0"/>
    <s v="Products"/>
    <d v="2022-01-27T00:00:00"/>
    <m/>
    <n v="1034000"/>
    <n v="0"/>
    <x v="1"/>
    <n v="4"/>
    <x v="1"/>
  </r>
  <r>
    <s v="E03305"/>
    <x v="514"/>
    <x v="1"/>
    <n v="31"/>
    <s v="Sr. Acc Rep"/>
    <x v="1"/>
    <s v="Corporate"/>
    <d v="2024-02-15T00:00:00"/>
    <m/>
    <n v="1036000"/>
    <n v="7.0000000000000007E-2"/>
    <x v="1"/>
    <n v="1"/>
    <x v="1"/>
  </r>
  <r>
    <s v="E00703"/>
    <x v="515"/>
    <x v="0"/>
    <n v="31"/>
    <s v="Field Eng"/>
    <x v="0"/>
    <s v="Products"/>
    <d v="2024-02-10T00:00:00"/>
    <m/>
    <n v="1038000"/>
    <n v="0.12"/>
    <x v="1"/>
    <n v="1"/>
    <x v="1"/>
  </r>
  <r>
    <s v="E04403"/>
    <x v="516"/>
    <x v="0"/>
    <n v="31"/>
    <s v="Sr. Acc Rep"/>
    <x v="1"/>
    <s v="R&amp;D"/>
    <d v="2020-12-18T00:00:00"/>
    <m/>
    <n v="1040000"/>
    <n v="7.0000000000000007E-2"/>
    <x v="1"/>
    <n v="5"/>
    <x v="1"/>
  </r>
  <r>
    <s v="E00103"/>
    <x v="517"/>
    <x v="0"/>
    <n v="36"/>
    <s v="Auto Eng"/>
    <x v="0"/>
    <s v="Products"/>
    <d v="2020-01-07T00:00:00"/>
    <m/>
    <n v="1042000"/>
    <n v="0.2"/>
    <x v="1"/>
    <n v="6"/>
    <x v="1"/>
  </r>
  <r>
    <s v="E04487"/>
    <x v="518"/>
    <x v="0"/>
    <n v="45"/>
    <s v="Auto Eng"/>
    <x v="0"/>
    <s v="R&amp;D"/>
    <d v="2023-10-07T00:00:00"/>
    <m/>
    <n v="1044000"/>
    <n v="0"/>
    <x v="1"/>
    <n v="2"/>
    <x v="0"/>
  </r>
  <r>
    <s v="E01194"/>
    <x v="519"/>
    <x v="0"/>
    <n v="37"/>
    <s v="Sr. Manger"/>
    <x v="2"/>
    <s v="R&amp;D"/>
    <d v="2021-10-18T00:00:00"/>
    <m/>
    <n v="1046000"/>
    <n v="0"/>
    <x v="1"/>
    <n v="4"/>
    <x v="1"/>
  </r>
  <r>
    <s v="E02179"/>
    <x v="520"/>
    <x v="0"/>
    <n v="38"/>
    <s v="Sr. Manger"/>
    <x v="3"/>
    <s v="Products"/>
    <d v="2022-08-18T00:00:00"/>
    <m/>
    <n v="1048000"/>
    <n v="0"/>
    <x v="1"/>
    <n v="3"/>
    <x v="1"/>
  </r>
  <r>
    <s v="E04242"/>
    <x v="521"/>
    <x v="1"/>
    <n v="45"/>
    <s v="Sr. Manger"/>
    <x v="4"/>
    <s v="Corporate"/>
    <d v="2024-05-28T00:00:00"/>
    <m/>
    <n v="1050000"/>
    <n v="0"/>
    <x v="1"/>
    <n v="1"/>
    <x v="0"/>
  </r>
  <r>
    <s v="E01371"/>
    <x v="522"/>
    <x v="0"/>
    <n v="51"/>
    <s v="Quality Eng"/>
    <x v="0"/>
    <s v="Manufacturing"/>
    <d v="2022-09-07T00:00:00"/>
    <m/>
    <n v="1052000"/>
    <n v="0.35"/>
    <x v="1"/>
    <n v="3"/>
    <x v="3"/>
  </r>
  <r>
    <s v="E03065"/>
    <x v="523"/>
    <x v="1"/>
    <n v="56"/>
    <s v="Sr. Manger"/>
    <x v="3"/>
    <s v="Manufacturing"/>
    <d v="2024-01-03T00:00:00"/>
    <m/>
    <n v="1054000"/>
    <n v="0"/>
    <x v="1"/>
    <n v="2"/>
    <x v="3"/>
  </r>
  <r>
    <s v="E01377"/>
    <x v="524"/>
    <x v="0"/>
    <n v="53"/>
    <s v="IT Coord"/>
    <x v="5"/>
    <s v="R&amp;D"/>
    <d v="2023-05-28T00:00:00"/>
    <m/>
    <n v="1056000"/>
    <n v="0"/>
    <x v="1"/>
    <n v="2"/>
    <x v="3"/>
  </r>
  <r>
    <s v="E03097"/>
    <x v="525"/>
    <x v="1"/>
    <n v="47"/>
    <s v="Quality Eng"/>
    <x v="0"/>
    <s v="Products"/>
    <d v="2023-11-15T00:00:00"/>
    <m/>
    <n v="1058000"/>
    <n v="0"/>
    <x v="1"/>
    <n v="2"/>
    <x v="0"/>
  </r>
  <r>
    <s v="E01668"/>
    <x v="526"/>
    <x v="1"/>
    <n v="36"/>
    <s v="Quality Eng"/>
    <x v="0"/>
    <s v="R&amp;D"/>
    <d v="2020-01-21T00:00:00"/>
    <m/>
    <n v="1060000"/>
    <n v="0.2"/>
    <x v="1"/>
    <n v="6"/>
    <x v="1"/>
  </r>
  <r>
    <s v="E03354"/>
    <x v="527"/>
    <x v="1"/>
    <n v="41"/>
    <s v="Ops Eng"/>
    <x v="0"/>
    <s v="Corporate"/>
    <d v="2023-10-07T00:00:00"/>
    <m/>
    <n v="1062000"/>
    <n v="0"/>
    <x v="1"/>
    <n v="2"/>
    <x v="0"/>
  </r>
  <r>
    <s v="E02088"/>
    <x v="528"/>
    <x v="0"/>
    <n v="31"/>
    <s v="IT Coord"/>
    <x v="5"/>
    <s v="Products"/>
    <d v="2024-04-19T00:00:00"/>
    <m/>
    <n v="1064000"/>
    <n v="0.12"/>
    <x v="1"/>
    <n v="1"/>
    <x v="1"/>
  </r>
  <r>
    <s v="E03980"/>
    <x v="529"/>
    <x v="0"/>
    <n v="31"/>
    <s v="Ops Eng"/>
    <x v="0"/>
    <s v="R&amp;D"/>
    <d v="2020-09-09T00:00:00"/>
    <m/>
    <n v="1066000"/>
    <n v="0"/>
    <x v="1"/>
    <n v="5"/>
    <x v="1"/>
  </r>
  <r>
    <s v="E00972"/>
    <x v="530"/>
    <x v="0"/>
    <n v="38"/>
    <s v="Ops Eng"/>
    <x v="0"/>
    <s v="Manufacturing"/>
    <d v="2023-11-03T00:00:00"/>
    <m/>
    <n v="1068000"/>
    <n v="0"/>
    <x v="1"/>
    <n v="2"/>
    <x v="1"/>
  </r>
  <r>
    <s v="E00824"/>
    <x v="531"/>
    <x v="0"/>
    <n v="31"/>
    <s v="IT Coord"/>
    <x v="5"/>
    <s v="Manufacturing"/>
    <d v="2024-04-30T00:00:00"/>
    <m/>
    <n v="1070000"/>
    <n v="0"/>
    <x v="1"/>
    <n v="1"/>
    <x v="1"/>
  </r>
  <r>
    <s v="E04359"/>
    <x v="532"/>
    <x v="1"/>
    <n v="39"/>
    <s v="Auto Eng"/>
    <x v="0"/>
    <s v="Manufacturing"/>
    <d v="2020-02-26T00:00:00"/>
    <m/>
    <n v="1072000"/>
    <n v="0"/>
    <x v="1"/>
    <n v="5"/>
    <x v="1"/>
  </r>
  <r>
    <s v="E03113"/>
    <x v="533"/>
    <x v="1"/>
    <n v="31"/>
    <s v=" Dev Eng"/>
    <x v="0"/>
    <s v="Manufacturing"/>
    <d v="2022-09-11T00:00:00"/>
    <m/>
    <n v="1074000"/>
    <n v="0.08"/>
    <x v="1"/>
    <n v="3"/>
    <x v="1"/>
  </r>
  <r>
    <s v="E01488"/>
    <x v="534"/>
    <x v="1"/>
    <n v="45"/>
    <s v="Sr. Analyst"/>
    <x v="2"/>
    <s v="Manufacturing"/>
    <d v="2024-05-18T00:00:00"/>
    <m/>
    <n v="1076000"/>
    <n v="0.26"/>
    <x v="1"/>
    <n v="1"/>
    <x v="0"/>
  </r>
  <r>
    <s v="E01787"/>
    <x v="535"/>
    <x v="1"/>
    <n v="50"/>
    <s v="Quality Eng"/>
    <x v="0"/>
    <s v="Corporate"/>
    <d v="2021-11-09T00:00:00"/>
    <m/>
    <n v="1078000"/>
    <n v="0.17"/>
    <x v="1"/>
    <n v="4"/>
    <x v="3"/>
  </r>
  <r>
    <s v="E03550"/>
    <x v="536"/>
    <x v="1"/>
    <n v="36"/>
    <s v="Ops Eng"/>
    <x v="0"/>
    <s v="Products"/>
    <d v="2020-05-12T00:00:00"/>
    <m/>
    <n v="1080000"/>
    <n v="0.14000000000000001"/>
    <x v="1"/>
    <n v="5"/>
    <x v="1"/>
  </r>
  <r>
    <s v="E01052"/>
    <x v="537"/>
    <x v="0"/>
    <n v="45"/>
    <s v="Field Eng"/>
    <x v="0"/>
    <s v="Manufacturing"/>
    <d v="2022-09-11T00:00:00"/>
    <m/>
    <n v="1082000"/>
    <n v="0"/>
    <x v="1"/>
    <n v="3"/>
    <x v="0"/>
  </r>
  <r>
    <s v="E04799"/>
    <x v="538"/>
    <x v="1"/>
    <n v="31"/>
    <s v="Sr. Analyst"/>
    <x v="4"/>
    <s v="R&amp;D"/>
    <d v="2022-10-23T00:00:00"/>
    <m/>
    <n v="1084000"/>
    <n v="0"/>
    <x v="1"/>
    <n v="3"/>
    <x v="1"/>
  </r>
  <r>
    <s v="E03402"/>
    <x v="539"/>
    <x v="0"/>
    <n v="41"/>
    <s v="Net Admin"/>
    <x v="5"/>
    <s v="Manufacturing"/>
    <d v="2024-08-23T00:00:00"/>
    <m/>
    <n v="1086000"/>
    <n v="0"/>
    <x v="1"/>
    <n v="1"/>
    <x v="0"/>
  </r>
  <r>
    <s v="E04128"/>
    <x v="540"/>
    <x v="1"/>
    <n v="47"/>
    <s v="Sr. Analyst"/>
    <x v="3"/>
    <s v="Products"/>
    <d v="2023-11-07T00:00:00"/>
    <m/>
    <n v="1088000"/>
    <n v="0"/>
    <x v="1"/>
    <n v="2"/>
    <x v="0"/>
  </r>
  <r>
    <s v="E00013"/>
    <x v="541"/>
    <x v="1"/>
    <n v="38"/>
    <s v=" Dev Eng"/>
    <x v="0"/>
    <s v="R&amp;D"/>
    <d v="2023-10-07T00:00:00"/>
    <m/>
    <n v="1090000"/>
    <n v="0"/>
    <x v="1"/>
    <n v="2"/>
    <x v="1"/>
  </r>
  <r>
    <s v="E03114"/>
    <x v="542"/>
    <x v="0"/>
    <n v="40"/>
    <s v="Net Admin"/>
    <x v="5"/>
    <s v="R&amp;D"/>
    <d v="2022-04-26T00:00:00"/>
    <m/>
    <n v="1092000"/>
    <n v="0"/>
    <x v="1"/>
    <n v="3"/>
    <x v="0"/>
  </r>
  <r>
    <s v="E04004"/>
    <x v="543"/>
    <x v="1"/>
    <n v="45"/>
    <s v="Field Eng"/>
    <x v="0"/>
    <s v="Corporate"/>
    <d v="2020-02-28T00:00:00"/>
    <m/>
    <n v="1094000"/>
    <n v="0"/>
    <x v="1"/>
    <n v="5"/>
    <x v="0"/>
  </r>
  <r>
    <s v="E04472"/>
    <x v="544"/>
    <x v="1"/>
    <n v="31"/>
    <s v="Auto Eng"/>
    <x v="0"/>
    <s v="Corporate"/>
    <d v="2020-10-12T00:00:00"/>
    <m/>
    <n v="1096000"/>
    <n v="0"/>
    <x v="1"/>
    <n v="5"/>
    <x v="1"/>
  </r>
  <r>
    <s v="E00161"/>
    <x v="545"/>
    <x v="1"/>
    <n v="35"/>
    <s v=" Dev Eng"/>
    <x v="0"/>
    <s v="Products"/>
    <d v="2022-01-27T00:00:00"/>
    <m/>
    <n v="1098000"/>
    <n v="0.37"/>
    <x v="1"/>
    <n v="4"/>
    <x v="1"/>
  </r>
  <r>
    <s v="E04417"/>
    <x v="546"/>
    <x v="1"/>
    <n v="31"/>
    <s v="Sr. Acc Rep"/>
    <x v="1"/>
    <s v="Corporate"/>
    <d v="2024-02-15T00:00:00"/>
    <m/>
    <n v="1100000"/>
    <n v="0.14000000000000001"/>
    <x v="1"/>
    <n v="1"/>
    <x v="1"/>
  </r>
  <r>
    <s v="E04536"/>
    <x v="547"/>
    <x v="0"/>
    <n v="35"/>
    <s v="Field Eng"/>
    <x v="0"/>
    <s v="Products"/>
    <d v="2024-02-10T00:00:00"/>
    <m/>
    <n v="1102000"/>
    <n v="0.12"/>
    <x v="1"/>
    <n v="1"/>
    <x v="1"/>
  </r>
  <r>
    <s v="E02534"/>
    <x v="548"/>
    <x v="1"/>
    <n v="31"/>
    <s v="Sr. Acc Rep"/>
    <x v="1"/>
    <s v="R&amp;D"/>
    <d v="2020-12-18T00:00:00"/>
    <m/>
    <n v="1104000"/>
    <n v="0.28000000000000003"/>
    <x v="1"/>
    <n v="5"/>
    <x v="1"/>
  </r>
  <r>
    <s v="E02857"/>
    <x v="549"/>
    <x v="0"/>
    <n v="26"/>
    <s v="Auto Eng"/>
    <x v="0"/>
    <s v="Products"/>
    <d v="2020-01-07T00:00:00"/>
    <d v="2024-02-10T00:00:00"/>
    <n v="1106000"/>
    <n v="0.15"/>
    <x v="0"/>
    <n v="4"/>
    <x v="2"/>
  </r>
  <r>
    <s v="E03059"/>
    <x v="550"/>
    <x v="0"/>
    <n v="31"/>
    <s v="Auto Eng"/>
    <x v="0"/>
    <s v="R&amp;D"/>
    <d v="2023-10-07T00:00:00"/>
    <m/>
    <n v="1108000"/>
    <n v="0.06"/>
    <x v="1"/>
    <n v="2"/>
    <x v="1"/>
  </r>
  <r>
    <s v="E02477"/>
    <x v="551"/>
    <x v="0"/>
    <n v="31"/>
    <s v="Sr. Manger"/>
    <x v="2"/>
    <s v="R&amp;D"/>
    <d v="2021-10-18T00:00:00"/>
    <m/>
    <n v="1110000"/>
    <n v="0.16"/>
    <x v="1"/>
    <n v="4"/>
    <x v="1"/>
  </r>
  <r>
    <s v="E00022"/>
    <x v="552"/>
    <x v="0"/>
    <n v="36"/>
    <s v="Sr. Manger"/>
    <x v="3"/>
    <s v="Products"/>
    <d v="2022-08-18T00:00:00"/>
    <m/>
    <n v="1112000"/>
    <n v="0"/>
    <x v="1"/>
    <n v="3"/>
    <x v="1"/>
  </r>
  <r>
    <s v="E03370"/>
    <x v="553"/>
    <x v="0"/>
    <n v="45"/>
    <s v="Sr. Manger"/>
    <x v="4"/>
    <s v="Corporate"/>
    <d v="2024-05-28T00:00:00"/>
    <m/>
    <n v="1114000"/>
    <n v="0"/>
    <x v="1"/>
    <n v="1"/>
    <x v="0"/>
  </r>
  <r>
    <s v="E00555"/>
    <x v="554"/>
    <x v="1"/>
    <n v="37"/>
    <s v="Quality Eng"/>
    <x v="0"/>
    <s v="Manufacturing"/>
    <d v="2022-09-07T00:00:00"/>
    <m/>
    <n v="1116000"/>
    <n v="0"/>
    <x v="1"/>
    <n v="3"/>
    <x v="1"/>
  </r>
  <r>
    <s v="E03160"/>
    <x v="555"/>
    <x v="0"/>
    <n v="38"/>
    <s v="Sr. Manger"/>
    <x v="3"/>
    <s v="Manufacturing"/>
    <d v="2024-01-03T00:00:00"/>
    <m/>
    <n v="1118000"/>
    <n v="0"/>
    <x v="1"/>
    <n v="2"/>
    <x v="1"/>
  </r>
  <r>
    <s v="E03919"/>
    <x v="556"/>
    <x v="1"/>
    <n v="45"/>
    <s v="IT Coord"/>
    <x v="5"/>
    <s v="R&amp;D"/>
    <d v="2023-05-28T00:00:00"/>
    <m/>
    <n v="1120000"/>
    <n v="0.14000000000000001"/>
    <x v="1"/>
    <n v="2"/>
    <x v="0"/>
  </r>
  <r>
    <s v="E01724"/>
    <x v="557"/>
    <x v="0"/>
    <n v="51"/>
    <s v="Quality Eng"/>
    <x v="0"/>
    <s v="Products"/>
    <d v="2023-11-15T00:00:00"/>
    <m/>
    <n v="1122000"/>
    <n v="7.0000000000000007E-2"/>
    <x v="1"/>
    <n v="2"/>
    <x v="3"/>
  </r>
  <r>
    <s v="E04087"/>
    <x v="558"/>
    <x v="1"/>
    <n v="56"/>
    <s v="Quality Eng"/>
    <x v="0"/>
    <s v="R&amp;D"/>
    <d v="2020-01-21T00:00:00"/>
    <m/>
    <n v="1124000"/>
    <n v="7.0000000000000007E-2"/>
    <x v="1"/>
    <n v="6"/>
    <x v="3"/>
  </r>
  <r>
    <s v="E02856"/>
    <x v="559"/>
    <x v="1"/>
    <n v="53"/>
    <s v="Ops Eng"/>
    <x v="0"/>
    <s v="Corporate"/>
    <d v="2023-10-07T00:00:00"/>
    <m/>
    <n v="1126000"/>
    <n v="0"/>
    <x v="1"/>
    <n v="2"/>
    <x v="3"/>
  </r>
  <r>
    <s v="E03805"/>
    <x v="560"/>
    <x v="1"/>
    <n v="47"/>
    <s v="IT Coord"/>
    <x v="5"/>
    <s v="Products"/>
    <d v="2024-04-19T00:00:00"/>
    <m/>
    <n v="1128000"/>
    <n v="0"/>
    <x v="1"/>
    <n v="1"/>
    <x v="0"/>
  </r>
  <r>
    <s v="E00319"/>
    <x v="561"/>
    <x v="0"/>
    <n v="36"/>
    <s v="Ops Eng"/>
    <x v="0"/>
    <s v="R&amp;D"/>
    <d v="2020-09-09T00:00:00"/>
    <m/>
    <n v="1130000"/>
    <n v="0"/>
    <x v="1"/>
    <n v="5"/>
    <x v="1"/>
  </r>
  <r>
    <s v="E01090"/>
    <x v="562"/>
    <x v="1"/>
    <n v="41"/>
    <s v="Ops Eng"/>
    <x v="0"/>
    <s v="Manufacturing"/>
    <d v="2023-11-03T00:00:00"/>
    <m/>
    <n v="1132000"/>
    <n v="0"/>
    <x v="1"/>
    <n v="2"/>
    <x v="0"/>
  </r>
  <r>
    <s v="E04323"/>
    <x v="563"/>
    <x v="0"/>
    <n v="30"/>
    <s v="IT Coord"/>
    <x v="5"/>
    <s v="Manufacturing"/>
    <d v="2020-04-30T00:00:00"/>
    <d v="2023-10-07T00:00:00"/>
    <n v="1134000"/>
    <n v="0.23"/>
    <x v="0"/>
    <n v="3"/>
    <x v="1"/>
  </r>
  <r>
    <s v="E02687"/>
    <x v="564"/>
    <x v="1"/>
    <n v="31"/>
    <s v="Auto Eng"/>
    <x v="0"/>
    <s v="Manufacturing"/>
    <d v="2020-02-26T00:00:00"/>
    <m/>
    <n v="1136000"/>
    <n v="0.39"/>
    <x v="1"/>
    <n v="5"/>
    <x v="1"/>
  </r>
  <r>
    <s v="E01407"/>
    <x v="565"/>
    <x v="1"/>
    <n v="38"/>
    <s v=" Dev Eng"/>
    <x v="0"/>
    <s v="Manufacturing"/>
    <d v="2022-09-11T00:00:00"/>
    <m/>
    <n v="1138000"/>
    <n v="0.11"/>
    <x v="1"/>
    <n v="3"/>
    <x v="1"/>
  </r>
  <r>
    <s v="E02748"/>
    <x v="566"/>
    <x v="1"/>
    <n v="31"/>
    <s v="Sr. Analyst"/>
    <x v="2"/>
    <s v="Manufacturing"/>
    <d v="2024-05-18T00:00:00"/>
    <m/>
    <n v="1140000"/>
    <n v="0.18"/>
    <x v="1"/>
    <n v="1"/>
    <x v="1"/>
  </r>
  <r>
    <s v="E01995"/>
    <x v="567"/>
    <x v="1"/>
    <n v="39"/>
    <s v="Quality Eng"/>
    <x v="0"/>
    <s v="Corporate"/>
    <d v="2021-11-09T00:00:00"/>
    <m/>
    <n v="1142000"/>
    <n v="0.31"/>
    <x v="1"/>
    <n v="4"/>
    <x v="1"/>
  </r>
  <r>
    <s v="E01714"/>
    <x v="568"/>
    <x v="1"/>
    <n v="31"/>
    <s v="Ops Eng"/>
    <x v="0"/>
    <s v="Products"/>
    <d v="2020-05-12T00:00:00"/>
    <m/>
    <n v="1144000"/>
    <n v="0"/>
    <x v="1"/>
    <n v="5"/>
    <x v="1"/>
  </r>
  <r>
    <s v="E04491"/>
    <x v="569"/>
    <x v="1"/>
    <n v="45"/>
    <s v="Field Eng"/>
    <x v="0"/>
    <s v="Manufacturing"/>
    <d v="2022-09-11T00:00:00"/>
    <m/>
    <n v="1146000"/>
    <n v="0"/>
    <x v="1"/>
    <n v="3"/>
    <x v="0"/>
  </r>
  <r>
    <s v="E01076"/>
    <x v="570"/>
    <x v="0"/>
    <n v="50"/>
    <s v="Sr. Analyst"/>
    <x v="4"/>
    <s v="R&amp;D"/>
    <d v="2022-10-23T00:00:00"/>
    <m/>
    <n v="1148000"/>
    <n v="0.13"/>
    <x v="1"/>
    <n v="3"/>
    <x v="3"/>
  </r>
  <r>
    <s v="E04131"/>
    <x v="571"/>
    <x v="1"/>
    <n v="36"/>
    <s v="Net Admin"/>
    <x v="5"/>
    <s v="Manufacturing"/>
    <d v="2024-08-23T00:00:00"/>
    <m/>
    <n v="1150000"/>
    <n v="0"/>
    <x v="1"/>
    <n v="1"/>
    <x v="1"/>
  </r>
  <r>
    <s v="E02843"/>
    <x v="572"/>
    <x v="0"/>
    <n v="45"/>
    <s v="Sr. Analyst"/>
    <x v="3"/>
    <s v="Products"/>
    <d v="2023-11-07T00:00:00"/>
    <m/>
    <n v="1152000"/>
    <n v="0.05"/>
    <x v="1"/>
    <n v="2"/>
    <x v="0"/>
  </r>
  <r>
    <s v="E03758"/>
    <x v="573"/>
    <x v="1"/>
    <n v="29"/>
    <s v=" Dev Eng"/>
    <x v="0"/>
    <s v="R&amp;D"/>
    <d v="2023-10-07T00:00:00"/>
    <d v="2024-05-18T00:00:00"/>
    <n v="1154000"/>
    <n v="0.21"/>
    <x v="0"/>
    <n v="0"/>
    <x v="2"/>
  </r>
  <r>
    <s v="E02063"/>
    <x v="574"/>
    <x v="1"/>
    <n v="41"/>
    <s v="Net Admin"/>
    <x v="5"/>
    <s v="R&amp;D"/>
    <d v="2022-04-26T00:00:00"/>
    <m/>
    <n v="1156000"/>
    <n v="0"/>
    <x v="1"/>
    <n v="3"/>
    <x v="0"/>
  </r>
  <r>
    <s v="E00638"/>
    <x v="575"/>
    <x v="0"/>
    <n v="47"/>
    <s v="Field Eng"/>
    <x v="0"/>
    <s v="Corporate"/>
    <d v="2020-02-28T00:00:00"/>
    <m/>
    <n v="1158000"/>
    <n v="7.0000000000000007E-2"/>
    <x v="1"/>
    <n v="5"/>
    <x v="0"/>
  </r>
  <r>
    <s v="E03571"/>
    <x v="576"/>
    <x v="1"/>
    <n v="38"/>
    <s v="Auto Eng"/>
    <x v="0"/>
    <s v="Corporate"/>
    <d v="2020-10-12T00:00:00"/>
    <m/>
    <n v="1160000"/>
    <n v="0"/>
    <x v="1"/>
    <n v="5"/>
    <x v="1"/>
  </r>
  <r>
    <s v="E01820"/>
    <x v="577"/>
    <x v="1"/>
    <n v="40"/>
    <s v=" Dev Eng"/>
    <x v="0"/>
    <s v="Products"/>
    <d v="2022-01-27T00:00:00"/>
    <d v="2024-08-23T00:00:00"/>
    <n v="1162000"/>
    <n v="0"/>
    <x v="0"/>
    <n v="2"/>
    <x v="0"/>
  </r>
  <r>
    <s v="E01712"/>
    <x v="578"/>
    <x v="1"/>
    <n v="45"/>
    <s v="Sr. Acc Rep"/>
    <x v="1"/>
    <s v="Corporate"/>
    <d v="2024-02-15T00:00:00"/>
    <m/>
    <n v="1164000"/>
    <n v="0.28000000000000003"/>
    <x v="1"/>
    <n v="1"/>
    <x v="0"/>
  </r>
  <r>
    <s v="E00184"/>
    <x v="579"/>
    <x v="1"/>
    <n v="51"/>
    <s v="Field Eng"/>
    <x v="0"/>
    <s v="Products"/>
    <d v="2024-02-10T00:00:00"/>
    <m/>
    <n v="1166000"/>
    <n v="0"/>
    <x v="1"/>
    <n v="1"/>
    <x v="3"/>
  </r>
  <r>
    <s v="E02706"/>
    <x v="580"/>
    <x v="0"/>
    <n v="35"/>
    <s v="Sr. Acc Rep"/>
    <x v="1"/>
    <s v="R&amp;D"/>
    <d v="2020-12-18T00:00:00"/>
    <m/>
    <n v="1168000"/>
    <n v="0.12"/>
    <x v="1"/>
    <n v="5"/>
    <x v="1"/>
  </r>
  <r>
    <s v="E02899"/>
    <x v="581"/>
    <x v="1"/>
    <n v="51"/>
    <s v="Auto Eng"/>
    <x v="0"/>
    <s v="Products"/>
    <d v="2020-01-07T00:00:00"/>
    <m/>
    <n v="1170000"/>
    <n v="0.13"/>
    <x v="1"/>
    <n v="6"/>
    <x v="3"/>
  </r>
  <r>
    <s v="E02478"/>
    <x v="582"/>
    <x v="0"/>
    <n v="35"/>
    <s v="Auto Eng"/>
    <x v="0"/>
    <s v="R&amp;D"/>
    <d v="2023-10-07T00:00:00"/>
    <m/>
    <n v="1172000"/>
    <n v="0.06"/>
    <x v="1"/>
    <n v="2"/>
    <x v="1"/>
  </r>
  <r>
    <s v="E04170"/>
    <x v="583"/>
    <x v="0"/>
    <n v="31"/>
    <s v="Sr. Manger"/>
    <x v="2"/>
    <s v="R&amp;D"/>
    <d v="2021-10-18T00:00:00"/>
    <m/>
    <n v="1174000"/>
    <n v="0.39"/>
    <x v="1"/>
    <n v="4"/>
    <x v="1"/>
  </r>
  <r>
    <s v="E00929"/>
    <x v="584"/>
    <x v="0"/>
    <n v="31"/>
    <s v="Sr. Manger"/>
    <x v="3"/>
    <s v="Products"/>
    <d v="2022-08-18T00:00:00"/>
    <m/>
    <n v="1176000"/>
    <n v="0"/>
    <x v="1"/>
    <n v="3"/>
    <x v="1"/>
  </r>
  <r>
    <s v="E00530"/>
    <x v="585"/>
    <x v="0"/>
    <n v="31"/>
    <s v="Sr. Manger"/>
    <x v="4"/>
    <s v="Corporate"/>
    <d v="2024-05-28T00:00:00"/>
    <m/>
    <n v="1178000"/>
    <n v="0.1"/>
    <x v="1"/>
    <n v="1"/>
    <x v="1"/>
  </r>
  <r>
    <s v="E03824"/>
    <x v="586"/>
    <x v="1"/>
    <n v="51"/>
    <s v="Quality Eng"/>
    <x v="0"/>
    <s v="Manufacturing"/>
    <d v="2022-09-07T00:00:00"/>
    <m/>
    <n v="1180000"/>
    <n v="0"/>
    <x v="1"/>
    <n v="3"/>
    <x v="3"/>
  </r>
  <r>
    <s v="E02492"/>
    <x v="587"/>
    <x v="0"/>
    <n v="36"/>
    <s v="Sr. Manger"/>
    <x v="3"/>
    <s v="Manufacturing"/>
    <d v="2022-01-03T00:00:00"/>
    <d v="2023-10-07T00:00:00"/>
    <n v="1182000"/>
    <n v="0"/>
    <x v="0"/>
    <n v="1"/>
    <x v="1"/>
  </r>
  <r>
    <s v="E01733"/>
    <x v="588"/>
    <x v="1"/>
    <n v="45"/>
    <s v="IT Coord"/>
    <x v="5"/>
    <s v="R&amp;D"/>
    <d v="2023-05-28T00:00:00"/>
    <m/>
    <n v="1184000"/>
    <n v="7.0000000000000007E-2"/>
    <x v="1"/>
    <n v="2"/>
    <x v="0"/>
  </r>
  <r>
    <s v="E02857"/>
    <x v="589"/>
    <x v="0"/>
    <n v="37"/>
    <s v="Quality Eng"/>
    <x v="0"/>
    <s v="Products"/>
    <d v="2023-11-15T00:00:00"/>
    <m/>
    <n v="1186000"/>
    <n v="0"/>
    <x v="1"/>
    <n v="2"/>
    <x v="1"/>
  </r>
  <r>
    <s v="E00145"/>
    <x v="590"/>
    <x v="1"/>
    <n v="37"/>
    <s v="Quality Eng"/>
    <x v="0"/>
    <s v="R&amp;D"/>
    <d v="2020-01-21T00:00:00"/>
    <m/>
    <n v="1188000"/>
    <n v="0"/>
    <x v="1"/>
    <n v="6"/>
    <x v="1"/>
  </r>
  <r>
    <s v="E04150"/>
    <x v="591"/>
    <x v="1"/>
    <n v="47"/>
    <s v="Ops Eng"/>
    <x v="0"/>
    <s v="Corporate"/>
    <d v="2023-10-07T00:00:00"/>
    <m/>
    <n v="1190000"/>
    <n v="0"/>
    <x v="1"/>
    <n v="2"/>
    <x v="0"/>
  </r>
  <r>
    <s v="E02846"/>
    <x v="592"/>
    <x v="1"/>
    <n v="36"/>
    <s v="IT Coord"/>
    <x v="5"/>
    <s v="Products"/>
    <d v="2024-04-19T00:00:00"/>
    <m/>
    <n v="1192000"/>
    <n v="0.1"/>
    <x v="1"/>
    <n v="1"/>
    <x v="1"/>
  </r>
  <r>
    <s v="E04247"/>
    <x v="593"/>
    <x v="0"/>
    <n v="41"/>
    <s v="Ops Eng"/>
    <x v="0"/>
    <s v="R&amp;D"/>
    <d v="2020-09-09T00:00:00"/>
    <m/>
    <n v="1194000"/>
    <n v="0.09"/>
    <x v="1"/>
    <n v="5"/>
    <x v="0"/>
  </r>
  <r>
    <s v="E02613"/>
    <x v="594"/>
    <x v="1"/>
    <n v="51"/>
    <s v="Ops Eng"/>
    <x v="0"/>
    <s v="Manufacturing"/>
    <d v="2023-11-03T00:00:00"/>
    <m/>
    <n v="1196000"/>
    <n v="0.3"/>
    <x v="1"/>
    <n v="2"/>
    <x v="3"/>
  </r>
  <r>
    <s v="E03349"/>
    <x v="595"/>
    <x v="0"/>
    <n v="41"/>
    <s v="IT Coord"/>
    <x v="5"/>
    <s v="Manufacturing"/>
    <d v="2024-04-30T00:00:00"/>
    <m/>
    <n v="1198000"/>
    <n v="0.23"/>
    <x v="1"/>
    <n v="1"/>
    <x v="0"/>
  </r>
  <r>
    <s v="E03648"/>
    <x v="596"/>
    <x v="1"/>
    <n v="38"/>
    <s v="Auto Eng"/>
    <x v="0"/>
    <s v="Manufacturing"/>
    <d v="2020-02-26T00:00:00"/>
    <m/>
    <n v="1200000"/>
    <n v="0"/>
    <x v="1"/>
    <n v="5"/>
    <x v="1"/>
  </r>
  <r>
    <s v="E02192"/>
    <x v="597"/>
    <x v="1"/>
    <n v="51"/>
    <s v=" Dev Eng"/>
    <x v="0"/>
    <s v="Manufacturing"/>
    <d v="2022-09-11T00:00:00"/>
    <m/>
    <n v="1202000"/>
    <n v="0"/>
    <x v="1"/>
    <n v="3"/>
    <x v="3"/>
  </r>
  <r>
    <s v="E03981"/>
    <x v="598"/>
    <x v="1"/>
    <n v="39"/>
    <s v="Sr. Analyst"/>
    <x v="2"/>
    <s v="Manufacturing"/>
    <d v="2024-05-18T00:00:00"/>
    <m/>
    <n v="1204000"/>
    <n v="0"/>
    <x v="1"/>
    <n v="1"/>
    <x v="1"/>
  </r>
  <r>
    <s v="E03262"/>
    <x v="599"/>
    <x v="1"/>
    <n v="31"/>
    <s v="Quality Eng"/>
    <x v="0"/>
    <s v="Corporate"/>
    <d v="2021-11-09T00:00:00"/>
    <m/>
    <n v="1206000"/>
    <n v="0"/>
    <x v="1"/>
    <n v="4"/>
    <x v="1"/>
  </r>
  <r>
    <s v="E02716"/>
    <x v="600"/>
    <x v="1"/>
    <n v="45"/>
    <s v="Ops Eng"/>
    <x v="0"/>
    <s v="Products"/>
    <d v="2020-05-12T00:00:00"/>
    <m/>
    <n v="1208000"/>
    <n v="0.11"/>
    <x v="1"/>
    <n v="5"/>
    <x v="0"/>
  </r>
  <r>
    <s v="E00245"/>
    <x v="601"/>
    <x v="1"/>
    <n v="50"/>
    <s v="Field Eng"/>
    <x v="0"/>
    <s v="Manufacturing"/>
    <d v="2022-09-11T00:00:00"/>
    <m/>
    <n v="1210000"/>
    <n v="0.06"/>
    <x v="1"/>
    <n v="3"/>
    <x v="3"/>
  </r>
  <r>
    <s v="E04123"/>
    <x v="602"/>
    <x v="0"/>
    <n v="36"/>
    <s v="Sr. Analyst"/>
    <x v="4"/>
    <s v="R&amp;D"/>
    <d v="2022-10-23T00:00:00"/>
    <m/>
    <n v="1212000"/>
    <n v="0.36"/>
    <x v="1"/>
    <n v="3"/>
    <x v="1"/>
  </r>
  <r>
    <s v="E03471"/>
    <x v="603"/>
    <x v="1"/>
    <n v="45"/>
    <s v="Net Admin"/>
    <x v="5"/>
    <s v="Manufacturing"/>
    <d v="2024-08-23T00:00:00"/>
    <m/>
    <n v="1214000"/>
    <n v="0.06"/>
    <x v="1"/>
    <n v="1"/>
    <x v="0"/>
  </r>
  <r>
    <s v="E00717"/>
    <x v="604"/>
    <x v="0"/>
    <n v="29"/>
    <s v="Sr. Analyst"/>
    <x v="3"/>
    <s v="Products"/>
    <d v="2023-11-07T00:00:00"/>
    <d v="2024-04-19T00:00:00"/>
    <n v="1216000"/>
    <n v="0"/>
    <x v="0"/>
    <n v="0"/>
    <x v="2"/>
  </r>
  <r>
    <s v="E01966"/>
    <x v="605"/>
    <x v="1"/>
    <n v="41"/>
    <s v=" Dev Eng"/>
    <x v="0"/>
    <s v="R&amp;D"/>
    <d v="2023-10-07T00:00:00"/>
    <m/>
    <n v="1218000"/>
    <n v="0"/>
    <x v="1"/>
    <n v="2"/>
    <x v="0"/>
  </r>
  <r>
    <s v="E03683"/>
    <x v="606"/>
    <x v="1"/>
    <n v="47"/>
    <s v="Net Admin"/>
    <x v="5"/>
    <s v="R&amp;D"/>
    <d v="2022-04-26T00:00:00"/>
    <m/>
    <n v="1220000"/>
    <n v="0.28000000000000003"/>
    <x v="1"/>
    <n v="3"/>
    <x v="0"/>
  </r>
  <r>
    <s v="E03694"/>
    <x v="607"/>
    <x v="0"/>
    <n v="38"/>
    <s v="Field Eng"/>
    <x v="0"/>
    <s v="Corporate"/>
    <d v="2020-02-28T00:00:00"/>
    <d v="2022-09-11T00:00:00"/>
    <n v="1222000"/>
    <n v="0"/>
    <x v="0"/>
    <n v="2"/>
    <x v="1"/>
  </r>
  <r>
    <s v="E04766"/>
    <x v="608"/>
    <x v="1"/>
    <n v="40"/>
    <s v="Auto Eng"/>
    <x v="0"/>
    <s v="Corporate"/>
    <d v="2020-10-12T00:00:00"/>
    <m/>
    <n v="1224000"/>
    <n v="0.32"/>
    <x v="1"/>
    <n v="5"/>
    <x v="0"/>
  </r>
  <r>
    <s v="E01465"/>
    <x v="609"/>
    <x v="1"/>
    <n v="45"/>
    <s v=" Dev Eng"/>
    <x v="0"/>
    <s v="Products"/>
    <d v="2022-01-27T00:00:00"/>
    <m/>
    <n v="1226000"/>
    <n v="0.13"/>
    <x v="1"/>
    <n v="4"/>
    <x v="0"/>
  </r>
  <r>
    <s v="E00206"/>
    <x v="610"/>
    <x v="1"/>
    <n v="51"/>
    <s v="Sr. Acc Rep"/>
    <x v="1"/>
    <s v="Corporate"/>
    <d v="2024-02-15T00:00:00"/>
    <m/>
    <n v="1228000"/>
    <n v="7.0000000000000007E-2"/>
    <x v="1"/>
    <n v="1"/>
    <x v="3"/>
  </r>
  <r>
    <s v="E04088"/>
    <x v="611"/>
    <x v="1"/>
    <n v="35"/>
    <s v="Field Eng"/>
    <x v="0"/>
    <s v="Products"/>
    <d v="2024-02-10T00:00:00"/>
    <m/>
    <n v="1230000"/>
    <n v="0.37"/>
    <x v="1"/>
    <n v="1"/>
    <x v="1"/>
  </r>
  <r>
    <s v="E02066"/>
    <x v="612"/>
    <x v="0"/>
    <n v="41"/>
    <s v="Sr. Acc Rep"/>
    <x v="1"/>
    <s v="R&amp;D"/>
    <d v="2020-12-18T00:00:00"/>
    <m/>
    <n v="1232000"/>
    <n v="0.09"/>
    <x v="1"/>
    <n v="5"/>
    <x v="0"/>
  </r>
  <r>
    <s v="E03227"/>
    <x v="613"/>
    <x v="1"/>
    <n v="35"/>
    <s v="Auto Eng"/>
    <x v="0"/>
    <s v="Products"/>
    <d v="2020-01-07T00:00:00"/>
    <m/>
    <n v="1234000"/>
    <n v="0"/>
    <x v="1"/>
    <n v="6"/>
    <x v="1"/>
  </r>
  <r>
    <s v="E03364"/>
    <x v="614"/>
    <x v="0"/>
    <n v="41"/>
    <s v="Auto Eng"/>
    <x v="0"/>
    <s v="R&amp;D"/>
    <d v="2023-10-07T00:00:00"/>
    <m/>
    <n v="1236000"/>
    <n v="0"/>
    <x v="1"/>
    <n v="2"/>
    <x v="0"/>
  </r>
  <r>
    <s v="E00607"/>
    <x v="615"/>
    <x v="0"/>
    <n v="41"/>
    <s v="Sr. Manger"/>
    <x v="2"/>
    <s v="R&amp;D"/>
    <d v="2021-10-18T00:00:00"/>
    <m/>
    <n v="1238000"/>
    <n v="0.16"/>
    <x v="1"/>
    <n v="4"/>
    <x v="0"/>
  </r>
  <r>
    <s v="E02258"/>
    <x v="616"/>
    <x v="0"/>
    <n v="41"/>
    <s v="Sr. Manger"/>
    <x v="3"/>
    <s v="Products"/>
    <d v="2022-08-18T00:00:00"/>
    <m/>
    <n v="1240000"/>
    <n v="0"/>
    <x v="1"/>
    <n v="3"/>
    <x v="0"/>
  </r>
  <r>
    <s v="E03681"/>
    <x v="617"/>
    <x v="0"/>
    <n v="46"/>
    <s v="Sr. Manger"/>
    <x v="4"/>
    <s v="Corporate"/>
    <d v="2024-05-28T00:00:00"/>
    <m/>
    <n v="1242000"/>
    <n v="0"/>
    <x v="1"/>
    <n v="1"/>
    <x v="0"/>
  </r>
  <r>
    <s v="E02298"/>
    <x v="618"/>
    <x v="0"/>
    <n v="36"/>
    <s v="Quality Eng"/>
    <x v="0"/>
    <s v="Manufacturing"/>
    <d v="2022-09-07T00:00:00"/>
    <m/>
    <n v="1244000"/>
    <n v="0.11"/>
    <x v="1"/>
    <n v="3"/>
    <x v="1"/>
  </r>
  <r>
    <s v="E02984"/>
    <x v="619"/>
    <x v="1"/>
    <n v="45"/>
    <s v="Sr. Manger"/>
    <x v="3"/>
    <s v="Manufacturing"/>
    <d v="2024-01-03T00:00:00"/>
    <m/>
    <n v="1246000"/>
    <n v="0"/>
    <x v="1"/>
    <n v="2"/>
    <x v="0"/>
  </r>
  <r>
    <s v="E02440"/>
    <x v="620"/>
    <x v="0"/>
    <n v="37"/>
    <s v="IT Coord"/>
    <x v="5"/>
    <s v="R&amp;D"/>
    <d v="2023-05-28T00:00:00"/>
    <d v="2024-02-15T00:00:00"/>
    <n v="1248000"/>
    <n v="0"/>
    <x v="0"/>
    <n v="0"/>
    <x v="1"/>
  </r>
  <r>
    <s v="E04699"/>
    <x v="621"/>
    <x v="1"/>
    <n v="38"/>
    <s v="Quality Eng"/>
    <x v="0"/>
    <s v="Products"/>
    <d v="2023-11-15T00:00:00"/>
    <d v="2024-01-03T00:00:00"/>
    <n v="1250000"/>
    <n v="0"/>
    <x v="0"/>
    <n v="0"/>
    <x v="1"/>
  </r>
  <r>
    <s v="E03579"/>
    <x v="622"/>
    <x v="0"/>
    <n v="45"/>
    <s v="Quality Eng"/>
    <x v="0"/>
    <s v="R&amp;D"/>
    <d v="2020-01-21T00:00:00"/>
    <d v="2023-10-07T00:00:00"/>
    <n v="1252000"/>
    <n v="0.32"/>
    <x v="0"/>
    <n v="3"/>
    <x v="0"/>
  </r>
  <r>
    <s v="E01649"/>
    <x v="623"/>
    <x v="1"/>
    <n v="51"/>
    <s v="Ops Eng"/>
    <x v="0"/>
    <s v="Corporate"/>
    <d v="2023-10-07T00:00:00"/>
    <m/>
    <n v="1254000"/>
    <n v="0.09"/>
    <x v="1"/>
    <n v="2"/>
    <x v="3"/>
  </r>
  <r>
    <s v="E04969"/>
    <x v="624"/>
    <x v="1"/>
    <n v="56"/>
    <s v="IT Coord"/>
    <x v="5"/>
    <s v="Products"/>
    <d v="2024-04-19T00:00:00"/>
    <m/>
    <n v="1256000"/>
    <n v="0"/>
    <x v="1"/>
    <n v="1"/>
    <x v="3"/>
  </r>
  <r>
    <s v="E00170"/>
    <x v="625"/>
    <x v="1"/>
    <n v="53"/>
    <s v="Ops Eng"/>
    <x v="0"/>
    <s v="R&amp;D"/>
    <d v="2020-09-09T00:00:00"/>
    <m/>
    <n v="1258000"/>
    <n v="0.28000000000000003"/>
    <x v="1"/>
    <n v="5"/>
    <x v="3"/>
  </r>
  <r>
    <s v="E00955"/>
    <x v="626"/>
    <x v="0"/>
    <n v="47"/>
    <s v="Ops Eng"/>
    <x v="0"/>
    <s v="Manufacturing"/>
    <d v="2023-11-03T00:00:00"/>
    <m/>
    <n v="1260000"/>
    <n v="0"/>
    <x v="1"/>
    <n v="2"/>
    <x v="0"/>
  </r>
  <r>
    <s v="E00810"/>
    <x v="627"/>
    <x v="1"/>
    <n v="36"/>
    <s v="IT Coord"/>
    <x v="5"/>
    <s v="Manufacturing"/>
    <d v="2024-04-30T00:00:00"/>
    <m/>
    <n v="1262000"/>
    <n v="0.33"/>
    <x v="1"/>
    <n v="1"/>
    <x v="1"/>
  </r>
  <r>
    <s v="E02798"/>
    <x v="628"/>
    <x v="0"/>
    <n v="41"/>
    <s v="Auto Eng"/>
    <x v="0"/>
    <s v="Manufacturing"/>
    <d v="2020-02-26T00:00:00"/>
    <m/>
    <n v="1264000"/>
    <n v="0"/>
    <x v="1"/>
    <n v="5"/>
    <x v="0"/>
  </r>
  <r>
    <s v="E04542"/>
    <x v="629"/>
    <x v="1"/>
    <n v="30"/>
    <s v=" Dev Eng"/>
    <x v="0"/>
    <s v="Manufacturing"/>
    <d v="2022-09-11T00:00:00"/>
    <d v="2023-05-28T00:00:00"/>
    <n v="1266000"/>
    <n v="0.08"/>
    <x v="0"/>
    <n v="0"/>
    <x v="1"/>
  </r>
  <r>
    <s v="E02818"/>
    <x v="630"/>
    <x v="1"/>
    <n v="30"/>
    <s v="Sr. Analyst"/>
    <x v="2"/>
    <s v="Manufacturing"/>
    <d v="2023-05-18T00:00:00"/>
    <d v="2024-04-19T00:00:00"/>
    <n v="1268000"/>
    <n v="0.28000000000000003"/>
    <x v="0"/>
    <n v="0"/>
    <x v="1"/>
  </r>
  <r>
    <s v="E02907"/>
    <x v="631"/>
    <x v="1"/>
    <n v="38"/>
    <s v="Quality Eng"/>
    <x v="0"/>
    <s v="Corporate"/>
    <d v="2021-11-09T00:00:00"/>
    <m/>
    <n v="1270000"/>
    <n v="0.12"/>
    <x v="1"/>
    <n v="4"/>
    <x v="1"/>
  </r>
  <r>
    <s v="E00023"/>
    <x v="632"/>
    <x v="1"/>
    <n v="51"/>
    <s v="Ops Eng"/>
    <x v="0"/>
    <s v="Products"/>
    <d v="2020-05-12T00:00:00"/>
    <m/>
    <n v="1272000"/>
    <n v="0.28000000000000003"/>
    <x v="1"/>
    <n v="5"/>
    <x v="3"/>
  </r>
  <r>
    <s v="E02391"/>
    <x v="633"/>
    <x v="1"/>
    <n v="39"/>
    <s v="Field Eng"/>
    <x v="0"/>
    <s v="Manufacturing"/>
    <d v="2022-09-11T00:00:00"/>
    <m/>
    <n v="1274000"/>
    <n v="0.39"/>
    <x v="1"/>
    <n v="3"/>
    <x v="1"/>
  </r>
  <r>
    <s v="E01429"/>
    <x v="634"/>
    <x v="1"/>
    <n v="31"/>
    <s v="Sr. Analyst"/>
    <x v="4"/>
    <s v="R&amp;D"/>
    <d v="2022-10-23T00:00:00"/>
    <d v="2024-04-30T00:00:00"/>
    <n v="1276000"/>
    <n v="0"/>
    <x v="0"/>
    <n v="1"/>
    <x v="1"/>
  </r>
  <r>
    <s v="E00494"/>
    <x v="635"/>
    <x v="0"/>
    <n v="45"/>
    <s v="Net Admin"/>
    <x v="5"/>
    <s v="Manufacturing"/>
    <d v="2024-08-23T00:00:00"/>
    <m/>
    <n v="1278000"/>
    <n v="0"/>
    <x v="1"/>
    <n v="1"/>
    <x v="0"/>
  </r>
  <r>
    <s v="E00634"/>
    <x v="636"/>
    <x v="1"/>
    <n v="50"/>
    <s v="Sr. Analyst"/>
    <x v="3"/>
    <s v="Products"/>
    <d v="2023-11-07T00:00:00"/>
    <d v="2024-05-18T00:00:00"/>
    <n v="1280000"/>
    <n v="0"/>
    <x v="0"/>
    <n v="0"/>
    <x v="3"/>
  </r>
  <r>
    <s v="E01249"/>
    <x v="637"/>
    <x v="0"/>
    <n v="36"/>
    <s v=" Dev Eng"/>
    <x v="0"/>
    <s v="R&amp;D"/>
    <d v="2023-10-07T00:00:00"/>
    <m/>
    <n v="1282000"/>
    <n v="0.3"/>
    <x v="1"/>
    <n v="2"/>
    <x v="1"/>
  </r>
  <r>
    <s v="E04683"/>
    <x v="638"/>
    <x v="1"/>
    <n v="45"/>
    <s v="Net Admin"/>
    <x v="5"/>
    <s v="R&amp;D"/>
    <d v="2022-04-26T00:00:00"/>
    <m/>
    <n v="1284000"/>
    <n v="0.18"/>
    <x v="1"/>
    <n v="3"/>
    <x v="0"/>
  </r>
  <r>
    <s v="E04732"/>
    <x v="639"/>
    <x v="1"/>
    <n v="29"/>
    <s v="Field Eng"/>
    <x v="0"/>
    <s v="Corporate"/>
    <d v="2020-02-28T00:00:00"/>
    <d v="2022-09-11T00:00:00"/>
    <n v="1286000"/>
    <n v="0"/>
    <x v="0"/>
    <n v="2"/>
    <x v="2"/>
  </r>
  <r>
    <s v="E03834"/>
    <x v="640"/>
    <x v="0"/>
    <n v="41"/>
    <s v="Auto Eng"/>
    <x v="0"/>
    <s v="Corporate"/>
    <d v="2020-10-12T00:00:00"/>
    <d v="2023-10-07T00:00:00"/>
    <n v="1288000"/>
    <n v="0.24"/>
    <x v="0"/>
    <n v="2"/>
    <x v="0"/>
  </r>
  <r>
    <s v="E02923"/>
    <x v="641"/>
    <x v="1"/>
    <n v="47"/>
    <s v=" Dev Eng"/>
    <x v="0"/>
    <s v="Products"/>
    <d v="2022-01-27T00:00:00"/>
    <m/>
    <n v="1290000"/>
    <n v="0"/>
    <x v="1"/>
    <n v="4"/>
    <x v="0"/>
  </r>
  <r>
    <s v="E02642"/>
    <x v="642"/>
    <x v="1"/>
    <n v="38"/>
    <s v="Sr. Acc Rep"/>
    <x v="1"/>
    <s v="Corporate"/>
    <d v="2020-02-15T00:00:00"/>
    <d v="2024-05-28T00:00:00"/>
    <n v="1292000"/>
    <n v="0"/>
    <x v="0"/>
    <n v="4"/>
    <x v="1"/>
  </r>
  <r>
    <s v="E00981"/>
    <x v="643"/>
    <x v="1"/>
    <n v="40"/>
    <s v="Field Eng"/>
    <x v="0"/>
    <s v="Products"/>
    <d v="2024-02-10T00:00:00"/>
    <m/>
    <n v="1294000"/>
    <n v="0"/>
    <x v="1"/>
    <n v="1"/>
    <x v="0"/>
  </r>
  <r>
    <s v="E04157"/>
    <x v="644"/>
    <x v="1"/>
    <n v="45"/>
    <s v="Sr. Acc Rep"/>
    <x v="1"/>
    <s v="R&amp;D"/>
    <d v="2020-12-18T00:00:00"/>
    <m/>
    <n v="1296000"/>
    <n v="0"/>
    <x v="1"/>
    <n v="5"/>
    <x v="0"/>
  </r>
  <r>
    <s v="E03528"/>
    <x v="645"/>
    <x v="0"/>
    <n v="46"/>
    <s v="Auto Eng"/>
    <x v="0"/>
    <s v="Products"/>
    <d v="2020-01-07T00:00:00"/>
    <m/>
    <n v="1298000"/>
    <n v="0.15"/>
    <x v="1"/>
    <n v="6"/>
    <x v="0"/>
  </r>
  <r>
    <s v="E04547"/>
    <x v="646"/>
    <x v="1"/>
    <n v="35"/>
    <s v="Auto Eng"/>
    <x v="0"/>
    <s v="R&amp;D"/>
    <d v="2023-10-07T00:00:00"/>
    <m/>
    <n v="1300000"/>
    <n v="0"/>
    <x v="1"/>
    <n v="2"/>
    <x v="1"/>
  </r>
  <r>
    <s v="E04415"/>
    <x v="647"/>
    <x v="0"/>
    <n v="46"/>
    <s v="Sr. Manger"/>
    <x v="2"/>
    <s v="R&amp;D"/>
    <d v="2021-10-18T00:00:00"/>
    <m/>
    <n v="1302000"/>
    <n v="0.26"/>
    <x v="1"/>
    <n v="4"/>
    <x v="0"/>
  </r>
  <r>
    <s v="E04484"/>
    <x v="648"/>
    <x v="0"/>
    <n v="35"/>
    <s v="Sr. Manger"/>
    <x v="3"/>
    <s v="Products"/>
    <d v="2022-08-18T00:00:00"/>
    <m/>
    <n v="1304000"/>
    <n v="0"/>
    <x v="1"/>
    <n v="3"/>
    <x v="1"/>
  </r>
  <r>
    <s v="E02800"/>
    <x v="649"/>
    <x v="0"/>
    <n v="46"/>
    <s v="Sr. Manger"/>
    <x v="4"/>
    <s v="Corporate"/>
    <d v="2024-05-28T00:00:00"/>
    <m/>
    <n v="1306000"/>
    <n v="0.12"/>
    <x v="1"/>
    <n v="1"/>
    <x v="0"/>
  </r>
  <r>
    <s v="E04926"/>
    <x v="650"/>
    <x v="0"/>
    <n v="46"/>
    <s v="Quality Eng"/>
    <x v="0"/>
    <s v="Manufacturing"/>
    <d v="2022-09-07T00:00:00"/>
    <m/>
    <n v="1308000"/>
    <n v="0"/>
    <x v="1"/>
    <n v="3"/>
    <x v="0"/>
  </r>
  <r>
    <s v="E01268"/>
    <x v="651"/>
    <x v="1"/>
    <n v="51"/>
    <s v="Sr. Manger"/>
    <x v="3"/>
    <s v="Manufacturing"/>
    <d v="2024-01-03T00:00:00"/>
    <m/>
    <n v="1310000"/>
    <n v="0"/>
    <x v="1"/>
    <n v="2"/>
    <x v="3"/>
  </r>
  <r>
    <s v="E04853"/>
    <x v="652"/>
    <x v="0"/>
    <n v="46"/>
    <s v="IT Coord"/>
    <x v="5"/>
    <s v="R&amp;D"/>
    <d v="2023-05-28T00:00:00"/>
    <m/>
    <n v="1312000"/>
    <n v="0"/>
    <x v="1"/>
    <n v="2"/>
    <x v="0"/>
  </r>
  <r>
    <s v="E01209"/>
    <x v="653"/>
    <x v="1"/>
    <n v="36"/>
    <s v="Quality Eng"/>
    <x v="0"/>
    <s v="Products"/>
    <d v="2023-11-15T00:00:00"/>
    <m/>
    <n v="1314000"/>
    <n v="0.08"/>
    <x v="1"/>
    <n v="2"/>
    <x v="1"/>
  </r>
  <r>
    <s v="E02024"/>
    <x v="654"/>
    <x v="0"/>
    <n v="45"/>
    <s v="Quality Eng"/>
    <x v="0"/>
    <s v="R&amp;D"/>
    <d v="2020-01-21T00:00:00"/>
    <m/>
    <n v="1316000"/>
    <n v="0"/>
    <x v="1"/>
    <n v="6"/>
    <x v="0"/>
  </r>
  <r>
    <s v="E02427"/>
    <x v="655"/>
    <x v="1"/>
    <n v="37"/>
    <s v="Ops Eng"/>
    <x v="0"/>
    <s v="Corporate"/>
    <d v="2023-10-07T00:00:00"/>
    <m/>
    <n v="1318000"/>
    <n v="7.0000000000000007E-2"/>
    <x v="1"/>
    <n v="2"/>
    <x v="1"/>
  </r>
  <r>
    <s v="E00276"/>
    <x v="656"/>
    <x v="1"/>
    <n v="38"/>
    <s v="IT Coord"/>
    <x v="5"/>
    <s v="Products"/>
    <d v="2024-04-19T00:00:00"/>
    <m/>
    <n v="1320000"/>
    <n v="7.0000000000000007E-2"/>
    <x v="1"/>
    <n v="1"/>
    <x v="1"/>
  </r>
  <r>
    <s v="E00951"/>
    <x v="657"/>
    <x v="1"/>
    <n v="45"/>
    <s v="Ops Eng"/>
    <x v="0"/>
    <s v="R&amp;D"/>
    <d v="2020-09-09T00:00:00"/>
    <m/>
    <n v="1322000"/>
    <n v="0"/>
    <x v="1"/>
    <n v="5"/>
    <x v="0"/>
  </r>
  <r>
    <s v="E03248"/>
    <x v="658"/>
    <x v="0"/>
    <n v="51"/>
    <s v="Ops Eng"/>
    <x v="0"/>
    <s v="Manufacturing"/>
    <d v="2023-11-03T00:00:00"/>
    <m/>
    <n v="1324000"/>
    <n v="0.12"/>
    <x v="1"/>
    <n v="2"/>
    <x v="3"/>
  </r>
  <r>
    <s v="E04444"/>
    <x v="659"/>
    <x v="1"/>
    <n v="56"/>
    <s v="IT Coord"/>
    <x v="5"/>
    <s v="Manufacturing"/>
    <d v="2024-04-30T00:00:00"/>
    <m/>
    <n v="1326000"/>
    <n v="0"/>
    <x v="1"/>
    <n v="1"/>
    <x v="3"/>
  </r>
  <r>
    <s v="E02307"/>
    <x v="660"/>
    <x v="0"/>
    <n v="53"/>
    <s v="Auto Eng"/>
    <x v="0"/>
    <s v="Manufacturing"/>
    <d v="2020-02-26T00:00:00"/>
    <m/>
    <n v="1328000"/>
    <n v="0.26"/>
    <x v="1"/>
    <n v="5"/>
    <x v="3"/>
  </r>
  <r>
    <s v="E02375"/>
    <x v="661"/>
    <x v="1"/>
    <n v="47"/>
    <s v=" Dev Eng"/>
    <x v="0"/>
    <s v="Manufacturing"/>
    <d v="2022-09-11T00:00:00"/>
    <m/>
    <n v="1330000"/>
    <n v="0.13"/>
    <x v="1"/>
    <n v="3"/>
    <x v="0"/>
  </r>
  <r>
    <s v="E02276"/>
    <x v="662"/>
    <x v="1"/>
    <n v="36"/>
    <s v="Sr. Analyst"/>
    <x v="2"/>
    <s v="Manufacturing"/>
    <d v="2024-05-18T00:00:00"/>
    <m/>
    <n v="1332000"/>
    <n v="0"/>
    <x v="1"/>
    <n v="1"/>
    <x v="1"/>
  </r>
  <r>
    <s v="E02649"/>
    <x v="663"/>
    <x v="1"/>
    <n v="41"/>
    <s v="Quality Eng"/>
    <x v="0"/>
    <s v="Corporate"/>
    <d v="2021-11-09T00:00:00"/>
    <m/>
    <n v="1334000"/>
    <n v="0"/>
    <x v="1"/>
    <n v="4"/>
    <x v="0"/>
  </r>
  <r>
    <s v="E00503"/>
    <x v="664"/>
    <x v="1"/>
    <n v="51"/>
    <s v="Ops Eng"/>
    <x v="0"/>
    <s v="Products"/>
    <d v="2020-05-12T00:00:00"/>
    <m/>
    <n v="1336000"/>
    <n v="0.08"/>
    <x v="1"/>
    <n v="5"/>
    <x v="3"/>
  </r>
  <r>
    <s v="E01706"/>
    <x v="665"/>
    <x v="1"/>
    <n v="51"/>
    <s v="Field Eng"/>
    <x v="0"/>
    <s v="Manufacturing"/>
    <d v="2022-09-11T00:00:00"/>
    <m/>
    <n v="1338000"/>
    <n v="0"/>
    <x v="1"/>
    <n v="3"/>
    <x v="3"/>
  </r>
  <r>
    <s v="E00676"/>
    <x v="666"/>
    <x v="1"/>
    <n v="38"/>
    <s v="Sr. Analyst"/>
    <x v="4"/>
    <s v="R&amp;D"/>
    <d v="2022-10-23T00:00:00"/>
    <m/>
    <n v="1340000"/>
    <n v="0.1"/>
    <x v="1"/>
    <n v="3"/>
    <x v="1"/>
  </r>
  <r>
    <s v="E02005"/>
    <x v="667"/>
    <x v="0"/>
    <n v="46"/>
    <s v="Net Admin"/>
    <x v="5"/>
    <s v="Manufacturing"/>
    <d v="2024-08-23T00:00:00"/>
    <m/>
    <n v="1342000"/>
    <n v="0"/>
    <x v="1"/>
    <n v="1"/>
    <x v="0"/>
  </r>
  <r>
    <s v="E01895"/>
    <x v="668"/>
    <x v="1"/>
    <n v="39"/>
    <s v="Sr. Analyst"/>
    <x v="3"/>
    <s v="Products"/>
    <d v="2023-11-07T00:00:00"/>
    <m/>
    <n v="1344000"/>
    <n v="0"/>
    <x v="1"/>
    <n v="2"/>
    <x v="1"/>
  </r>
  <r>
    <s v="E01396"/>
    <x v="669"/>
    <x v="0"/>
    <n v="31"/>
    <s v=" Dev Eng"/>
    <x v="0"/>
    <s v="R&amp;D"/>
    <d v="2023-10-07T00:00:00"/>
    <m/>
    <n v="1346000"/>
    <n v="0"/>
    <x v="1"/>
    <n v="2"/>
    <x v="1"/>
  </r>
  <r>
    <s v="E00749"/>
    <x v="670"/>
    <x v="1"/>
    <n v="45"/>
    <s v="Net Admin"/>
    <x v="5"/>
    <s v="R&amp;D"/>
    <d v="2022-04-26T00:00:00"/>
    <d v="2024-05-28T00:00:00"/>
    <n v="1348000"/>
    <n v="0"/>
    <x v="0"/>
    <n v="2"/>
    <x v="0"/>
  </r>
  <r>
    <s v="E01941"/>
    <x v="671"/>
    <x v="1"/>
    <n v="50"/>
    <s v="Field Eng"/>
    <x v="0"/>
    <s v="Corporate"/>
    <d v="2020-02-28T00:00:00"/>
    <d v="2023-10-07T00:00:00"/>
    <n v="1350000"/>
    <n v="0"/>
    <x v="0"/>
    <n v="3"/>
    <x v="3"/>
  </r>
  <r>
    <s v="E01413"/>
    <x v="672"/>
    <x v="0"/>
    <n v="36"/>
    <s v="Auto Eng"/>
    <x v="0"/>
    <s v="Corporate"/>
    <d v="2020-10-12T00:00:00"/>
    <m/>
    <n v="1352000"/>
    <n v="0"/>
    <x v="1"/>
    <n v="5"/>
    <x v="1"/>
  </r>
  <r>
    <s v="E03928"/>
    <x v="673"/>
    <x v="1"/>
    <n v="45"/>
    <s v=" Dev Eng"/>
    <x v="0"/>
    <s v="Products"/>
    <d v="2022-01-27T00:00:00"/>
    <m/>
    <n v="1354000"/>
    <n v="0"/>
    <x v="1"/>
    <n v="4"/>
    <x v="0"/>
  </r>
  <r>
    <s v="E04109"/>
    <x v="674"/>
    <x v="1"/>
    <n v="51"/>
    <s v="Sr. Acc Rep"/>
    <x v="1"/>
    <s v="Corporate"/>
    <d v="2024-02-15T00:00:00"/>
    <m/>
    <n v="1356000"/>
    <n v="0"/>
    <x v="1"/>
    <n v="1"/>
    <x v="3"/>
  </r>
  <r>
    <s v="E03994"/>
    <x v="675"/>
    <x v="1"/>
    <n v="41"/>
    <s v="Field Eng"/>
    <x v="0"/>
    <s v="Products"/>
    <d v="2022-02-10T00:00:00"/>
    <d v="2024-05-28T00:00:00"/>
    <n v="1358000"/>
    <n v="0"/>
    <x v="0"/>
    <n v="2"/>
    <x v="0"/>
  </r>
  <r>
    <s v="E00639"/>
    <x v="676"/>
    <x v="1"/>
    <n v="47"/>
    <s v="Sr. Acc Rep"/>
    <x v="1"/>
    <s v="R&amp;D"/>
    <d v="2020-12-18T00:00:00"/>
    <m/>
    <n v="1360000"/>
    <n v="0"/>
    <x v="1"/>
    <n v="5"/>
    <x v="0"/>
  </r>
  <r>
    <s v="E00608"/>
    <x v="677"/>
    <x v="0"/>
    <n v="38"/>
    <s v="Auto Eng"/>
    <x v="0"/>
    <s v="Products"/>
    <d v="2020-01-07T00:00:00"/>
    <m/>
    <n v="1362000"/>
    <n v="0"/>
    <x v="1"/>
    <n v="6"/>
    <x v="1"/>
  </r>
  <r>
    <s v="E04189"/>
    <x v="678"/>
    <x v="1"/>
    <n v="40"/>
    <s v="Auto Eng"/>
    <x v="0"/>
    <s v="R&amp;D"/>
    <d v="2023-10-07T00:00:00"/>
    <m/>
    <n v="1364000"/>
    <n v="0"/>
    <x v="1"/>
    <n v="2"/>
    <x v="0"/>
  </r>
  <r>
    <s v="E02732"/>
    <x v="679"/>
    <x v="0"/>
    <n v="45"/>
    <s v="Sr. Manger"/>
    <x v="2"/>
    <s v="R&amp;D"/>
    <d v="2021-10-18T00:00:00"/>
    <m/>
    <n v="1366000"/>
    <n v="0"/>
    <x v="1"/>
    <n v="4"/>
    <x v="0"/>
  </r>
  <r>
    <s v="E00324"/>
    <x v="680"/>
    <x v="0"/>
    <n v="26"/>
    <s v="Sr. Manger"/>
    <x v="3"/>
    <s v="Products"/>
    <d v="2020-08-18T00:00:00"/>
    <d v="2022-01-03T00:00:00"/>
    <n v="1368000"/>
    <n v="0.06"/>
    <x v="0"/>
    <n v="1"/>
    <x v="2"/>
  </r>
  <r>
    <s v="E00518"/>
    <x v="681"/>
    <x v="0"/>
    <n v="35"/>
    <s v="Sr. Manger"/>
    <x v="4"/>
    <s v="Corporate"/>
    <d v="2021-05-28T00:00:00"/>
    <d v="2023-05-28T00:00:00"/>
    <n v="1370000"/>
    <n v="0.05"/>
    <x v="0"/>
    <n v="2"/>
    <x v="1"/>
  </r>
  <r>
    <s v="E01286"/>
    <x v="682"/>
    <x v="0"/>
    <n v="29"/>
    <s v="Quality Eng"/>
    <x v="0"/>
    <s v="Manufacturing"/>
    <d v="2022-09-07T00:00:00"/>
    <d v="2023-11-15T00:00:00"/>
    <n v="1372000"/>
    <n v="0"/>
    <x v="0"/>
    <n v="1"/>
    <x v="2"/>
  </r>
  <r>
    <s v="E04564"/>
    <x v="683"/>
    <x v="0"/>
    <n v="35"/>
    <s v="Sr. Manger"/>
    <x v="3"/>
    <s v="Manufacturing"/>
    <d v="2020-01-03T00:00:00"/>
    <d v="2024-01-21T00:00:00"/>
    <n v="1374000"/>
    <n v="0.13"/>
    <x v="0"/>
    <n v="4"/>
    <x v="1"/>
  </r>
  <r>
    <s v="E02033"/>
    <x v="684"/>
    <x v="1"/>
    <n v="51"/>
    <s v="IT Coord"/>
    <x v="5"/>
    <s v="R&amp;D"/>
    <d v="2023-05-28T00:00:00"/>
    <m/>
    <n v="1376000"/>
    <n v="0.2"/>
    <x v="1"/>
    <n v="2"/>
    <x v="3"/>
  </r>
  <r>
    <s v="E00412"/>
    <x v="685"/>
    <x v="0"/>
    <n v="46"/>
    <s v="Quality Eng"/>
    <x v="0"/>
    <s v="Products"/>
    <d v="2023-11-15T00:00:00"/>
    <m/>
    <n v="1378000"/>
    <n v="0"/>
    <x v="1"/>
    <n v="2"/>
    <x v="0"/>
  </r>
  <r>
    <s v="E01844"/>
    <x v="686"/>
    <x v="1"/>
    <n v="51"/>
    <s v="Quality Eng"/>
    <x v="0"/>
    <s v="R&amp;D"/>
    <d v="2020-01-21T00:00:00"/>
    <m/>
    <n v="1380000"/>
    <n v="0"/>
    <x v="1"/>
    <n v="6"/>
    <x v="3"/>
  </r>
  <r>
    <s v="E00667"/>
    <x v="687"/>
    <x v="0"/>
    <n v="46"/>
    <s v="Ops Eng"/>
    <x v="0"/>
    <s v="Corporate"/>
    <d v="2023-10-07T00:00:00"/>
    <m/>
    <n v="1382000"/>
    <n v="0"/>
    <x v="1"/>
    <n v="2"/>
    <x v="0"/>
  </r>
  <r>
    <s v="E02639"/>
    <x v="688"/>
    <x v="1"/>
    <n v="36"/>
    <s v="IT Coord"/>
    <x v="5"/>
    <s v="Products"/>
    <d v="2024-04-19T00:00:00"/>
    <m/>
    <n v="1384000"/>
    <n v="0"/>
    <x v="1"/>
    <n v="1"/>
    <x v="1"/>
  </r>
  <r>
    <s v="E00287"/>
    <x v="689"/>
    <x v="1"/>
    <n v="45"/>
    <s v="Ops Eng"/>
    <x v="0"/>
    <s v="R&amp;D"/>
    <d v="2020-09-09T00:00:00"/>
    <m/>
    <n v="1386000"/>
    <n v="0.09"/>
    <x v="1"/>
    <n v="5"/>
    <x v="0"/>
  </r>
  <r>
    <s v="E02235"/>
    <x v="690"/>
    <x v="1"/>
    <n v="37"/>
    <s v="Ops Eng"/>
    <x v="0"/>
    <s v="Manufacturing"/>
    <d v="2023-11-03T00:00:00"/>
    <m/>
    <n v="1388000"/>
    <n v="0"/>
    <x v="1"/>
    <n v="2"/>
    <x v="1"/>
  </r>
  <r>
    <s v="E02453"/>
    <x v="691"/>
    <x v="1"/>
    <n v="51"/>
    <s v="Ops Eng"/>
    <x v="4"/>
    <s v="Corporate"/>
    <d v="2024-05-28T00:00:00"/>
    <m/>
    <n v="1390000"/>
    <n v="0.15"/>
    <x v="1"/>
    <n v="1"/>
    <x v="3"/>
  </r>
  <r>
    <s v="E00647"/>
    <x v="692"/>
    <x v="0"/>
    <n v="56"/>
    <s v="IT Coord"/>
    <x v="0"/>
    <s v="Manufacturing"/>
    <d v="2022-09-07T00:00:00"/>
    <m/>
    <n v="1392000"/>
    <n v="0"/>
    <x v="1"/>
    <n v="3"/>
    <x v="3"/>
  </r>
  <r>
    <s v="E02522"/>
    <x v="693"/>
    <x v="1"/>
    <n v="53"/>
    <s v="Auto Eng"/>
    <x v="3"/>
    <s v="Manufacturing"/>
    <d v="2022-01-03T00:00:00"/>
    <d v="2023-10-07T00:00:00"/>
    <n v="1394000"/>
    <n v="0.26"/>
    <x v="0"/>
    <n v="1"/>
    <x v="3"/>
  </r>
  <r>
    <s v="E00459"/>
    <x v="694"/>
    <x v="0"/>
    <n v="47"/>
    <s v=" Dev Eng"/>
    <x v="5"/>
    <s v="R&amp;D"/>
    <d v="2023-05-28T00:00:00"/>
    <m/>
    <n v="1396000"/>
    <n v="0"/>
    <x v="1"/>
    <n v="2"/>
    <x v="0"/>
  </r>
  <r>
    <s v="E03007"/>
    <x v="695"/>
    <x v="1"/>
    <n v="36"/>
    <s v="Sr. Analyst"/>
    <x v="0"/>
    <s v="Products"/>
    <d v="2023-11-15T00:00:00"/>
    <m/>
    <n v="1398000"/>
    <n v="0.12"/>
    <x v="1"/>
    <n v="2"/>
    <x v="1"/>
  </r>
  <r>
    <s v="E04035"/>
    <x v="696"/>
    <x v="1"/>
    <n v="41"/>
    <s v="Quality Eng"/>
    <x v="0"/>
    <s v="R&amp;D"/>
    <d v="2020-01-21T00:00:00"/>
    <m/>
    <n v="1400000"/>
    <n v="0"/>
    <x v="1"/>
    <n v="6"/>
    <x v="0"/>
  </r>
  <r>
    <s v="E00952"/>
    <x v="697"/>
    <x v="0"/>
    <n v="46"/>
    <s v="Ops Eng"/>
    <x v="0"/>
    <s v="Corporate"/>
    <d v="2023-10-07T00:00:00"/>
    <m/>
    <n v="1402000"/>
    <n v="0"/>
    <x v="1"/>
    <n v="2"/>
    <x v="0"/>
  </r>
  <r>
    <s v="E03863"/>
    <x v="698"/>
    <x v="1"/>
    <n v="51"/>
    <s v="Field Eng"/>
    <x v="5"/>
    <s v="Products"/>
    <d v="2024-04-19T00:00:00"/>
    <m/>
    <n v="1404000"/>
    <n v="0"/>
    <x v="1"/>
    <n v="1"/>
    <x v="3"/>
  </r>
  <r>
    <s v="E02710"/>
    <x v="699"/>
    <x v="1"/>
    <n v="38"/>
    <s v="Sr. Analyst"/>
    <x v="0"/>
    <s v="R&amp;D"/>
    <d v="2020-09-09T00:00:00"/>
    <m/>
    <n v="1406000"/>
    <n v="0.08"/>
    <x v="1"/>
    <n v="5"/>
    <x v="1"/>
  </r>
  <r>
    <s v="E01895"/>
    <x v="700"/>
    <x v="1"/>
    <n v="51"/>
    <s v="Net Admin"/>
    <x v="0"/>
    <s v="Manufacturing"/>
    <d v="2023-11-03T00:00:00"/>
    <m/>
    <n v="1408000"/>
    <n v="0"/>
    <x v="1"/>
    <n v="2"/>
    <x v="3"/>
  </r>
  <r>
    <s v="E01339"/>
    <x v="701"/>
    <x v="1"/>
    <n v="39"/>
    <s v="Sr. Analyst"/>
    <x v="5"/>
    <s v="Manufacturing"/>
    <d v="2024-04-30T00:00:00"/>
    <m/>
    <n v="154892"/>
    <n v="7.0000000000000007E-2"/>
    <x v="1"/>
    <n v="1"/>
    <x v="1"/>
  </r>
  <r>
    <s v="E02938"/>
    <x v="702"/>
    <x v="0"/>
    <n v="31"/>
    <s v=" Dev Eng"/>
    <x v="0"/>
    <s v="Manufacturing"/>
    <d v="2020-02-26T00:00:00"/>
    <m/>
    <n v="243879"/>
    <n v="7.0000000000000007E-2"/>
    <x v="1"/>
    <n v="5"/>
    <x v="1"/>
  </r>
  <r>
    <s v="E03379"/>
    <x v="703"/>
    <x v="1"/>
    <n v="45"/>
    <s v="Net Admin"/>
    <x v="0"/>
    <s v="Manufacturing"/>
    <d v="2022-09-11T00:00:00"/>
    <m/>
    <n v="271490"/>
    <n v="0"/>
    <x v="1"/>
    <n v="3"/>
    <x v="0"/>
  </r>
  <r>
    <s v="E02153"/>
    <x v="704"/>
    <x v="0"/>
    <n v="50"/>
    <s v="Field Eng"/>
    <x v="2"/>
    <s v="Manufacturing"/>
    <d v="2024-05-18T00:00:00"/>
    <m/>
    <n v="284760"/>
    <n v="0.12"/>
    <x v="1"/>
    <n v="1"/>
    <x v="3"/>
  </r>
  <r>
    <s v="E00994"/>
    <x v="705"/>
    <x v="0"/>
    <n v="36"/>
    <s v="Auto Eng"/>
    <x v="0"/>
    <s v="Corporate"/>
    <d v="2021-11-09T00:00:00"/>
    <m/>
    <n v="519382"/>
    <n v="0"/>
    <x v="1"/>
    <n v="4"/>
    <x v="1"/>
  </r>
  <r>
    <s v="E00943"/>
    <x v="706"/>
    <x v="0"/>
    <n v="45"/>
    <s v=" Dev Eng"/>
    <x v="0"/>
    <s v="Products"/>
    <d v="2020-05-12T00:00:00"/>
    <m/>
    <n v="371296"/>
    <n v="0.26"/>
    <x v="1"/>
    <n v="5"/>
    <x v="0"/>
  </r>
  <r>
    <s v="E00869"/>
    <x v="707"/>
    <x v="0"/>
    <n v="46"/>
    <s v="Sr. Acc Rep"/>
    <x v="0"/>
    <s v="Manufacturing"/>
    <d v="2022-09-11T00:00:00"/>
    <m/>
    <n v="275439"/>
    <n v="0.13"/>
    <x v="1"/>
    <n v="3"/>
    <x v="0"/>
  </r>
  <r>
    <s v="E03457"/>
    <x v="708"/>
    <x v="1"/>
    <n v="41"/>
    <s v="Field Eng"/>
    <x v="4"/>
    <s v="R&amp;D"/>
    <d v="2022-10-23T00:00:00"/>
    <m/>
    <n v="318902"/>
    <n v="0"/>
    <x v="1"/>
    <n v="3"/>
    <x v="0"/>
  </r>
  <r>
    <s v="E02193"/>
    <x v="709"/>
    <x v="0"/>
    <n v="47"/>
    <s v="Sr. Acc Rep"/>
    <x v="5"/>
    <s v="Manufacturing"/>
    <d v="2024-08-23T00:00:00"/>
    <m/>
    <n v="364982"/>
    <n v="0"/>
    <x v="1"/>
    <n v="1"/>
    <x v="0"/>
  </r>
  <r>
    <s v="E00577"/>
    <x v="710"/>
    <x v="1"/>
    <n v="38"/>
    <s v="Auto Eng"/>
    <x v="3"/>
    <s v="Products"/>
    <d v="2023-11-07T00:00:00"/>
    <d v="2024-04-19T00:00:00"/>
    <n v="251398"/>
    <n v="0.08"/>
    <x v="0"/>
    <n v="0"/>
    <x v="1"/>
  </r>
  <r>
    <s v="E00538"/>
    <x v="711"/>
    <x v="0"/>
    <n v="40"/>
    <s v="Auto Eng"/>
    <x v="0"/>
    <s v="R&amp;D"/>
    <d v="2023-10-07T00:00:00"/>
    <m/>
    <n v="195478"/>
    <n v="0"/>
    <x v="1"/>
    <n v="2"/>
    <x v="0"/>
  </r>
  <r>
    <s v="E01415"/>
    <x v="712"/>
    <x v="1"/>
    <n v="45"/>
    <s v="Sr. Manger"/>
    <x v="5"/>
    <s v="R&amp;D"/>
    <d v="2022-04-26T00:00:00"/>
    <m/>
    <n v="367920"/>
    <n v="0.1"/>
    <x v="1"/>
    <n v="3"/>
    <x v="0"/>
  </r>
  <r>
    <s v="E00717"/>
    <x v="713"/>
    <x v="1"/>
    <n v="26"/>
    <s v="Sr. Manger"/>
    <x v="0"/>
    <s v="Corporate"/>
    <d v="2020-02-28T00:00:00"/>
    <d v="2022-09-11T00:00:00"/>
    <n v="295274"/>
    <n v="0"/>
    <x v="0"/>
    <n v="2"/>
    <x v="2"/>
  </r>
  <r>
    <s v="E00225"/>
    <x v="714"/>
    <x v="1"/>
    <n v="35"/>
    <s v="Sr. Manger"/>
    <x v="0"/>
    <s v="Corporate"/>
    <d v="2020-10-12T00:00:00"/>
    <m/>
    <n v="358972"/>
    <n v="0"/>
    <x v="1"/>
    <n v="5"/>
    <x v="1"/>
  </r>
  <r>
    <s v="E02889"/>
    <x v="715"/>
    <x v="0"/>
    <n v="51"/>
    <s v="Quality Eng"/>
    <x v="0"/>
    <s v="Products"/>
    <d v="2022-01-27T00:00:00"/>
    <m/>
    <n v="310294"/>
    <n v="0"/>
    <x v="1"/>
    <n v="4"/>
    <x v="3"/>
  </r>
  <r>
    <s v="E04978"/>
    <x v="716"/>
    <x v="1"/>
    <n v="35"/>
    <s v="Sr. Manger"/>
    <x v="1"/>
    <s v="Corporate"/>
    <d v="2024-02-15T00:00:00"/>
    <m/>
    <n v="375480"/>
    <n v="0"/>
    <x v="1"/>
    <n v="1"/>
    <x v="1"/>
  </r>
  <r>
    <s v="E04163"/>
    <x v="717"/>
    <x v="0"/>
    <n v="51"/>
    <s v="IT Coord"/>
    <x v="0"/>
    <s v="Products"/>
    <d v="2024-02-10T00:00:00"/>
    <m/>
    <n v="253972"/>
    <n v="0"/>
    <x v="1"/>
    <n v="1"/>
    <x v="3"/>
  </r>
  <r>
    <s v="E01652"/>
    <x v="718"/>
    <x v="1"/>
    <n v="51"/>
    <s v="Quality Eng"/>
    <x v="1"/>
    <s v="R&amp;D"/>
    <d v="2020-12-18T00:00:00"/>
    <m/>
    <n v="265870"/>
    <n v="0"/>
    <x v="1"/>
    <n v="5"/>
    <x v="3"/>
  </r>
  <r>
    <s v="E00880"/>
    <x v="719"/>
    <x v="1"/>
    <n v="51"/>
    <s v="Quality Eng"/>
    <x v="0"/>
    <s v="Products"/>
    <d v="2020-01-07T00:00:00"/>
    <m/>
    <n v="154396"/>
    <n v="0"/>
    <x v="1"/>
    <n v="6"/>
    <x v="3"/>
  </r>
  <r>
    <s v="E04335"/>
    <x v="720"/>
    <x v="1"/>
    <n v="51"/>
    <s v="Ops Eng"/>
    <x v="0"/>
    <s v="R&amp;D"/>
    <d v="2023-10-07T00:00:00"/>
    <m/>
    <n v="413290"/>
    <n v="0"/>
    <x v="1"/>
    <n v="2"/>
    <x v="3"/>
  </r>
  <r>
    <s v="E01300"/>
    <x v="721"/>
    <x v="1"/>
    <n v="36"/>
    <s v="IT Coord"/>
    <x v="2"/>
    <s v="R&amp;D"/>
    <d v="2021-10-18T00:00:00"/>
    <m/>
    <n v="375420"/>
    <n v="0"/>
    <x v="1"/>
    <n v="4"/>
    <x v="1"/>
  </r>
  <r>
    <s v="E03102"/>
    <x v="722"/>
    <x v="1"/>
    <n v="45"/>
    <s v="Ops Eng"/>
    <x v="3"/>
    <s v="Products"/>
    <d v="2022-08-18T00:00:00"/>
    <m/>
    <n v="286739"/>
    <n v="0"/>
    <x v="1"/>
    <n v="3"/>
    <x v="0"/>
  </r>
  <r>
    <s v="E04089"/>
    <x v="723"/>
    <x v="1"/>
    <n v="37"/>
    <s v="Ops Eng"/>
    <x v="4"/>
    <s v="Corporate"/>
    <d v="2024-05-28T00:00:00"/>
    <m/>
    <n v="295374"/>
    <n v="0"/>
    <x v="1"/>
    <n v="1"/>
    <x v="1"/>
  </r>
  <r>
    <s v="E02059"/>
    <x v="724"/>
    <x v="0"/>
    <n v="38"/>
    <s v="IT Coord"/>
    <x v="0"/>
    <s v="Manufacturing"/>
    <d v="2022-09-07T00:00:00"/>
    <m/>
    <n v="312874"/>
    <n v="0"/>
    <x v="1"/>
    <n v="3"/>
    <x v="1"/>
  </r>
  <r>
    <s v="E03894"/>
    <x v="725"/>
    <x v="1"/>
    <n v="45"/>
    <s v="Auto Eng"/>
    <x v="3"/>
    <s v="Manufacturing"/>
    <d v="2024-01-03T00:00:00"/>
    <m/>
    <n v="350974"/>
    <n v="0"/>
    <x v="1"/>
    <n v="2"/>
    <x v="0"/>
  </r>
  <r>
    <s v="E03106"/>
    <x v="726"/>
    <x v="0"/>
    <n v="51"/>
    <s v=" Dev Eng"/>
    <x v="5"/>
    <s v="R&amp;D"/>
    <d v="2023-05-28T00:00:00"/>
    <d v="2024-02-15T00:00:00"/>
    <n v="278964"/>
    <n v="0.06"/>
    <x v="0"/>
    <n v="0"/>
    <x v="3"/>
  </r>
  <r>
    <s v="E01350"/>
    <x v="727"/>
    <x v="1"/>
    <n v="56"/>
    <s v="Sr. Analyst"/>
    <x v="0"/>
    <s v="Products"/>
    <d v="2023-11-15T00:00:00"/>
    <d v="2024-01-03T00:00:00"/>
    <n v="543290"/>
    <n v="0.05"/>
    <x v="0"/>
    <n v="0"/>
    <x v="3"/>
  </r>
  <r>
    <s v="E02900"/>
    <x v="728"/>
    <x v="1"/>
    <n v="53"/>
    <s v="Quality Eng"/>
    <x v="0"/>
    <s v="R&amp;D"/>
    <d v="2020-01-21T00:00:00"/>
    <d v="2023-10-07T00:00:00"/>
    <n v="415290"/>
    <n v="0"/>
    <x v="0"/>
    <n v="3"/>
    <x v="3"/>
  </r>
  <r>
    <s v="E02202"/>
    <x v="729"/>
    <x v="0"/>
    <n v="47"/>
    <s v="Ops Eng"/>
    <x v="0"/>
    <s v="Corporate"/>
    <d v="2023-10-07T00:00:00"/>
    <m/>
    <n v="271890"/>
    <n v="0.13"/>
    <x v="1"/>
    <n v="2"/>
    <x v="0"/>
  </r>
  <r>
    <s v="E02696"/>
    <x v="730"/>
    <x v="1"/>
    <n v="36"/>
    <s v="Field Eng"/>
    <x v="5"/>
    <s v="Products"/>
    <d v="2024-04-19T00:00:00"/>
    <m/>
    <n v="429871"/>
    <n v="0.2"/>
    <x v="1"/>
    <n v="1"/>
    <x v="1"/>
  </r>
  <r>
    <s v="E01722"/>
    <x v="731"/>
    <x v="1"/>
    <n v="41"/>
    <s v="Sr. Analyst"/>
    <x v="0"/>
    <s v="R&amp;D"/>
    <d v="2020-09-09T00:00:00"/>
    <m/>
    <n v="354782"/>
    <n v="0"/>
    <x v="1"/>
    <n v="5"/>
    <x v="0"/>
  </r>
  <r>
    <s v="E04562"/>
    <x v="732"/>
    <x v="1"/>
    <n v="46"/>
    <s v="Net Admin"/>
    <x v="0"/>
    <s v="Manufacturing"/>
    <d v="2023-11-03T00:00:00"/>
    <m/>
    <n v="415972"/>
    <n v="0"/>
    <x v="1"/>
    <n v="2"/>
    <x v="0"/>
  </r>
  <r>
    <s v="E00640"/>
    <x v="733"/>
    <x v="1"/>
    <n v="46"/>
    <s v="Sr. Analyst"/>
    <x v="5"/>
    <s v="Manufacturing"/>
    <d v="2024-04-30T00:00:00"/>
    <m/>
    <n v="251472"/>
    <n v="0"/>
    <x v="1"/>
    <n v="1"/>
    <x v="0"/>
  </r>
  <r>
    <s v="E02554"/>
    <x v="734"/>
    <x v="0"/>
    <n v="38"/>
    <s v=" Dev Eng"/>
    <x v="0"/>
    <s v="Manufacturing"/>
    <d v="2020-02-26T00:00:00"/>
    <m/>
    <n v="358974"/>
    <n v="0"/>
    <x v="0"/>
    <n v="5"/>
    <x v="1"/>
  </r>
  <r>
    <s v="E03412"/>
    <x v="735"/>
    <x v="1"/>
    <n v="46"/>
    <s v="Net Admin"/>
    <x v="0"/>
    <s v="Manufacturing"/>
    <d v="2022-09-11T00:00:00"/>
    <d v="2023-05-28T00:00:00"/>
    <n v="154928"/>
    <n v="0.09"/>
    <x v="1"/>
    <n v="0"/>
    <x v="0"/>
  </r>
  <r>
    <s v="E00646"/>
    <x v="736"/>
    <x v="0"/>
    <n v="39"/>
    <s v="Field Eng"/>
    <x v="2"/>
    <s v="Manufacturing"/>
    <d v="2023-05-18T00:00:00"/>
    <d v="2024-04-19T00:00:00"/>
    <n v="162493"/>
    <n v="0"/>
    <x v="0"/>
    <n v="0"/>
    <x v="1"/>
  </r>
  <r>
    <s v="E04670"/>
    <x v="737"/>
    <x v="0"/>
    <n v="31"/>
    <s v="Auto Eng"/>
    <x v="0"/>
    <s v="Corporate"/>
    <d v="2021-11-09T00:00:00"/>
    <m/>
    <n v="364972"/>
    <n v="0.15"/>
    <x v="1"/>
    <n v="4"/>
    <x v="1"/>
  </r>
  <r>
    <s v="E03580"/>
    <x v="738"/>
    <x v="0"/>
    <n v="45"/>
    <s v=" Dev Eng"/>
    <x v="0"/>
    <s v="Products"/>
    <d v="2020-05-12T00:00:00"/>
    <m/>
    <n v="154873"/>
    <n v="0"/>
    <x v="1"/>
    <n v="5"/>
    <x v="0"/>
  </r>
  <r>
    <s v="E00446"/>
    <x v="739"/>
    <x v="0"/>
    <n v="50"/>
    <s v="Sr. Acc Rep"/>
    <x v="0"/>
    <s v="Manufacturing"/>
    <d v="2022-09-11T00:00:00"/>
    <m/>
    <n v="347920"/>
    <n v="0.26"/>
    <x v="1"/>
    <n v="3"/>
    <x v="3"/>
  </r>
  <r>
    <s v="E02363"/>
    <x v="740"/>
    <x v="0"/>
    <n v="36"/>
    <s v="Field Eng"/>
    <x v="4"/>
    <s v="R&amp;D"/>
    <d v="2022-10-23T00:00:00"/>
    <d v="2024-04-30T00:00:00"/>
    <n v="371928"/>
    <n v="0"/>
    <x v="0"/>
    <n v="1"/>
    <x v="1"/>
  </r>
  <r>
    <s v="E03718"/>
    <x v="741"/>
    <x v="1"/>
    <n v="45"/>
    <s v="Sr. Acc Rep"/>
    <x v="5"/>
    <s v="Manufacturing"/>
    <d v="2024-08-23T00:00:00"/>
    <m/>
    <n v="283794"/>
    <n v="0.12"/>
    <x v="1"/>
    <n v="1"/>
    <x v="0"/>
  </r>
  <r>
    <s v="E01749"/>
    <x v="742"/>
    <x v="0"/>
    <n v="29"/>
    <s v="Auto Eng"/>
    <x v="3"/>
    <s v="Products"/>
    <d v="2023-11-07T00:00:00"/>
    <d v="2024-05-18T00:00:00"/>
    <n v="254983"/>
    <n v="0"/>
    <x v="0"/>
    <n v="0"/>
    <x v="2"/>
  </r>
  <r>
    <s v="E02888"/>
    <x v="743"/>
    <x v="1"/>
    <n v="46"/>
    <s v="Auto Eng"/>
    <x v="0"/>
    <s v="R&amp;D"/>
    <d v="2023-10-07T00:00:00"/>
    <m/>
    <n v="145972"/>
    <n v="0"/>
    <x v="1"/>
    <n v="2"/>
    <x v="0"/>
  </r>
  <r>
    <s v="E01338"/>
    <x v="744"/>
    <x v="0"/>
    <n v="47"/>
    <s v="Sr. Manger"/>
    <x v="5"/>
    <s v="R&amp;D"/>
    <d v="2022-04-26T00:00:00"/>
    <m/>
    <n v="306491"/>
    <n v="0"/>
    <x v="1"/>
    <n v="3"/>
    <x v="0"/>
  </r>
  <r>
    <s v="E03000"/>
    <x v="745"/>
    <x v="1"/>
    <n v="38"/>
    <s v="Sr. Manger"/>
    <x v="0"/>
    <s v="Corporate"/>
    <d v="2020-02-28T00:00:00"/>
    <d v="2022-09-11T00:00:00"/>
    <n v="290478"/>
    <n v="0.08"/>
    <x v="0"/>
    <n v="2"/>
    <x v="1"/>
  </r>
  <r>
    <s v="E01611"/>
    <x v="746"/>
    <x v="1"/>
    <n v="40"/>
    <s v="Sr. Manger"/>
    <x v="0"/>
    <s v="Corporate"/>
    <d v="2020-10-12T00:00:00"/>
    <d v="2023-10-07T00:00:00"/>
    <n v="374820"/>
    <n v="0"/>
    <x v="0"/>
    <n v="2"/>
    <x v="0"/>
  </r>
  <r>
    <s v="E02684"/>
    <x v="747"/>
    <x v="1"/>
    <n v="46"/>
    <s v="Quality Eng"/>
    <x v="0"/>
    <s v="Products"/>
    <d v="2022-01-27T00:00:00"/>
    <m/>
    <n v="367394"/>
    <n v="7.0000000000000007E-2"/>
    <x v="1"/>
    <n v="4"/>
    <x v="0"/>
  </r>
  <r>
    <s v="E02561"/>
    <x v="748"/>
    <x v="0"/>
    <n v="26"/>
    <s v="Sr. Manger"/>
    <x v="1"/>
    <s v="Corporate"/>
    <d v="2020-02-15T00:00:00"/>
    <d v="2024-05-28T00:00:00"/>
    <n v="416273"/>
    <n v="7.0000000000000007E-2"/>
    <x v="0"/>
    <n v="4"/>
    <x v="2"/>
  </r>
  <r>
    <s v="E03168"/>
    <x v="749"/>
    <x v="1"/>
    <n v="35"/>
    <s v="IT Coord"/>
    <x v="0"/>
    <s v="Products"/>
    <d v="2024-02-10T00:00:00"/>
    <m/>
    <n v="320879"/>
    <n v="0"/>
    <x v="1"/>
    <n v="1"/>
    <x v="1"/>
  </r>
  <r>
    <s v="E00758"/>
    <x v="750"/>
    <x v="0"/>
    <n v="51"/>
    <s v="Quality Eng"/>
    <x v="1"/>
    <s v="R&amp;D"/>
    <d v="2020-12-18T00:00:00"/>
    <m/>
    <n v="290376"/>
    <n v="0.12"/>
    <x v="1"/>
    <n v="5"/>
    <x v="3"/>
  </r>
  <r>
    <s v="E03691"/>
    <x v="751"/>
    <x v="1"/>
    <n v="35"/>
    <s v="Quality Eng"/>
    <x v="0"/>
    <s v="Products"/>
    <d v="2020-01-07T00:00:00"/>
    <m/>
    <n v="416920"/>
    <n v="0"/>
    <x v="1"/>
    <n v="6"/>
    <x v="1"/>
  </r>
  <r>
    <s v="E01488"/>
    <x v="752"/>
    <x v="1"/>
    <n v="46"/>
    <s v="Ops Eng"/>
    <x v="0"/>
    <s v="R&amp;D"/>
    <d v="2023-10-07T00:00:00"/>
    <m/>
    <n v="527380"/>
    <n v="0.26"/>
    <x v="1"/>
    <n v="2"/>
    <x v="0"/>
  </r>
  <r>
    <s v="E04415"/>
    <x v="753"/>
    <x v="1"/>
    <n v="46"/>
    <s v="IT Coord"/>
    <x v="2"/>
    <s v="R&amp;D"/>
    <d v="2021-10-18T00:00:00"/>
    <m/>
    <n v="154927"/>
    <n v="0.13"/>
    <x v="1"/>
    <n v="4"/>
    <x v="0"/>
  </r>
  <r>
    <s v="E03278"/>
    <x v="754"/>
    <x v="1"/>
    <n v="27"/>
    <s v="Ops Eng"/>
    <x v="3"/>
    <s v="Products"/>
    <d v="2022-08-18T00:00:00"/>
    <d v="2024-02-15T00:00:00"/>
    <n v="263479"/>
    <n v="0"/>
    <x v="0"/>
    <n v="1"/>
    <x v="2"/>
  </r>
  <r>
    <s v="E00282"/>
    <x v="755"/>
    <x v="1"/>
    <n v="30"/>
    <s v="Ops Eng"/>
    <x v="4"/>
    <s v="Corporate"/>
    <d v="2020-05-28T00:00:00"/>
    <d v="2024-01-03T00:00:00"/>
    <n v="278394"/>
    <n v="0"/>
    <x v="0"/>
    <n v="3"/>
    <x v="1"/>
  </r>
  <r>
    <s v="E03305"/>
    <x v="756"/>
    <x v="1"/>
    <n v="36"/>
    <s v="IT Coord"/>
    <x v="0"/>
    <s v="Manufacturing"/>
    <d v="2022-09-07T00:00:00"/>
    <d v="2023-10-07T00:00:00"/>
    <n v="253478"/>
    <n v="0.08"/>
    <x v="0"/>
    <n v="1"/>
    <x v="1"/>
  </r>
  <r>
    <s v="E00559"/>
    <x v="757"/>
    <x v="0"/>
    <n v="45"/>
    <s v="Auto Eng"/>
    <x v="3"/>
    <s v="Manufacturing"/>
    <d v="2022-01-03T00:00:00"/>
    <d v="2023-05-28T00:00:00"/>
    <n v="254970"/>
    <n v="0"/>
    <x v="0"/>
    <n v="1"/>
    <x v="0"/>
  </r>
  <r>
    <s v="E02558"/>
    <x v="758"/>
    <x v="1"/>
    <n v="37"/>
    <s v=" Dev Eng"/>
    <x v="5"/>
    <s v="R&amp;D"/>
    <d v="2023-05-28T00:00:00"/>
    <d v="2024-04-19T00:00:00"/>
    <n v="348920"/>
    <n v="0.1"/>
    <x v="0"/>
    <n v="0"/>
    <x v="1"/>
  </r>
  <r>
    <s v="E00956"/>
    <x v="759"/>
    <x v="0"/>
    <n v="51"/>
    <s v="Sr. Analyst"/>
    <x v="0"/>
    <s v="Products"/>
    <d v="2023-11-15T00:00:00"/>
    <d v="2024-04-30T00:00:00"/>
    <n v="290379"/>
    <n v="0"/>
    <x v="0"/>
    <n v="0"/>
    <x v="3"/>
  </r>
  <r>
    <s v="E03858"/>
    <x v="760"/>
    <x v="1"/>
    <n v="56"/>
    <s v="Quality Eng"/>
    <x v="0"/>
    <s v="R&amp;D"/>
    <d v="2020-01-21T00:00:00"/>
    <d v="2024-05-18T00:00:00"/>
    <n v="315490"/>
    <n v="0"/>
    <x v="0"/>
    <n v="4"/>
    <x v="3"/>
  </r>
  <r>
    <s v="E02221"/>
    <x v="761"/>
    <x v="1"/>
    <n v="53"/>
    <s v="Ops Eng"/>
    <x v="0"/>
    <s v="Corporate"/>
    <d v="2021-10-07T00:00:00"/>
    <d v="2022-09-11T00:00:00"/>
    <n v="172398"/>
    <n v="0"/>
    <x v="0"/>
    <n v="0"/>
    <x v="3"/>
  </r>
  <r>
    <s v="E00126"/>
    <x v="762"/>
    <x v="0"/>
    <n v="47"/>
    <s v="Field Eng"/>
    <x v="5"/>
    <s v="Products"/>
    <d v="2020-04-19T00:00:00"/>
    <d v="2023-10-07T00:00:00"/>
    <n v="310274"/>
    <n v="0"/>
    <x v="0"/>
    <n v="3"/>
    <x v="0"/>
  </r>
  <r>
    <s v="E02627"/>
    <x v="763"/>
    <x v="1"/>
    <n v="36"/>
    <s v="Sr. Analyst"/>
    <x v="0"/>
    <s v="R&amp;D"/>
    <d v="2020-09-09T00:00:00"/>
    <d v="2024-05-28T00:00:00"/>
    <n v="371486"/>
    <n v="0"/>
    <x v="0"/>
    <n v="3"/>
    <x v="1"/>
  </r>
  <r>
    <s v="E03778"/>
    <x v="764"/>
    <x v="1"/>
    <n v="46"/>
    <s v="Net Admin"/>
    <x v="0"/>
    <s v="Manufacturing"/>
    <d v="2023-11-03T00:00:00"/>
    <m/>
    <n v="164920"/>
    <n v="0"/>
    <x v="1"/>
    <n v="2"/>
    <x v="0"/>
  </r>
  <r>
    <s v="E00481"/>
    <x v="765"/>
    <x v="1"/>
    <n v="46"/>
    <s v="Sr. Analyst"/>
    <x v="5"/>
    <s v="Manufacturing"/>
    <d v="2024-04-30T00:00:00"/>
    <m/>
    <n v="274893"/>
    <n v="0"/>
    <x v="1"/>
    <n v="1"/>
    <x v="0"/>
  </r>
  <r>
    <s v="E02833"/>
    <x v="766"/>
    <x v="1"/>
    <n v="46"/>
    <s v=" Dev Eng"/>
    <x v="0"/>
    <s v="Manufacturing"/>
    <d v="2020-02-26T00:00:00"/>
    <m/>
    <n v="293476"/>
    <n v="0"/>
    <x v="1"/>
    <n v="5"/>
    <x v="0"/>
  </r>
  <r>
    <s v="E03902"/>
    <x v="767"/>
    <x v="0"/>
    <n v="38"/>
    <s v="Net Admin"/>
    <x v="0"/>
    <s v="Manufacturing"/>
    <d v="2022-09-11T00:00:00"/>
    <m/>
    <n v="315278"/>
    <n v="0"/>
    <x v="1"/>
    <n v="3"/>
    <x v="1"/>
  </r>
  <r>
    <s v="E02310"/>
    <x v="768"/>
    <x v="1"/>
    <n v="46"/>
    <s v="Field Eng"/>
    <x v="2"/>
    <s v="Manufacturing"/>
    <d v="2024-05-18T00:00:00"/>
    <m/>
    <n v="241879"/>
    <n v="0"/>
    <x v="1"/>
    <n v="1"/>
    <x v="0"/>
  </r>
  <r>
    <s v="E02661"/>
    <x v="769"/>
    <x v="0"/>
    <n v="39"/>
    <s v="Auto Eng"/>
    <x v="0"/>
    <s v="Corporate"/>
    <d v="2021-11-09T00:00:00"/>
    <m/>
    <n v="153928"/>
    <n v="0"/>
    <x v="1"/>
    <n v="4"/>
    <x v="1"/>
  </r>
  <r>
    <s v="E00836"/>
    <x v="770"/>
    <x v="0"/>
    <n v="31"/>
    <s v=" Dev Eng"/>
    <x v="0"/>
    <s v="Products"/>
    <d v="2020-05-12T00:00:00"/>
    <m/>
    <n v="520294"/>
    <n v="0"/>
    <x v="1"/>
    <n v="5"/>
    <x v="1"/>
  </r>
  <r>
    <s v="E00682"/>
    <x v="771"/>
    <x v="0"/>
    <n v="45"/>
    <s v="Sr. Acc Rep"/>
    <x v="0"/>
    <s v="Manufacturing"/>
    <d v="2022-09-11T00:00:00"/>
    <m/>
    <n v="146279"/>
    <n v="0"/>
    <x v="1"/>
    <n v="3"/>
    <x v="0"/>
  </r>
  <r>
    <s v="E00287"/>
    <x v="772"/>
    <x v="0"/>
    <n v="50"/>
    <s v="Field Eng"/>
    <x v="4"/>
    <s v="R&amp;D"/>
    <d v="2022-10-23T00:00:00"/>
    <m/>
    <n v="357490"/>
    <n v="0.06"/>
    <x v="1"/>
    <n v="3"/>
    <x v="3"/>
  </r>
  <r>
    <s v="E00785"/>
    <x v="773"/>
    <x v="1"/>
    <n v="36"/>
    <s v="Sr. Acc Rep"/>
    <x v="5"/>
    <s v="Manufacturing"/>
    <d v="2024-08-23T00:00:00"/>
    <m/>
    <n v="350927"/>
    <n v="0.05"/>
    <x v="1"/>
    <n v="1"/>
    <x v="1"/>
  </r>
  <r>
    <s v="E04598"/>
    <x v="774"/>
    <x v="0"/>
    <n v="45"/>
    <s v="Auto Eng"/>
    <x v="3"/>
    <s v="Products"/>
    <d v="2023-11-07T00:00:00"/>
    <m/>
    <n v="216478"/>
    <n v="0"/>
    <x v="1"/>
    <n v="2"/>
    <x v="0"/>
  </r>
  <r>
    <s v="E03247"/>
    <x v="775"/>
    <x v="1"/>
    <n v="46"/>
    <s v="Auto Eng"/>
    <x v="0"/>
    <s v="R&amp;D"/>
    <d v="2023-10-07T00:00:00"/>
    <m/>
    <n v="354979"/>
    <n v="0.13"/>
    <x v="1"/>
    <n v="2"/>
    <x v="0"/>
  </r>
  <r>
    <s v="E02703"/>
    <x v="776"/>
    <x v="0"/>
    <n v="41"/>
    <s v="Sr. Manger"/>
    <x v="5"/>
    <s v="R&amp;D"/>
    <d v="2022-04-26T00:00:00"/>
    <d v="2024-05-28T00:00:00"/>
    <n v="372960"/>
    <n v="0.2"/>
    <x v="0"/>
    <n v="2"/>
    <x v="0"/>
  </r>
  <r>
    <s v="E02191"/>
    <x v="777"/>
    <x v="1"/>
    <n v="47"/>
    <s v="Sr. Manger"/>
    <x v="0"/>
    <s v="Corporate"/>
    <d v="2020-02-28T00:00:00"/>
    <d v="2023-10-07T00:00:00"/>
    <n v="315479"/>
    <n v="0"/>
    <x v="0"/>
    <n v="3"/>
    <x v="0"/>
  </r>
  <r>
    <s v="E00156"/>
    <x v="778"/>
    <x v="1"/>
    <n v="38"/>
    <s v="Sr. Manger"/>
    <x v="0"/>
    <s v="Corporate"/>
    <d v="2020-10-12T00:00:00"/>
    <m/>
    <n v="284769"/>
    <n v="0"/>
    <x v="1"/>
    <n v="5"/>
    <x v="1"/>
  </r>
  <r>
    <s v="E03349"/>
    <x v="779"/>
    <x v="1"/>
    <n v="40"/>
    <s v="Quality Eng"/>
    <x v="0"/>
    <s v="Products"/>
    <d v="2022-01-27T00:00:00"/>
    <m/>
    <n v="467829"/>
    <n v="0"/>
    <x v="1"/>
    <n v="4"/>
    <x v="0"/>
  </r>
  <r>
    <s v="E04032"/>
    <x v="780"/>
    <x v="0"/>
    <n v="45"/>
    <s v="Sr. Manger"/>
    <x v="1"/>
    <s v="Corporate"/>
    <d v="2024-02-15T00:00:00"/>
    <m/>
    <n v="325780"/>
    <n v="0"/>
    <x v="1"/>
    <n v="1"/>
    <x v="0"/>
  </r>
  <r>
    <s v="E00005"/>
    <x v="781"/>
    <x v="1"/>
    <n v="26"/>
    <s v="IT Coord"/>
    <x v="0"/>
    <s v="Products"/>
    <d v="2022-02-10T00:00:00"/>
    <d v="2024-05-28T00:00:00"/>
    <n v="203948"/>
    <n v="0.09"/>
    <x v="0"/>
    <n v="2"/>
    <x v="2"/>
  </r>
  <r>
    <s v="E04354"/>
    <x v="782"/>
    <x v="0"/>
    <n v="35"/>
    <s v="Quality Eng"/>
    <x v="1"/>
    <s v="R&amp;D"/>
    <d v="2020-12-18T00:00:00"/>
    <m/>
    <n v="275394"/>
    <n v="0"/>
    <x v="1"/>
    <n v="5"/>
    <x v="1"/>
  </r>
  <r>
    <s v="E01578"/>
    <x v="783"/>
    <x v="1"/>
    <n v="46"/>
    <s v="Quality Eng"/>
    <x v="0"/>
    <s v="Products"/>
    <d v="2020-01-07T00:00:00"/>
    <m/>
    <n v="241896"/>
    <n v="0.15"/>
    <x v="1"/>
    <n v="6"/>
    <x v="0"/>
  </r>
  <r>
    <s v="E03430"/>
    <x v="784"/>
    <x v="1"/>
    <n v="35"/>
    <s v="Ops Eng"/>
    <x v="0"/>
    <s v="R&amp;D"/>
    <d v="2023-10-07T00:00:00"/>
    <m/>
    <n v="314920"/>
    <n v="0"/>
    <x v="1"/>
    <n v="2"/>
    <x v="1"/>
  </r>
  <r>
    <s v="E03058"/>
    <x v="785"/>
    <x v="1"/>
    <n v="46"/>
    <s v="IT Coord"/>
    <x v="2"/>
    <s v="R&amp;D"/>
    <d v="2021-10-18T00:00:00"/>
    <m/>
    <n v="245973"/>
    <n v="0.26"/>
    <x v="1"/>
    <n v="4"/>
    <x v="0"/>
  </r>
  <r>
    <s v="E04762"/>
    <x v="786"/>
    <x v="1"/>
    <n v="46"/>
    <s v="Ops Eng"/>
    <x v="3"/>
    <s v="Products"/>
    <d v="2022-08-18T00:00:00"/>
    <m/>
    <n v="186470"/>
    <n v="0"/>
    <x v="1"/>
    <n v="3"/>
    <x v="0"/>
  </r>
  <r>
    <s v="E01148"/>
    <x v="787"/>
    <x v="1"/>
    <n v="46"/>
    <s v="Ops Eng"/>
    <x v="4"/>
    <s v="Corporate"/>
    <d v="2024-05-28T00:00:00"/>
    <m/>
    <n v="162398"/>
    <n v="0.12"/>
    <x v="1"/>
    <n v="1"/>
    <x v="0"/>
  </r>
  <r>
    <s v="E03094"/>
    <x v="788"/>
    <x v="1"/>
    <n v="46"/>
    <s v="IT Coord"/>
    <x v="0"/>
    <s v="Manufacturing"/>
    <d v="2022-09-07T00:00:00"/>
    <m/>
    <n v="371972"/>
    <n v="0"/>
    <x v="1"/>
    <n v="3"/>
    <x v="0"/>
  </r>
  <r>
    <s v="E01909"/>
    <x v="789"/>
    <x v="0"/>
    <n v="36"/>
    <s v="Auto Eng"/>
    <x v="3"/>
    <s v="Manufacturing"/>
    <d v="2024-01-03T00:00:00"/>
    <m/>
    <n v="270384"/>
    <n v="0"/>
    <x v="1"/>
    <n v="2"/>
    <x v="1"/>
  </r>
  <r>
    <s v="E04398"/>
    <x v="790"/>
    <x v="1"/>
    <n v="46"/>
    <s v=" Dev Eng"/>
    <x v="5"/>
    <s v="R&amp;D"/>
    <d v="2023-05-28T00:00:00"/>
    <m/>
    <n v="174290"/>
    <n v="0"/>
    <x v="1"/>
    <n v="2"/>
    <x v="0"/>
  </r>
  <r>
    <s v="E02521"/>
    <x v="791"/>
    <x v="0"/>
    <n v="37"/>
    <s v="Sr. Analyst"/>
    <x v="0"/>
    <s v="Products"/>
    <d v="2023-11-15T00:00:00"/>
    <m/>
    <n v="126492"/>
    <n v="0.08"/>
    <x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5415B-7E26-4420-A02E-5B6E3FBB28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DCF59-DB42-49C2-926F-B82B903DFE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11" firstHeaderRow="0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Annual" fld="9" subtotal="average" baseField="0" baseItem="1" numFmtId="164"/>
    <dataField name="Average of Year" fld="12" subtotal="average" baseField="0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CCCD8-E64A-4BB3-B492-D24D29F4FA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4" firstHeaderRow="1" firstDataRow="1" firstDataCol="1"/>
  <pivotFields count="14">
    <pivotField showAll="0"/>
    <pivotField axis="axisRow" showAll="0" measureFilter="1" sortType="ascending">
      <items count="793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111"/>
    </i>
    <i>
      <x v="234"/>
    </i>
    <i>
      <x v="31"/>
    </i>
    <i>
      <x v="767"/>
    </i>
    <i>
      <x v="39"/>
    </i>
    <i>
      <x v="451"/>
    </i>
    <i>
      <x v="433"/>
    </i>
    <i>
      <x v="240"/>
    </i>
    <i>
      <x v="228"/>
    </i>
    <i>
      <x v="422"/>
    </i>
    <i t="grand">
      <x/>
    </i>
  </rowItems>
  <colItems count="1">
    <i/>
  </colItems>
  <dataFields count="1">
    <dataField name="Sum of Annual" fld="9" baseField="1" baseItem="422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67A21-115D-4E29-A8AD-C4252BC3F78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14">
    <pivotField dataField="1" showAll="0"/>
    <pivotField showAll="0"/>
    <pivotField showAll="0"/>
    <pivotField showAll="0"/>
    <pivotField showAll="0"/>
    <pivotField axis="axisRow" showAll="0" sortType="descending">
      <items count="7">
        <item x="4"/>
        <item x="0"/>
        <item x="2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1"/>
    </i>
    <i>
      <x v="3"/>
    </i>
    <i>
      <x v="4"/>
    </i>
    <i>
      <x v="5"/>
    </i>
    <i>
      <x/>
    </i>
    <i>
      <x v="2"/>
    </i>
    <i t="grand">
      <x/>
    </i>
  </rowItems>
  <colItems count="1">
    <i/>
  </colItems>
  <dataFields count="1">
    <dataField name="Count of EEID" fld="0" subtotal="count" showDataAs="percentOfTotal" baseField="5" baseItem="0" numFmtId="1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FE5BB-1731-4197-9BAF-C114A54524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:E8" firstHeaderRow="1" firstDataRow="2" firstDataCol="1"/>
  <pivotFields count="14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E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93" totalsRowShown="0">
  <autoFilter ref="A1:N793" xr:uid="{00000000-0009-0000-0100-000001000000}"/>
  <tableColumns count="14">
    <tableColumn id="1" xr3:uid="{00000000-0010-0000-0000-000001000000}" name="EEID"/>
    <tableColumn id="2" xr3:uid="{00000000-0010-0000-0000-000002000000}" name="Full"/>
    <tableColumn id="3" xr3:uid="{00000000-0010-0000-0000-000003000000}" name="Gender"/>
    <tableColumn id="4" xr3:uid="{00000000-0010-0000-0000-000004000000}" name="Age"/>
    <tableColumn id="5" xr3:uid="{00000000-0010-0000-0000-000005000000}" name="Job"/>
    <tableColumn id="6" xr3:uid="{00000000-0010-0000-0000-000006000000}" name="Department"/>
    <tableColumn id="7" xr3:uid="{00000000-0010-0000-0000-000007000000}" name="Business"/>
    <tableColumn id="8" xr3:uid="{00000000-0010-0000-0000-000008000000}" name="Hire" dataDxfId="3"/>
    <tableColumn id="9" xr3:uid="{00000000-0010-0000-0000-000009000000}" name="Exit" dataDxfId="2"/>
    <tableColumn id="10" xr3:uid="{00000000-0010-0000-0000-00000A000000}" name="Annual"/>
    <tableColumn id="11" xr3:uid="{00000000-0010-0000-0000-00000B000000}" name="Bonus"/>
    <tableColumn id="12" xr3:uid="{00000000-0010-0000-0000-00000C000000}" name="Status"/>
    <tableColumn id="13" xr3:uid="{00000000-0010-0000-0000-00000D000000}" name="Year" dataDxfId="1">
      <calculatedColumnFormula>IF(I2="",DATEDIF(H2,TODAY(),"Y"),DATEDIF(H2,I2,"Y"))</calculatedColumnFormula>
    </tableColumn>
    <tableColumn id="14" xr3:uid="{CD0BCCBE-24E5-4D7A-AB99-B51EA7F672A9}" name="Age Distribution" dataDxfId="0">
      <calculatedColumnFormula>IF(D2&lt;30,"20-29",IF(D2&lt;40,"30-39",IF(D2&lt;50,"40-49",IF(D2&lt;60,"50-59","60+"))))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AC16-7BB4-411B-B92F-F921AE2414A3}">
  <dimension ref="A3:F17"/>
  <sheetViews>
    <sheetView workbookViewId="0">
      <selection activeCell="B13" sqref="B13"/>
    </sheetView>
  </sheetViews>
  <sheetFormatPr defaultRowHeight="14.4" x14ac:dyDescent="0.3"/>
  <cols>
    <col min="1" max="1" width="17.77734375" customWidth="1"/>
    <col min="2" max="2" width="11.88671875" bestFit="1" customWidth="1"/>
    <col min="3" max="3" width="13.5546875" bestFit="1" customWidth="1"/>
    <col min="5" max="5" width="15.5546875" bestFit="1" customWidth="1"/>
    <col min="6" max="6" width="13.5546875" bestFit="1" customWidth="1"/>
  </cols>
  <sheetData>
    <row r="3" spans="1:6" x14ac:dyDescent="0.3">
      <c r="A3" s="2" t="s">
        <v>1549</v>
      </c>
      <c r="B3" t="s">
        <v>1551</v>
      </c>
    </row>
    <row r="4" spans="1:6" x14ac:dyDescent="0.3">
      <c r="A4" s="3" t="s">
        <v>24</v>
      </c>
      <c r="B4">
        <v>691</v>
      </c>
    </row>
    <row r="5" spans="1:6" x14ac:dyDescent="0.3">
      <c r="A5" s="3" t="s">
        <v>18</v>
      </c>
      <c r="B5">
        <v>101</v>
      </c>
    </row>
    <row r="6" spans="1:6" x14ac:dyDescent="0.3">
      <c r="A6" s="3" t="s">
        <v>1550</v>
      </c>
      <c r="B6">
        <v>792</v>
      </c>
    </row>
    <row r="10" spans="1:6" x14ac:dyDescent="0.3">
      <c r="E10" t="s">
        <v>1554</v>
      </c>
      <c r="F10" t="s">
        <v>1552</v>
      </c>
    </row>
    <row r="11" spans="1:6" x14ac:dyDescent="0.3">
      <c r="E11" s="5">
        <v>661108.70707070711</v>
      </c>
      <c r="F11" s="4">
        <v>2.7904040404040402</v>
      </c>
    </row>
    <row r="13" spans="1:6" x14ac:dyDescent="0.3">
      <c r="A13" t="s">
        <v>1560</v>
      </c>
      <c r="B13">
        <f>B6</f>
        <v>792</v>
      </c>
    </row>
    <row r="14" spans="1:6" x14ac:dyDescent="0.3">
      <c r="A14" t="s">
        <v>1561</v>
      </c>
      <c r="B14">
        <f>B4</f>
        <v>691</v>
      </c>
    </row>
    <row r="15" spans="1:6" x14ac:dyDescent="0.3">
      <c r="A15" t="s">
        <v>1562</v>
      </c>
      <c r="B15">
        <f>B5</f>
        <v>101</v>
      </c>
    </row>
    <row r="16" spans="1:6" x14ac:dyDescent="0.3">
      <c r="A16" t="s">
        <v>1554</v>
      </c>
      <c r="B16" s="5">
        <f>E11</f>
        <v>661108.70707070711</v>
      </c>
    </row>
    <row r="17" spans="1:2" x14ac:dyDescent="0.3">
      <c r="A17" t="s">
        <v>1552</v>
      </c>
      <c r="B17" s="4">
        <f>F11</f>
        <v>2.7904040404040402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59F6-593E-4117-B0D3-56D84214A479}">
  <dimension ref="A3:B14"/>
  <sheetViews>
    <sheetView workbookViewId="0">
      <selection activeCell="O20" sqref="O20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3" spans="1:2" x14ac:dyDescent="0.3">
      <c r="A3" s="2" t="s">
        <v>1549</v>
      </c>
      <c r="B3" t="s">
        <v>1553</v>
      </c>
    </row>
    <row r="4" spans="1:2" x14ac:dyDescent="0.3">
      <c r="A4" s="3" t="s">
        <v>1361</v>
      </c>
      <c r="B4" s="5">
        <v>1390000</v>
      </c>
    </row>
    <row r="5" spans="1:2" x14ac:dyDescent="0.3">
      <c r="A5" s="3" t="s">
        <v>1363</v>
      </c>
      <c r="B5" s="5">
        <v>1392000</v>
      </c>
    </row>
    <row r="6" spans="1:2" x14ac:dyDescent="0.3">
      <c r="A6" s="3" t="s">
        <v>1365</v>
      </c>
      <c r="B6" s="5">
        <v>1394000</v>
      </c>
    </row>
    <row r="7" spans="1:2" x14ac:dyDescent="0.3">
      <c r="A7" s="3" t="s">
        <v>1367</v>
      </c>
      <c r="B7" s="5">
        <v>1396000</v>
      </c>
    </row>
    <row r="8" spans="1:2" x14ac:dyDescent="0.3">
      <c r="A8" s="3" t="s">
        <v>1369</v>
      </c>
      <c r="B8" s="5">
        <v>1398000</v>
      </c>
    </row>
    <row r="9" spans="1:2" x14ac:dyDescent="0.3">
      <c r="A9" s="3" t="s">
        <v>1370</v>
      </c>
      <c r="B9" s="5">
        <v>1400000</v>
      </c>
    </row>
    <row r="10" spans="1:2" x14ac:dyDescent="0.3">
      <c r="A10" s="3" t="s">
        <v>1372</v>
      </c>
      <c r="B10" s="5">
        <v>1402000</v>
      </c>
    </row>
    <row r="11" spans="1:2" x14ac:dyDescent="0.3">
      <c r="A11" s="3" t="s">
        <v>1374</v>
      </c>
      <c r="B11" s="5">
        <v>1404000</v>
      </c>
    </row>
    <row r="12" spans="1:2" x14ac:dyDescent="0.3">
      <c r="A12" s="3" t="s">
        <v>1376</v>
      </c>
      <c r="B12" s="5">
        <v>1406000</v>
      </c>
    </row>
    <row r="13" spans="1:2" x14ac:dyDescent="0.3">
      <c r="A13" s="3" t="s">
        <v>1377</v>
      </c>
      <c r="B13" s="5">
        <v>1408000</v>
      </c>
    </row>
    <row r="14" spans="1:2" x14ac:dyDescent="0.3">
      <c r="A14" s="3" t="s">
        <v>1550</v>
      </c>
      <c r="B14" s="5">
        <v>13990000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0474-BFE8-4464-9532-2FDFCE073A1E}">
  <dimension ref="A3:B10"/>
  <sheetViews>
    <sheetView workbookViewId="0">
      <selection activeCell="O4" sqref="O4"/>
    </sheetView>
  </sheetViews>
  <sheetFormatPr defaultRowHeight="14.4" x14ac:dyDescent="0.3"/>
  <cols>
    <col min="1" max="1" width="12.44140625" bestFit="1" customWidth="1"/>
    <col min="2" max="2" width="11.88671875" bestFit="1" customWidth="1"/>
  </cols>
  <sheetData>
    <row r="3" spans="1:2" x14ac:dyDescent="0.3">
      <c r="A3" s="2" t="s">
        <v>1549</v>
      </c>
      <c r="B3" t="s">
        <v>1551</v>
      </c>
    </row>
    <row r="4" spans="1:2" x14ac:dyDescent="0.3">
      <c r="A4" s="3" t="s">
        <v>16</v>
      </c>
      <c r="B4" s="6">
        <v>0.56186868686868685</v>
      </c>
    </row>
    <row r="5" spans="1:2" x14ac:dyDescent="0.3">
      <c r="A5" s="3" t="s">
        <v>59</v>
      </c>
      <c r="B5" s="6">
        <v>0.1553030303030303</v>
      </c>
    </row>
    <row r="6" spans="1:2" x14ac:dyDescent="0.3">
      <c r="A6" s="3" t="s">
        <v>46</v>
      </c>
      <c r="B6" s="6">
        <v>9.4696969696969696E-2</v>
      </c>
    </row>
    <row r="7" spans="1:2" x14ac:dyDescent="0.3">
      <c r="A7" s="3" t="s">
        <v>28</v>
      </c>
      <c r="B7" s="6">
        <v>6.3131313131313135E-2</v>
      </c>
    </row>
    <row r="8" spans="1:2" x14ac:dyDescent="0.3">
      <c r="A8" s="3" t="s">
        <v>49</v>
      </c>
      <c r="B8" s="6">
        <v>6.3131313131313135E-2</v>
      </c>
    </row>
    <row r="9" spans="1:2" x14ac:dyDescent="0.3">
      <c r="A9" s="3" t="s">
        <v>43</v>
      </c>
      <c r="B9" s="6">
        <v>6.1868686868686872E-2</v>
      </c>
    </row>
    <row r="10" spans="1:2" x14ac:dyDescent="0.3">
      <c r="A10" s="3" t="s">
        <v>1550</v>
      </c>
      <c r="B10" s="6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3"/>
  <sheetViews>
    <sheetView topLeftCell="A2" zoomScaleNormal="100" workbookViewId="0">
      <selection activeCell="N2" sqref="N2"/>
    </sheetView>
  </sheetViews>
  <sheetFormatPr defaultRowHeight="14.4" x14ac:dyDescent="0.3"/>
  <cols>
    <col min="1" max="1" width="7.5546875" bestFit="1" customWidth="1"/>
    <col min="2" max="2" width="13.109375" customWidth="1"/>
    <col min="3" max="3" width="12.44140625" customWidth="1"/>
    <col min="4" max="4" width="12.33203125" customWidth="1"/>
    <col min="5" max="5" width="11.6640625" customWidth="1"/>
    <col min="6" max="6" width="16" customWidth="1"/>
    <col min="7" max="7" width="13.6640625" customWidth="1"/>
    <col min="8" max="8" width="13.88671875" style="1" customWidth="1"/>
    <col min="9" max="9" width="15.33203125" style="1" customWidth="1"/>
    <col min="10" max="10" width="11.88671875" customWidth="1"/>
    <col min="11" max="11" width="12.109375" customWidth="1"/>
    <col min="12" max="12" width="12.5546875" customWidth="1"/>
    <col min="13" max="13" width="20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1547</v>
      </c>
      <c r="N1" t="s">
        <v>1548</v>
      </c>
    </row>
    <row r="2" spans="1:14" x14ac:dyDescent="0.3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  <c r="M2">
        <f t="shared" ref="M2:M65" ca="1" si="0">IF(I2="",DATEDIF(H2,TODAY(),"Y"),DATEDIF(H2,I2,"Y"))</f>
        <v>2</v>
      </c>
      <c r="N2" t="str">
        <f t="shared" ref="N2:N65" si="1">IF(D2&lt;30,"20-29",IF(D2&lt;40,"30-39",IF(D2&lt;50,"40-49",IF(D2&lt;60,"50-59","60+"))))</f>
        <v>40-49</v>
      </c>
    </row>
    <row r="3" spans="1:14" x14ac:dyDescent="0.3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  <c r="M3">
        <f t="shared" ca="1" si="0"/>
        <v>4</v>
      </c>
      <c r="N3" t="str">
        <f t="shared" si="1"/>
        <v>30-39</v>
      </c>
    </row>
    <row r="4" spans="1:14" x14ac:dyDescent="0.3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  <c r="M4">
        <f t="shared" ca="1" si="0"/>
        <v>1</v>
      </c>
      <c r="N4" t="str">
        <f t="shared" si="1"/>
        <v>40-49</v>
      </c>
    </row>
    <row r="5" spans="1:14" x14ac:dyDescent="0.3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  <c r="M5">
        <f t="shared" ca="1" si="0"/>
        <v>1</v>
      </c>
      <c r="N5" t="str">
        <f t="shared" si="1"/>
        <v>30-39</v>
      </c>
    </row>
    <row r="6" spans="1:14" x14ac:dyDescent="0.3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  <c r="M6">
        <f t="shared" ca="1" si="0"/>
        <v>3</v>
      </c>
      <c r="N6" t="str">
        <f t="shared" si="1"/>
        <v>30-39</v>
      </c>
    </row>
    <row r="7" spans="1:14" x14ac:dyDescent="0.3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  <c r="M7">
        <f t="shared" ca="1" si="0"/>
        <v>4</v>
      </c>
      <c r="N7" t="str">
        <f t="shared" si="1"/>
        <v>30-39</v>
      </c>
    </row>
    <row r="8" spans="1:14" x14ac:dyDescent="0.3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  <c r="M8">
        <f t="shared" ca="1" si="0"/>
        <v>2</v>
      </c>
      <c r="N8" t="str">
        <f t="shared" si="1"/>
        <v>20-29</v>
      </c>
    </row>
    <row r="9" spans="1:14" x14ac:dyDescent="0.3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  <c r="M9">
        <f t="shared" ca="1" si="0"/>
        <v>4</v>
      </c>
      <c r="N9" t="str">
        <f t="shared" si="1"/>
        <v>30-39</v>
      </c>
    </row>
    <row r="10" spans="1:14" x14ac:dyDescent="0.3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  <c r="M10">
        <f t="shared" ca="1" si="0"/>
        <v>3</v>
      </c>
      <c r="N10" t="str">
        <f t="shared" si="1"/>
        <v>30-39</v>
      </c>
    </row>
    <row r="11" spans="1:14" x14ac:dyDescent="0.3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  <c r="M11">
        <f t="shared" ca="1" si="0"/>
        <v>1</v>
      </c>
      <c r="N11" t="str">
        <f t="shared" si="1"/>
        <v>40-49</v>
      </c>
    </row>
    <row r="12" spans="1:14" x14ac:dyDescent="0.3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  <c r="M12">
        <f t="shared" ca="1" si="0"/>
        <v>3</v>
      </c>
      <c r="N12" t="str">
        <f t="shared" si="1"/>
        <v>50-59</v>
      </c>
    </row>
    <row r="13" spans="1:14" x14ac:dyDescent="0.3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  <c r="M13">
        <f t="shared" ca="1" si="0"/>
        <v>2</v>
      </c>
      <c r="N13" t="str">
        <f t="shared" si="1"/>
        <v>30-39</v>
      </c>
    </row>
    <row r="14" spans="1:14" x14ac:dyDescent="0.3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  <c r="M14">
        <f t="shared" ca="1" si="0"/>
        <v>2</v>
      </c>
      <c r="N14" t="str">
        <f t="shared" si="1"/>
        <v>40-49</v>
      </c>
    </row>
    <row r="15" spans="1:14" x14ac:dyDescent="0.3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  <c r="M15">
        <f t="shared" ca="1" si="0"/>
        <v>2</v>
      </c>
      <c r="N15" t="str">
        <f t="shared" si="1"/>
        <v>20-29</v>
      </c>
    </row>
    <row r="16" spans="1:14" x14ac:dyDescent="0.3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  <c r="M16">
        <f t="shared" ca="1" si="0"/>
        <v>2</v>
      </c>
      <c r="N16" t="str">
        <f t="shared" si="1"/>
        <v>40-49</v>
      </c>
    </row>
    <row r="17" spans="1:14" x14ac:dyDescent="0.3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  <c r="M17">
        <f t="shared" ca="1" si="0"/>
        <v>0</v>
      </c>
      <c r="N17" t="str">
        <f t="shared" si="1"/>
        <v>40-49</v>
      </c>
    </row>
    <row r="18" spans="1:14" x14ac:dyDescent="0.3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  <c r="M18">
        <f t="shared" ca="1" si="0"/>
        <v>1</v>
      </c>
      <c r="N18" t="str">
        <f t="shared" si="1"/>
        <v>30-39</v>
      </c>
    </row>
    <row r="19" spans="1:14" x14ac:dyDescent="0.3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  <c r="M19">
        <f t="shared" ca="1" si="0"/>
        <v>5</v>
      </c>
      <c r="N19" t="str">
        <f t="shared" si="1"/>
        <v>40-49</v>
      </c>
    </row>
    <row r="20" spans="1:14" x14ac:dyDescent="0.3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  <c r="M20">
        <f t="shared" ca="1" si="0"/>
        <v>2</v>
      </c>
      <c r="N20" t="str">
        <f t="shared" si="1"/>
        <v>40-49</v>
      </c>
    </row>
    <row r="21" spans="1:14" x14ac:dyDescent="0.3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  <c r="M21">
        <f t="shared" ca="1" si="0"/>
        <v>1</v>
      </c>
      <c r="N21" t="str">
        <f t="shared" si="1"/>
        <v>20-29</v>
      </c>
    </row>
    <row r="22" spans="1:14" x14ac:dyDescent="0.3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  <c r="M22">
        <f t="shared" ca="1" si="0"/>
        <v>1</v>
      </c>
      <c r="N22" t="str">
        <f t="shared" si="1"/>
        <v>30-39</v>
      </c>
    </row>
    <row r="23" spans="1:14" x14ac:dyDescent="0.3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  <c r="M23">
        <f t="shared" ca="1" si="0"/>
        <v>3</v>
      </c>
      <c r="N23" t="str">
        <f t="shared" si="1"/>
        <v>20-29</v>
      </c>
    </row>
    <row r="24" spans="1:14" x14ac:dyDescent="0.3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  <c r="M24">
        <f t="shared" ca="1" si="0"/>
        <v>1</v>
      </c>
      <c r="N24" t="str">
        <f t="shared" si="1"/>
        <v>30-39</v>
      </c>
    </row>
    <row r="25" spans="1:14" x14ac:dyDescent="0.3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  <c r="M25">
        <f t="shared" ca="1" si="0"/>
        <v>4</v>
      </c>
      <c r="N25" t="str">
        <f t="shared" si="1"/>
        <v>20-29</v>
      </c>
    </row>
    <row r="26" spans="1:14" x14ac:dyDescent="0.3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  <c r="M26">
        <f t="shared" ca="1" si="0"/>
        <v>2</v>
      </c>
      <c r="N26" t="str">
        <f t="shared" si="1"/>
        <v>20-29</v>
      </c>
    </row>
    <row r="27" spans="1:14" x14ac:dyDescent="0.3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  <c r="M27">
        <f t="shared" ca="1" si="0"/>
        <v>3</v>
      </c>
      <c r="N27" t="str">
        <f t="shared" si="1"/>
        <v>20-29</v>
      </c>
    </row>
    <row r="28" spans="1:14" x14ac:dyDescent="0.3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  <c r="M28">
        <f t="shared" ca="1" si="0"/>
        <v>3</v>
      </c>
      <c r="N28" t="str">
        <f t="shared" si="1"/>
        <v>30-39</v>
      </c>
    </row>
    <row r="29" spans="1:14" x14ac:dyDescent="0.3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  <c r="M29">
        <f t="shared" ca="1" si="0"/>
        <v>3</v>
      </c>
      <c r="N29" t="str">
        <f t="shared" si="1"/>
        <v>30-39</v>
      </c>
    </row>
    <row r="30" spans="1:14" x14ac:dyDescent="0.3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  <c r="M30">
        <f t="shared" ca="1" si="0"/>
        <v>2</v>
      </c>
      <c r="N30" t="str">
        <f t="shared" si="1"/>
        <v>40-49</v>
      </c>
    </row>
    <row r="31" spans="1:14" x14ac:dyDescent="0.3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  <c r="M31">
        <f t="shared" ca="1" si="0"/>
        <v>2</v>
      </c>
      <c r="N31" t="str">
        <f t="shared" si="1"/>
        <v>30-39</v>
      </c>
    </row>
    <row r="32" spans="1:14" x14ac:dyDescent="0.3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  <c r="M32">
        <f t="shared" ca="1" si="0"/>
        <v>3</v>
      </c>
      <c r="N32" t="str">
        <f t="shared" si="1"/>
        <v>30-39</v>
      </c>
    </row>
    <row r="33" spans="1:14" x14ac:dyDescent="0.3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  <c r="M33">
        <f t="shared" ca="1" si="0"/>
        <v>5</v>
      </c>
      <c r="N33" t="str">
        <f t="shared" si="1"/>
        <v>40-49</v>
      </c>
    </row>
    <row r="34" spans="1:14" x14ac:dyDescent="0.3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  <c r="M34">
        <f t="shared" ca="1" si="0"/>
        <v>5</v>
      </c>
      <c r="N34" t="str">
        <f t="shared" si="1"/>
        <v>50-59</v>
      </c>
    </row>
    <row r="35" spans="1:14" x14ac:dyDescent="0.3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  <c r="M35">
        <f t="shared" ca="1" si="0"/>
        <v>4</v>
      </c>
      <c r="N35" t="str">
        <f t="shared" si="1"/>
        <v>50-59</v>
      </c>
    </row>
    <row r="36" spans="1:14" x14ac:dyDescent="0.3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  <c r="M36">
        <f t="shared" ca="1" si="0"/>
        <v>3</v>
      </c>
      <c r="N36" t="str">
        <f t="shared" si="1"/>
        <v>50-59</v>
      </c>
    </row>
    <row r="37" spans="1:14" x14ac:dyDescent="0.3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  <c r="M37">
        <f t="shared" ca="1" si="0"/>
        <v>1</v>
      </c>
      <c r="N37" t="str">
        <f t="shared" si="1"/>
        <v>40-49</v>
      </c>
    </row>
    <row r="38" spans="1:14" x14ac:dyDescent="0.3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  <c r="M38">
        <f t="shared" ca="1" si="0"/>
        <v>5</v>
      </c>
      <c r="N38" t="str">
        <f t="shared" si="1"/>
        <v>30-39</v>
      </c>
    </row>
    <row r="39" spans="1:14" x14ac:dyDescent="0.3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  <c r="M39">
        <f t="shared" ca="1" si="0"/>
        <v>6</v>
      </c>
      <c r="N39" t="str">
        <f t="shared" si="1"/>
        <v>40-49</v>
      </c>
    </row>
    <row r="40" spans="1:14" x14ac:dyDescent="0.3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  <c r="M40">
        <f t="shared" ca="1" si="0"/>
        <v>2</v>
      </c>
      <c r="N40" t="str">
        <f t="shared" si="1"/>
        <v>30-39</v>
      </c>
    </row>
    <row r="41" spans="1:14" x14ac:dyDescent="0.3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  <c r="M41">
        <f t="shared" ca="1" si="0"/>
        <v>1</v>
      </c>
      <c r="N41" t="str">
        <f t="shared" si="1"/>
        <v>30-39</v>
      </c>
    </row>
    <row r="42" spans="1:14" x14ac:dyDescent="0.3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  <c r="M42">
        <f t="shared" ca="1" si="0"/>
        <v>3</v>
      </c>
      <c r="N42" t="str">
        <f t="shared" si="1"/>
        <v>30-39</v>
      </c>
    </row>
    <row r="43" spans="1:14" x14ac:dyDescent="0.3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  <c r="M43">
        <f t="shared" ca="1" si="0"/>
        <v>1</v>
      </c>
      <c r="N43" t="str">
        <f t="shared" si="1"/>
        <v>20-29</v>
      </c>
    </row>
    <row r="44" spans="1:14" x14ac:dyDescent="0.3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  <c r="M44">
        <f t="shared" ca="1" si="0"/>
        <v>3</v>
      </c>
      <c r="N44" t="str">
        <f t="shared" si="1"/>
        <v>40-49</v>
      </c>
    </row>
    <row r="45" spans="1:14" x14ac:dyDescent="0.3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  <c r="M45">
        <f t="shared" ca="1" si="0"/>
        <v>0</v>
      </c>
      <c r="N45" t="str">
        <f t="shared" si="1"/>
        <v>30-39</v>
      </c>
    </row>
    <row r="46" spans="1:14" x14ac:dyDescent="0.3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  <c r="M46">
        <f t="shared" ca="1" si="0"/>
        <v>2</v>
      </c>
      <c r="N46" t="str">
        <f t="shared" si="1"/>
        <v>40-49</v>
      </c>
    </row>
    <row r="47" spans="1:14" x14ac:dyDescent="0.3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  <c r="M47">
        <f t="shared" ca="1" si="0"/>
        <v>2</v>
      </c>
      <c r="N47" t="str">
        <f t="shared" si="1"/>
        <v>50-59</v>
      </c>
    </row>
    <row r="48" spans="1:14" x14ac:dyDescent="0.3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  <c r="M48">
        <f t="shared" ca="1" si="0"/>
        <v>6</v>
      </c>
      <c r="N48" t="str">
        <f t="shared" si="1"/>
        <v>40-49</v>
      </c>
    </row>
    <row r="49" spans="1:14" x14ac:dyDescent="0.3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  <c r="M49">
        <f t="shared" ca="1" si="0"/>
        <v>2</v>
      </c>
      <c r="N49" t="str">
        <f t="shared" si="1"/>
        <v>40-49</v>
      </c>
    </row>
    <row r="50" spans="1:14" x14ac:dyDescent="0.3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  <c r="M50">
        <f t="shared" ca="1" si="0"/>
        <v>1</v>
      </c>
      <c r="N50" t="str">
        <f t="shared" si="1"/>
        <v>20-29</v>
      </c>
    </row>
    <row r="51" spans="1:14" x14ac:dyDescent="0.3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  <c r="M51">
        <f t="shared" ca="1" si="0"/>
        <v>3</v>
      </c>
      <c r="N51" t="str">
        <f t="shared" si="1"/>
        <v>40-49</v>
      </c>
    </row>
    <row r="52" spans="1:14" x14ac:dyDescent="0.3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  <c r="M52">
        <f t="shared" ca="1" si="0"/>
        <v>0</v>
      </c>
      <c r="N52" t="str">
        <f t="shared" si="1"/>
        <v>40-49</v>
      </c>
    </row>
    <row r="53" spans="1:14" x14ac:dyDescent="0.3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  <c r="M53">
        <f t="shared" ca="1" si="0"/>
        <v>1</v>
      </c>
      <c r="N53" t="str">
        <f t="shared" si="1"/>
        <v>40-49</v>
      </c>
    </row>
    <row r="54" spans="1:14" x14ac:dyDescent="0.3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  <c r="M54">
        <f t="shared" ca="1" si="0"/>
        <v>5</v>
      </c>
      <c r="N54" t="str">
        <f t="shared" si="1"/>
        <v>40-49</v>
      </c>
    </row>
    <row r="55" spans="1:14" x14ac:dyDescent="0.3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  <c r="M55">
        <f t="shared" ca="1" si="0"/>
        <v>3</v>
      </c>
      <c r="N55" t="str">
        <f t="shared" si="1"/>
        <v>40-49</v>
      </c>
    </row>
    <row r="56" spans="1:14" x14ac:dyDescent="0.3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  <c r="M56">
        <f t="shared" ca="1" si="0"/>
        <v>1</v>
      </c>
      <c r="N56" t="str">
        <f t="shared" si="1"/>
        <v>20-29</v>
      </c>
    </row>
    <row r="57" spans="1:14" x14ac:dyDescent="0.3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  <c r="M57">
        <f t="shared" ca="1" si="0"/>
        <v>4</v>
      </c>
      <c r="N57" t="str">
        <f t="shared" si="1"/>
        <v>30-39</v>
      </c>
    </row>
    <row r="58" spans="1:14" x14ac:dyDescent="0.3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  <c r="M58">
        <f t="shared" ca="1" si="0"/>
        <v>2</v>
      </c>
      <c r="N58" t="str">
        <f t="shared" si="1"/>
        <v>20-29</v>
      </c>
    </row>
    <row r="59" spans="1:14" x14ac:dyDescent="0.3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  <c r="M59">
        <f t="shared" ca="1" si="0"/>
        <v>3</v>
      </c>
      <c r="N59" t="str">
        <f t="shared" si="1"/>
        <v>30-39</v>
      </c>
    </row>
    <row r="60" spans="1:14" x14ac:dyDescent="0.3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  <c r="M60">
        <f t="shared" ca="1" si="0"/>
        <v>3</v>
      </c>
      <c r="N60" t="str">
        <f t="shared" si="1"/>
        <v>20-29</v>
      </c>
    </row>
    <row r="61" spans="1:14" x14ac:dyDescent="0.3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  <c r="M61">
        <f t="shared" ca="1" si="0"/>
        <v>1</v>
      </c>
      <c r="N61" t="str">
        <f t="shared" si="1"/>
        <v>20-29</v>
      </c>
    </row>
    <row r="62" spans="1:14" x14ac:dyDescent="0.3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  <c r="M62">
        <f t="shared" ca="1" si="0"/>
        <v>2</v>
      </c>
      <c r="N62" t="str">
        <f t="shared" si="1"/>
        <v>20-29</v>
      </c>
    </row>
    <row r="63" spans="1:14" x14ac:dyDescent="0.3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  <c r="M63">
        <f t="shared" ca="1" si="0"/>
        <v>2</v>
      </c>
      <c r="N63" t="str">
        <f t="shared" si="1"/>
        <v>30-39</v>
      </c>
    </row>
    <row r="64" spans="1:14" x14ac:dyDescent="0.3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  <c r="M64">
        <f t="shared" ca="1" si="0"/>
        <v>3</v>
      </c>
      <c r="N64" t="str">
        <f t="shared" si="1"/>
        <v>30-39</v>
      </c>
    </row>
    <row r="65" spans="1:14" x14ac:dyDescent="0.3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  <c r="M65">
        <f t="shared" ca="1" si="0"/>
        <v>3</v>
      </c>
      <c r="N65" t="str">
        <f t="shared" si="1"/>
        <v>40-49</v>
      </c>
    </row>
    <row r="66" spans="1:14" x14ac:dyDescent="0.3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  <c r="M66">
        <f t="shared" ref="M66:M129" ca="1" si="2">IF(I66="",DATEDIF(H66,TODAY(),"Y"),DATEDIF(H66,I66,"Y"))</f>
        <v>3</v>
      </c>
      <c r="N66" t="str">
        <f t="shared" ref="N66:N129" si="3">IF(D66&lt;30,"20-29",IF(D66&lt;40,"30-39",IF(D66&lt;50,"40-49",IF(D66&lt;60,"50-59","60+"))))</f>
        <v>30-39</v>
      </c>
    </row>
    <row r="67" spans="1:14" x14ac:dyDescent="0.3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  <c r="M67">
        <f t="shared" ca="1" si="2"/>
        <v>2</v>
      </c>
      <c r="N67" t="str">
        <f t="shared" si="3"/>
        <v>30-39</v>
      </c>
    </row>
    <row r="68" spans="1:14" x14ac:dyDescent="0.3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  <c r="M68">
        <f t="shared" ca="1" si="2"/>
        <v>1</v>
      </c>
      <c r="N68" t="str">
        <f t="shared" si="3"/>
        <v>40-49</v>
      </c>
    </row>
    <row r="69" spans="1:14" x14ac:dyDescent="0.3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  <c r="M69">
        <f t="shared" ca="1" si="2"/>
        <v>1</v>
      </c>
      <c r="N69" t="str">
        <f t="shared" si="3"/>
        <v>50-59</v>
      </c>
    </row>
    <row r="70" spans="1:14" x14ac:dyDescent="0.3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  <c r="M70">
        <f t="shared" ca="1" si="2"/>
        <v>5</v>
      </c>
      <c r="N70" t="str">
        <f t="shared" si="3"/>
        <v>50-59</v>
      </c>
    </row>
    <row r="71" spans="1:14" x14ac:dyDescent="0.3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  <c r="M71">
        <f t="shared" ca="1" si="2"/>
        <v>6</v>
      </c>
      <c r="N71" t="str">
        <f t="shared" si="3"/>
        <v>50-59</v>
      </c>
    </row>
    <row r="72" spans="1:14" x14ac:dyDescent="0.3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  <c r="M72">
        <f t="shared" ca="1" si="2"/>
        <v>2</v>
      </c>
      <c r="N72" t="str">
        <f t="shared" si="3"/>
        <v>40-49</v>
      </c>
    </row>
    <row r="73" spans="1:14" x14ac:dyDescent="0.3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  <c r="M73">
        <f t="shared" ca="1" si="2"/>
        <v>4</v>
      </c>
      <c r="N73" t="str">
        <f t="shared" si="3"/>
        <v>30-39</v>
      </c>
    </row>
    <row r="74" spans="1:14" x14ac:dyDescent="0.3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  <c r="M74">
        <f t="shared" ca="1" si="2"/>
        <v>3</v>
      </c>
      <c r="N74" t="str">
        <f t="shared" si="3"/>
        <v>40-49</v>
      </c>
    </row>
    <row r="75" spans="1:14" x14ac:dyDescent="0.3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  <c r="M75">
        <f t="shared" ca="1" si="2"/>
        <v>1</v>
      </c>
      <c r="N75" t="str">
        <f t="shared" si="3"/>
        <v>30-39</v>
      </c>
    </row>
    <row r="76" spans="1:14" x14ac:dyDescent="0.3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  <c r="M76">
        <f t="shared" ca="1" si="2"/>
        <v>3</v>
      </c>
      <c r="N76" t="str">
        <f t="shared" si="3"/>
        <v>30-39</v>
      </c>
    </row>
    <row r="77" spans="1:14" x14ac:dyDescent="0.3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  <c r="M77">
        <f t="shared" ca="1" si="2"/>
        <v>2</v>
      </c>
      <c r="N77" t="str">
        <f t="shared" si="3"/>
        <v>30-39</v>
      </c>
    </row>
    <row r="78" spans="1:14" x14ac:dyDescent="0.3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  <c r="M78">
        <f t="shared" ca="1" si="2"/>
        <v>2</v>
      </c>
      <c r="N78" t="str">
        <f t="shared" si="3"/>
        <v>20-29</v>
      </c>
    </row>
    <row r="79" spans="1:14" x14ac:dyDescent="0.3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  <c r="M79">
        <f t="shared" ca="1" si="2"/>
        <v>0</v>
      </c>
      <c r="N79" t="str">
        <f t="shared" si="3"/>
        <v>30-39</v>
      </c>
    </row>
    <row r="80" spans="1:14" x14ac:dyDescent="0.3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  <c r="M80">
        <f t="shared" ca="1" si="2"/>
        <v>4</v>
      </c>
      <c r="N80" t="str">
        <f t="shared" si="3"/>
        <v>30-39</v>
      </c>
    </row>
    <row r="81" spans="1:14" x14ac:dyDescent="0.3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  <c r="M81">
        <f t="shared" ca="1" si="2"/>
        <v>2</v>
      </c>
      <c r="N81" t="str">
        <f t="shared" si="3"/>
        <v>40-49</v>
      </c>
    </row>
    <row r="82" spans="1:14" x14ac:dyDescent="0.3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  <c r="M82">
        <f t="shared" ca="1" si="2"/>
        <v>1</v>
      </c>
      <c r="N82" t="str">
        <f t="shared" si="3"/>
        <v>50-59</v>
      </c>
    </row>
    <row r="83" spans="1:14" x14ac:dyDescent="0.3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  <c r="M83">
        <f t="shared" ca="1" si="2"/>
        <v>5</v>
      </c>
      <c r="N83" t="str">
        <f t="shared" si="3"/>
        <v>30-39</v>
      </c>
    </row>
    <row r="84" spans="1:14" x14ac:dyDescent="0.3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  <c r="M84">
        <f t="shared" ca="1" si="2"/>
        <v>2</v>
      </c>
      <c r="N84" t="str">
        <f t="shared" si="3"/>
        <v>40-49</v>
      </c>
    </row>
    <row r="85" spans="1:14" x14ac:dyDescent="0.3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  <c r="M85">
        <f t="shared" ca="1" si="2"/>
        <v>1</v>
      </c>
      <c r="N85" t="str">
        <f t="shared" si="3"/>
        <v>20-29</v>
      </c>
    </row>
    <row r="86" spans="1:14" x14ac:dyDescent="0.3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  <c r="M86">
        <f t="shared" ca="1" si="2"/>
        <v>3</v>
      </c>
      <c r="N86" t="str">
        <f t="shared" si="3"/>
        <v>40-49</v>
      </c>
    </row>
    <row r="87" spans="1:14" x14ac:dyDescent="0.3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  <c r="M87">
        <f t="shared" ca="1" si="2"/>
        <v>3</v>
      </c>
      <c r="N87" t="str">
        <f t="shared" si="3"/>
        <v>40-49</v>
      </c>
    </row>
    <row r="88" spans="1:14" x14ac:dyDescent="0.3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  <c r="M88">
        <f t="shared" ca="1" si="2"/>
        <v>1</v>
      </c>
      <c r="N88" t="str">
        <f t="shared" si="3"/>
        <v>30-39</v>
      </c>
    </row>
    <row r="89" spans="1:14" x14ac:dyDescent="0.3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  <c r="M89">
        <f t="shared" ca="1" si="2"/>
        <v>4</v>
      </c>
      <c r="N89" t="str">
        <f t="shared" si="3"/>
        <v>40-49</v>
      </c>
    </row>
    <row r="90" spans="1:14" x14ac:dyDescent="0.3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  <c r="M90">
        <f t="shared" ca="1" si="2"/>
        <v>3</v>
      </c>
      <c r="N90" t="str">
        <f t="shared" si="3"/>
        <v>40-49</v>
      </c>
    </row>
    <row r="91" spans="1:14" x14ac:dyDescent="0.3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  <c r="M91">
        <f t="shared" ca="1" si="2"/>
        <v>3</v>
      </c>
      <c r="N91" t="str">
        <f t="shared" si="3"/>
        <v>20-29</v>
      </c>
    </row>
    <row r="92" spans="1:14" x14ac:dyDescent="0.3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  <c r="M92">
        <f t="shared" ca="1" si="2"/>
        <v>3</v>
      </c>
      <c r="N92" t="str">
        <f t="shared" si="3"/>
        <v>30-39</v>
      </c>
    </row>
    <row r="93" spans="1:14" x14ac:dyDescent="0.3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  <c r="M93">
        <f t="shared" ca="1" si="2"/>
        <v>1</v>
      </c>
      <c r="N93" t="str">
        <f t="shared" si="3"/>
        <v>20-29</v>
      </c>
    </row>
    <row r="94" spans="1:14" x14ac:dyDescent="0.3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  <c r="M94">
        <f t="shared" ca="1" si="2"/>
        <v>2</v>
      </c>
      <c r="N94" t="str">
        <f t="shared" si="3"/>
        <v>30-39</v>
      </c>
    </row>
    <row r="95" spans="1:14" x14ac:dyDescent="0.3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  <c r="M95">
        <f t="shared" ca="1" si="2"/>
        <v>2</v>
      </c>
      <c r="N95" t="str">
        <f t="shared" si="3"/>
        <v>20-29</v>
      </c>
    </row>
    <row r="96" spans="1:14" x14ac:dyDescent="0.3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  <c r="M96">
        <f t="shared" ca="1" si="2"/>
        <v>3</v>
      </c>
      <c r="N96" t="str">
        <f t="shared" si="3"/>
        <v>20-29</v>
      </c>
    </row>
    <row r="97" spans="1:14" x14ac:dyDescent="0.3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  <c r="M97">
        <f t="shared" ca="1" si="2"/>
        <v>3</v>
      </c>
      <c r="N97" t="str">
        <f t="shared" si="3"/>
        <v>20-29</v>
      </c>
    </row>
    <row r="98" spans="1:14" x14ac:dyDescent="0.3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  <c r="M98">
        <f t="shared" ca="1" si="2"/>
        <v>5</v>
      </c>
      <c r="N98" t="str">
        <f t="shared" si="3"/>
        <v>30-39</v>
      </c>
    </row>
    <row r="99" spans="1:14" x14ac:dyDescent="0.3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  <c r="M99">
        <f t="shared" ca="1" si="2"/>
        <v>4</v>
      </c>
      <c r="N99" t="str">
        <f t="shared" si="3"/>
        <v>30-39</v>
      </c>
    </row>
    <row r="100" spans="1:14" x14ac:dyDescent="0.3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  <c r="M100">
        <f t="shared" ca="1" si="2"/>
        <v>1</v>
      </c>
      <c r="N100" t="str">
        <f t="shared" si="3"/>
        <v>40-49</v>
      </c>
    </row>
    <row r="101" spans="1:14" x14ac:dyDescent="0.3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  <c r="M101">
        <f t="shared" ca="1" si="2"/>
        <v>1</v>
      </c>
      <c r="N101" t="str">
        <f t="shared" si="3"/>
        <v>30-39</v>
      </c>
    </row>
    <row r="102" spans="1:14" x14ac:dyDescent="0.3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  <c r="M102">
        <f t="shared" ca="1" si="2"/>
        <v>5</v>
      </c>
      <c r="N102" t="str">
        <f t="shared" si="3"/>
        <v>30-39</v>
      </c>
    </row>
    <row r="103" spans="1:14" x14ac:dyDescent="0.3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  <c r="M103">
        <f t="shared" ca="1" si="2"/>
        <v>6</v>
      </c>
      <c r="N103" t="str">
        <f t="shared" si="3"/>
        <v>40-49</v>
      </c>
    </row>
    <row r="104" spans="1:14" x14ac:dyDescent="0.3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  <c r="M104">
        <f t="shared" ca="1" si="2"/>
        <v>2</v>
      </c>
      <c r="N104" t="str">
        <f t="shared" si="3"/>
        <v>50-59</v>
      </c>
    </row>
    <row r="105" spans="1:14" x14ac:dyDescent="0.3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  <c r="M105">
        <f t="shared" ca="1" si="2"/>
        <v>1</v>
      </c>
      <c r="N105" t="str">
        <f t="shared" si="3"/>
        <v>50-59</v>
      </c>
    </row>
    <row r="106" spans="1:14" x14ac:dyDescent="0.3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  <c r="M106">
        <f t="shared" ca="1" si="2"/>
        <v>3</v>
      </c>
      <c r="N106" t="str">
        <f t="shared" si="3"/>
        <v>50-59</v>
      </c>
    </row>
    <row r="107" spans="1:14" x14ac:dyDescent="0.3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  <c r="M107">
        <f t="shared" ca="1" si="2"/>
        <v>1</v>
      </c>
      <c r="N107" t="str">
        <f t="shared" si="3"/>
        <v>40-49</v>
      </c>
    </row>
    <row r="108" spans="1:14" x14ac:dyDescent="0.3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  <c r="M108">
        <f t="shared" ca="1" si="2"/>
        <v>3</v>
      </c>
      <c r="N108" t="str">
        <f t="shared" si="3"/>
        <v>30-39</v>
      </c>
    </row>
    <row r="109" spans="1:14" x14ac:dyDescent="0.3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  <c r="M109">
        <f t="shared" ca="1" si="2"/>
        <v>2</v>
      </c>
      <c r="N109" t="str">
        <f t="shared" si="3"/>
        <v>40-49</v>
      </c>
    </row>
    <row r="110" spans="1:14" x14ac:dyDescent="0.3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  <c r="M110">
        <f t="shared" ca="1" si="2"/>
        <v>2</v>
      </c>
      <c r="N110" t="str">
        <f t="shared" si="3"/>
        <v>30-39</v>
      </c>
    </row>
    <row r="111" spans="1:14" x14ac:dyDescent="0.3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  <c r="M111">
        <f t="shared" ca="1" si="2"/>
        <v>2</v>
      </c>
      <c r="N111" t="str">
        <f t="shared" si="3"/>
        <v>30-39</v>
      </c>
    </row>
    <row r="112" spans="1:14" x14ac:dyDescent="0.3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  <c r="M112">
        <f t="shared" ca="1" si="2"/>
        <v>6</v>
      </c>
      <c r="N112" t="str">
        <f t="shared" si="3"/>
        <v>30-39</v>
      </c>
    </row>
    <row r="113" spans="1:14" x14ac:dyDescent="0.3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  <c r="M113">
        <f t="shared" ca="1" si="2"/>
        <v>2</v>
      </c>
      <c r="N113" t="str">
        <f t="shared" si="3"/>
        <v>20-29</v>
      </c>
    </row>
    <row r="114" spans="1:14" x14ac:dyDescent="0.3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  <c r="M114">
        <f t="shared" ca="1" si="2"/>
        <v>1</v>
      </c>
      <c r="N114" t="str">
        <f t="shared" si="3"/>
        <v>30-39</v>
      </c>
    </row>
    <row r="115" spans="1:14" x14ac:dyDescent="0.3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  <c r="M115">
        <f t="shared" ca="1" si="2"/>
        <v>5</v>
      </c>
      <c r="N115" t="str">
        <f t="shared" si="3"/>
        <v>30-39</v>
      </c>
    </row>
    <row r="116" spans="1:14" x14ac:dyDescent="0.3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  <c r="M116">
        <f t="shared" ca="1" si="2"/>
        <v>2</v>
      </c>
      <c r="N116" t="str">
        <f t="shared" si="3"/>
        <v>40-49</v>
      </c>
    </row>
    <row r="117" spans="1:14" x14ac:dyDescent="0.3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  <c r="M117">
        <f t="shared" ca="1" si="2"/>
        <v>1</v>
      </c>
      <c r="N117" t="str">
        <f t="shared" si="3"/>
        <v>50-59</v>
      </c>
    </row>
    <row r="118" spans="1:14" x14ac:dyDescent="0.3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  <c r="M118">
        <f t="shared" ca="1" si="2"/>
        <v>5</v>
      </c>
      <c r="N118" t="str">
        <f t="shared" si="3"/>
        <v>30-39</v>
      </c>
    </row>
    <row r="119" spans="1:14" x14ac:dyDescent="0.3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  <c r="M119">
        <f t="shared" ca="1" si="2"/>
        <v>3</v>
      </c>
      <c r="N119" t="str">
        <f t="shared" si="3"/>
        <v>40-49</v>
      </c>
    </row>
    <row r="120" spans="1:14" x14ac:dyDescent="0.3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  <c r="M120">
        <f t="shared" ca="1" si="2"/>
        <v>1</v>
      </c>
      <c r="N120" t="str">
        <f t="shared" si="3"/>
        <v>20-29</v>
      </c>
    </row>
    <row r="121" spans="1:14" x14ac:dyDescent="0.3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  <c r="M121">
        <f t="shared" ca="1" si="2"/>
        <v>4</v>
      </c>
      <c r="N121" t="str">
        <f t="shared" si="3"/>
        <v>40-49</v>
      </c>
    </row>
    <row r="122" spans="1:14" x14ac:dyDescent="0.3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  <c r="M122">
        <f t="shared" ca="1" si="2"/>
        <v>5</v>
      </c>
      <c r="N122" t="str">
        <f t="shared" si="3"/>
        <v>40-49</v>
      </c>
    </row>
    <row r="123" spans="1:14" x14ac:dyDescent="0.3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  <c r="M123">
        <f t="shared" ca="1" si="2"/>
        <v>3</v>
      </c>
      <c r="N123" t="str">
        <f t="shared" si="3"/>
        <v>30-39</v>
      </c>
    </row>
    <row r="124" spans="1:14" x14ac:dyDescent="0.3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  <c r="M124">
        <f t="shared" ca="1" si="2"/>
        <v>3</v>
      </c>
      <c r="N124" t="str">
        <f t="shared" si="3"/>
        <v>40-49</v>
      </c>
    </row>
    <row r="125" spans="1:14" x14ac:dyDescent="0.3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  <c r="M125">
        <f t="shared" ca="1" si="2"/>
        <v>1</v>
      </c>
      <c r="N125" t="str">
        <f t="shared" si="3"/>
        <v>40-49</v>
      </c>
    </row>
    <row r="126" spans="1:14" x14ac:dyDescent="0.3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  <c r="M126">
        <f t="shared" ca="1" si="2"/>
        <v>2</v>
      </c>
      <c r="N126" t="str">
        <f t="shared" si="3"/>
        <v>20-29</v>
      </c>
    </row>
    <row r="127" spans="1:14" x14ac:dyDescent="0.3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  <c r="M127">
        <f t="shared" ca="1" si="2"/>
        <v>2</v>
      </c>
      <c r="N127" t="str">
        <f t="shared" si="3"/>
        <v>30-39</v>
      </c>
    </row>
    <row r="128" spans="1:14" x14ac:dyDescent="0.3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  <c r="M128">
        <f t="shared" ca="1" si="2"/>
        <v>3</v>
      </c>
      <c r="N128" t="str">
        <f t="shared" si="3"/>
        <v>20-29</v>
      </c>
    </row>
    <row r="129" spans="1:14" x14ac:dyDescent="0.3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  <c r="M129">
        <f t="shared" ca="1" si="2"/>
        <v>5</v>
      </c>
      <c r="N129" t="str">
        <f t="shared" si="3"/>
        <v>30-39</v>
      </c>
    </row>
    <row r="130" spans="1:14" x14ac:dyDescent="0.3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  <c r="M130">
        <f t="shared" ref="M130:M193" ca="1" si="4">IF(I130="",DATEDIF(H130,TODAY(),"Y"),DATEDIF(H130,I130,"Y"))</f>
        <v>5</v>
      </c>
      <c r="N130" t="str">
        <f t="shared" ref="N130:N193" si="5">IF(D130&lt;30,"20-29",IF(D130&lt;40,"30-39",IF(D130&lt;50,"40-49",IF(D130&lt;60,"50-59","60+"))))</f>
        <v>20-29</v>
      </c>
    </row>
    <row r="131" spans="1:14" x14ac:dyDescent="0.3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  <c r="M131">
        <f t="shared" ca="1" si="4"/>
        <v>4</v>
      </c>
      <c r="N131" t="str">
        <f t="shared" si="5"/>
        <v>20-29</v>
      </c>
    </row>
    <row r="132" spans="1:14" x14ac:dyDescent="0.3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  <c r="M132">
        <f t="shared" ca="1" si="4"/>
        <v>1</v>
      </c>
      <c r="N132" t="str">
        <f t="shared" si="5"/>
        <v>20-29</v>
      </c>
    </row>
    <row r="133" spans="1:14" x14ac:dyDescent="0.3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  <c r="M133">
        <f t="shared" ca="1" si="4"/>
        <v>1</v>
      </c>
      <c r="N133" t="str">
        <f t="shared" si="5"/>
        <v>30-39</v>
      </c>
    </row>
    <row r="134" spans="1:14" x14ac:dyDescent="0.3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  <c r="M134">
        <f t="shared" ca="1" si="4"/>
        <v>2</v>
      </c>
      <c r="N134" t="str">
        <f t="shared" si="5"/>
        <v>30-39</v>
      </c>
    </row>
    <row r="135" spans="1:14" x14ac:dyDescent="0.3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  <c r="M135">
        <f t="shared" ca="1" si="4"/>
        <v>6</v>
      </c>
      <c r="N135" t="str">
        <f t="shared" si="5"/>
        <v>40-49</v>
      </c>
    </row>
    <row r="136" spans="1:14" x14ac:dyDescent="0.3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  <c r="M136">
        <f t="shared" ca="1" si="4"/>
        <v>2</v>
      </c>
      <c r="N136" t="str">
        <f t="shared" si="5"/>
        <v>30-39</v>
      </c>
    </row>
    <row r="137" spans="1:14" x14ac:dyDescent="0.3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  <c r="M137">
        <f t="shared" ca="1" si="4"/>
        <v>4</v>
      </c>
      <c r="N137" t="str">
        <f t="shared" si="5"/>
        <v>30-39</v>
      </c>
    </row>
    <row r="138" spans="1:14" x14ac:dyDescent="0.3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  <c r="M138">
        <f t="shared" ca="1" si="4"/>
        <v>3</v>
      </c>
      <c r="N138" t="str">
        <f t="shared" si="5"/>
        <v>40-49</v>
      </c>
    </row>
    <row r="139" spans="1:14" x14ac:dyDescent="0.3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  <c r="M139">
        <f t="shared" ca="1" si="4"/>
        <v>1</v>
      </c>
      <c r="N139" t="str">
        <f t="shared" si="5"/>
        <v>50-59</v>
      </c>
    </row>
    <row r="140" spans="1:14" x14ac:dyDescent="0.3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  <c r="M140">
        <f t="shared" ca="1" si="4"/>
        <v>3</v>
      </c>
      <c r="N140" t="str">
        <f t="shared" si="5"/>
        <v>50-59</v>
      </c>
    </row>
    <row r="141" spans="1:14" x14ac:dyDescent="0.3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  <c r="M141">
        <f t="shared" ca="1" si="4"/>
        <v>2</v>
      </c>
      <c r="N141" t="str">
        <f t="shared" si="5"/>
        <v>50-59</v>
      </c>
    </row>
    <row r="142" spans="1:14" x14ac:dyDescent="0.3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  <c r="M142">
        <f t="shared" ca="1" si="4"/>
        <v>2</v>
      </c>
      <c r="N142" t="str">
        <f t="shared" si="5"/>
        <v>40-49</v>
      </c>
    </row>
    <row r="143" spans="1:14" x14ac:dyDescent="0.3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  <c r="M143">
        <f t="shared" ca="1" si="4"/>
        <v>2</v>
      </c>
      <c r="N143" t="str">
        <f t="shared" si="5"/>
        <v>30-39</v>
      </c>
    </row>
    <row r="144" spans="1:14" x14ac:dyDescent="0.3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  <c r="M144">
        <f t="shared" ca="1" si="4"/>
        <v>6</v>
      </c>
      <c r="N144" t="str">
        <f t="shared" si="5"/>
        <v>40-49</v>
      </c>
    </row>
    <row r="145" spans="1:14" x14ac:dyDescent="0.3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  <c r="M145">
        <f t="shared" ca="1" si="4"/>
        <v>2</v>
      </c>
      <c r="N145" t="str">
        <f t="shared" si="5"/>
        <v>30-39</v>
      </c>
    </row>
    <row r="146" spans="1:14" x14ac:dyDescent="0.3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  <c r="M146">
        <f t="shared" ca="1" si="4"/>
        <v>1</v>
      </c>
      <c r="N146" t="str">
        <f t="shared" si="5"/>
        <v>30-39</v>
      </c>
    </row>
    <row r="147" spans="1:14" x14ac:dyDescent="0.3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  <c r="M147">
        <f t="shared" ca="1" si="4"/>
        <v>5</v>
      </c>
      <c r="N147" t="str">
        <f t="shared" si="5"/>
        <v>30-39</v>
      </c>
    </row>
    <row r="148" spans="1:14" x14ac:dyDescent="0.3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  <c r="M148">
        <f t="shared" ca="1" si="4"/>
        <v>2</v>
      </c>
      <c r="N148" t="str">
        <f t="shared" si="5"/>
        <v>20-29</v>
      </c>
    </row>
    <row r="149" spans="1:14" x14ac:dyDescent="0.3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  <c r="M149">
        <f t="shared" ca="1" si="4"/>
        <v>1</v>
      </c>
      <c r="N149" t="str">
        <f t="shared" si="5"/>
        <v>30-39</v>
      </c>
    </row>
    <row r="150" spans="1:14" x14ac:dyDescent="0.3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  <c r="M150">
        <f t="shared" ca="1" si="4"/>
        <v>5</v>
      </c>
      <c r="N150" t="str">
        <f t="shared" si="5"/>
        <v>30-39</v>
      </c>
    </row>
    <row r="151" spans="1:14" x14ac:dyDescent="0.3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  <c r="M151">
        <f t="shared" ca="1" si="4"/>
        <v>3</v>
      </c>
      <c r="N151" t="str">
        <f t="shared" si="5"/>
        <v>40-49</v>
      </c>
    </row>
    <row r="152" spans="1:14" x14ac:dyDescent="0.3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  <c r="M152">
        <f t="shared" ca="1" si="4"/>
        <v>1</v>
      </c>
      <c r="N152" t="str">
        <f t="shared" si="5"/>
        <v>50-59</v>
      </c>
    </row>
    <row r="153" spans="1:14" x14ac:dyDescent="0.3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  <c r="M153">
        <f t="shared" ca="1" si="4"/>
        <v>4</v>
      </c>
      <c r="N153" t="str">
        <f t="shared" si="5"/>
        <v>30-39</v>
      </c>
    </row>
    <row r="154" spans="1:14" x14ac:dyDescent="0.3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  <c r="M154">
        <f t="shared" ca="1" si="4"/>
        <v>5</v>
      </c>
      <c r="N154" t="str">
        <f t="shared" si="5"/>
        <v>40-49</v>
      </c>
    </row>
    <row r="155" spans="1:14" x14ac:dyDescent="0.3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  <c r="M155">
        <f t="shared" ca="1" si="4"/>
        <v>3</v>
      </c>
      <c r="N155" t="str">
        <f t="shared" si="5"/>
        <v>20-29</v>
      </c>
    </row>
    <row r="156" spans="1:14" x14ac:dyDescent="0.3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  <c r="M156">
        <f t="shared" ca="1" si="4"/>
        <v>3</v>
      </c>
      <c r="N156" t="str">
        <f t="shared" si="5"/>
        <v>40-49</v>
      </c>
    </row>
    <row r="157" spans="1:14" x14ac:dyDescent="0.3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  <c r="M157">
        <f t="shared" ca="1" si="4"/>
        <v>1</v>
      </c>
      <c r="N157" t="str">
        <f t="shared" si="5"/>
        <v>40-49</v>
      </c>
    </row>
    <row r="158" spans="1:14" x14ac:dyDescent="0.3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  <c r="M158">
        <f t="shared" ca="1" si="4"/>
        <v>2</v>
      </c>
      <c r="N158" t="str">
        <f t="shared" si="5"/>
        <v>30-39</v>
      </c>
    </row>
    <row r="159" spans="1:14" x14ac:dyDescent="0.3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  <c r="M159">
        <f t="shared" ca="1" si="4"/>
        <v>2</v>
      </c>
      <c r="N159" t="str">
        <f t="shared" si="5"/>
        <v>40-49</v>
      </c>
    </row>
    <row r="160" spans="1:14" x14ac:dyDescent="0.3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  <c r="M160">
        <f t="shared" ca="1" si="4"/>
        <v>3</v>
      </c>
      <c r="N160" t="str">
        <f t="shared" si="5"/>
        <v>40-49</v>
      </c>
    </row>
    <row r="161" spans="1:14" x14ac:dyDescent="0.3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  <c r="M161">
        <f t="shared" ca="1" si="4"/>
        <v>5</v>
      </c>
      <c r="N161" t="str">
        <f t="shared" si="5"/>
        <v>20-29</v>
      </c>
    </row>
    <row r="162" spans="1:14" x14ac:dyDescent="0.3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  <c r="M162">
        <f t="shared" ca="1" si="4"/>
        <v>5</v>
      </c>
      <c r="N162" t="str">
        <f t="shared" si="5"/>
        <v>30-39</v>
      </c>
    </row>
    <row r="163" spans="1:14" x14ac:dyDescent="0.3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  <c r="M163">
        <f t="shared" ca="1" si="4"/>
        <v>4</v>
      </c>
      <c r="N163" t="str">
        <f t="shared" si="5"/>
        <v>20-29</v>
      </c>
    </row>
    <row r="164" spans="1:14" x14ac:dyDescent="0.3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  <c r="M164">
        <f t="shared" ca="1" si="4"/>
        <v>1</v>
      </c>
      <c r="N164" t="str">
        <f t="shared" si="5"/>
        <v>30-39</v>
      </c>
    </row>
    <row r="165" spans="1:14" x14ac:dyDescent="0.3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  <c r="M165">
        <f t="shared" ca="1" si="4"/>
        <v>1</v>
      </c>
      <c r="N165" t="str">
        <f t="shared" si="5"/>
        <v>20-29</v>
      </c>
    </row>
    <row r="166" spans="1:14" x14ac:dyDescent="0.3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  <c r="M166">
        <f t="shared" ca="1" si="4"/>
        <v>5</v>
      </c>
      <c r="N166" t="str">
        <f t="shared" si="5"/>
        <v>20-29</v>
      </c>
    </row>
    <row r="167" spans="1:14" x14ac:dyDescent="0.3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  <c r="M167">
        <f t="shared" ca="1" si="4"/>
        <v>6</v>
      </c>
      <c r="N167" t="str">
        <f t="shared" si="5"/>
        <v>20-29</v>
      </c>
    </row>
    <row r="168" spans="1:14" x14ac:dyDescent="0.3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  <c r="M168">
        <f t="shared" ca="1" si="4"/>
        <v>2</v>
      </c>
      <c r="N168" t="str">
        <f t="shared" si="5"/>
        <v>30-39</v>
      </c>
    </row>
    <row r="169" spans="1:14" x14ac:dyDescent="0.3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  <c r="M169">
        <f t="shared" ca="1" si="4"/>
        <v>4</v>
      </c>
      <c r="N169" t="str">
        <f t="shared" si="5"/>
        <v>30-39</v>
      </c>
    </row>
    <row r="170" spans="1:14" x14ac:dyDescent="0.3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  <c r="M170">
        <f t="shared" ca="1" si="4"/>
        <v>3</v>
      </c>
      <c r="N170" t="str">
        <f t="shared" si="5"/>
        <v>40-49</v>
      </c>
    </row>
    <row r="171" spans="1:14" x14ac:dyDescent="0.3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  <c r="M171">
        <f t="shared" ca="1" si="4"/>
        <v>1</v>
      </c>
      <c r="N171" t="str">
        <f t="shared" si="5"/>
        <v>30-39</v>
      </c>
    </row>
    <row r="172" spans="1:14" x14ac:dyDescent="0.3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  <c r="M172">
        <f t="shared" ca="1" si="4"/>
        <v>3</v>
      </c>
      <c r="N172" t="str">
        <f t="shared" si="5"/>
        <v>30-39</v>
      </c>
    </row>
    <row r="173" spans="1:14" x14ac:dyDescent="0.3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  <c r="M173">
        <f t="shared" ca="1" si="4"/>
        <v>2</v>
      </c>
      <c r="N173" t="str">
        <f t="shared" si="5"/>
        <v>40-49</v>
      </c>
    </row>
    <row r="174" spans="1:14" x14ac:dyDescent="0.3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  <c r="M174">
        <f t="shared" ca="1" si="4"/>
        <v>1</v>
      </c>
      <c r="N174" t="str">
        <f t="shared" si="5"/>
        <v>50-59</v>
      </c>
    </row>
    <row r="175" spans="1:14" x14ac:dyDescent="0.3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  <c r="M175">
        <f t="shared" ca="1" si="4"/>
        <v>2</v>
      </c>
      <c r="N175" t="str">
        <f t="shared" si="5"/>
        <v>50-59</v>
      </c>
    </row>
    <row r="176" spans="1:14" x14ac:dyDescent="0.3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  <c r="M176">
        <f t="shared" ca="1" si="4"/>
        <v>6</v>
      </c>
      <c r="N176" t="str">
        <f t="shared" si="5"/>
        <v>50-59</v>
      </c>
    </row>
    <row r="177" spans="1:14" x14ac:dyDescent="0.3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  <c r="M177">
        <f t="shared" ca="1" si="4"/>
        <v>2</v>
      </c>
      <c r="N177" t="str">
        <f t="shared" si="5"/>
        <v>40-49</v>
      </c>
    </row>
    <row r="178" spans="1:14" x14ac:dyDescent="0.3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  <c r="M178">
        <f t="shared" ca="1" si="4"/>
        <v>1</v>
      </c>
      <c r="N178" t="str">
        <f t="shared" si="5"/>
        <v>30-39</v>
      </c>
    </row>
    <row r="179" spans="1:14" x14ac:dyDescent="0.3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  <c r="M179">
        <f t="shared" ca="1" si="4"/>
        <v>5</v>
      </c>
      <c r="N179" t="str">
        <f t="shared" si="5"/>
        <v>40-49</v>
      </c>
    </row>
    <row r="180" spans="1:14" x14ac:dyDescent="0.3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  <c r="M180">
        <f t="shared" ca="1" si="4"/>
        <v>2</v>
      </c>
      <c r="N180" t="str">
        <f t="shared" si="5"/>
        <v>30-39</v>
      </c>
    </row>
    <row r="181" spans="1:14" x14ac:dyDescent="0.3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  <c r="M181">
        <f t="shared" ca="1" si="4"/>
        <v>1</v>
      </c>
      <c r="N181" t="str">
        <f t="shared" si="5"/>
        <v>30-39</v>
      </c>
    </row>
    <row r="182" spans="1:14" x14ac:dyDescent="0.3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  <c r="M182">
        <f t="shared" ca="1" si="4"/>
        <v>5</v>
      </c>
      <c r="N182" t="str">
        <f t="shared" si="5"/>
        <v>30-39</v>
      </c>
    </row>
    <row r="183" spans="1:14" x14ac:dyDescent="0.3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  <c r="M183">
        <f t="shared" ca="1" si="4"/>
        <v>3</v>
      </c>
      <c r="N183" t="str">
        <f t="shared" si="5"/>
        <v>20-29</v>
      </c>
    </row>
    <row r="184" spans="1:14" x14ac:dyDescent="0.3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  <c r="M184">
        <f t="shared" ca="1" si="4"/>
        <v>1</v>
      </c>
      <c r="N184" t="str">
        <f t="shared" si="5"/>
        <v>30-39</v>
      </c>
    </row>
    <row r="185" spans="1:14" x14ac:dyDescent="0.3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  <c r="M185">
        <f t="shared" ca="1" si="4"/>
        <v>4</v>
      </c>
      <c r="N185" t="str">
        <f t="shared" si="5"/>
        <v>30-39</v>
      </c>
    </row>
    <row r="186" spans="1:14" x14ac:dyDescent="0.3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  <c r="M186">
        <f t="shared" ca="1" si="4"/>
        <v>5</v>
      </c>
      <c r="N186" t="str">
        <f t="shared" si="5"/>
        <v>40-49</v>
      </c>
    </row>
    <row r="187" spans="1:14" x14ac:dyDescent="0.3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  <c r="M187">
        <f t="shared" ca="1" si="4"/>
        <v>3</v>
      </c>
      <c r="N187" t="str">
        <f t="shared" si="5"/>
        <v>50-59</v>
      </c>
    </row>
    <row r="188" spans="1:14" x14ac:dyDescent="0.3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  <c r="M188">
        <f t="shared" ca="1" si="4"/>
        <v>3</v>
      </c>
      <c r="N188" t="str">
        <f t="shared" si="5"/>
        <v>30-39</v>
      </c>
    </row>
    <row r="189" spans="1:14" x14ac:dyDescent="0.3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  <c r="M189">
        <f t="shared" ca="1" si="4"/>
        <v>1</v>
      </c>
      <c r="N189" t="str">
        <f t="shared" si="5"/>
        <v>40-49</v>
      </c>
    </row>
    <row r="190" spans="1:14" x14ac:dyDescent="0.3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  <c r="M190">
        <f t="shared" ca="1" si="4"/>
        <v>2</v>
      </c>
      <c r="N190" t="str">
        <f t="shared" si="5"/>
        <v>20-29</v>
      </c>
    </row>
    <row r="191" spans="1:14" x14ac:dyDescent="0.3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  <c r="M191">
        <f t="shared" ca="1" si="4"/>
        <v>2</v>
      </c>
      <c r="N191" t="str">
        <f t="shared" si="5"/>
        <v>40-49</v>
      </c>
    </row>
    <row r="192" spans="1:14" x14ac:dyDescent="0.3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  <c r="M192">
        <f t="shared" ca="1" si="4"/>
        <v>3</v>
      </c>
      <c r="N192" t="str">
        <f t="shared" si="5"/>
        <v>40-49</v>
      </c>
    </row>
    <row r="193" spans="1:14" x14ac:dyDescent="0.3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  <c r="M193">
        <f t="shared" ca="1" si="4"/>
        <v>5</v>
      </c>
      <c r="N193" t="str">
        <f t="shared" si="5"/>
        <v>40-49</v>
      </c>
    </row>
    <row r="194" spans="1:14" x14ac:dyDescent="0.3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  <c r="M194">
        <f t="shared" ref="M194:M257" ca="1" si="6">IF(I194="",DATEDIF(H194,TODAY(),"Y"),DATEDIF(H194,I194,"Y"))</f>
        <v>5</v>
      </c>
      <c r="N194" t="str">
        <f t="shared" ref="N194:N257" si="7">IF(D194&lt;30,"20-29",IF(D194&lt;40,"30-39",IF(D194&lt;50,"40-49",IF(D194&lt;60,"50-59","60+"))))</f>
        <v>40-49</v>
      </c>
    </row>
    <row r="195" spans="1:14" x14ac:dyDescent="0.3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  <c r="M195">
        <f t="shared" ca="1" si="6"/>
        <v>4</v>
      </c>
      <c r="N195" t="str">
        <f t="shared" si="7"/>
        <v>40-49</v>
      </c>
    </row>
    <row r="196" spans="1:14" x14ac:dyDescent="0.3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  <c r="M196">
        <f t="shared" ca="1" si="6"/>
        <v>1</v>
      </c>
      <c r="N196" t="str">
        <f t="shared" si="7"/>
        <v>20-29</v>
      </c>
    </row>
    <row r="197" spans="1:14" x14ac:dyDescent="0.3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  <c r="M197">
        <f t="shared" ca="1" si="6"/>
        <v>1</v>
      </c>
      <c r="N197" t="str">
        <f t="shared" si="7"/>
        <v>30-39</v>
      </c>
    </row>
    <row r="198" spans="1:14" x14ac:dyDescent="0.3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  <c r="M198">
        <f t="shared" ca="1" si="6"/>
        <v>5</v>
      </c>
      <c r="N198" t="str">
        <f t="shared" si="7"/>
        <v>20-29</v>
      </c>
    </row>
    <row r="199" spans="1:14" x14ac:dyDescent="0.3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  <c r="M199">
        <f t="shared" ca="1" si="6"/>
        <v>6</v>
      </c>
      <c r="N199" t="str">
        <f t="shared" si="7"/>
        <v>30-39</v>
      </c>
    </row>
    <row r="200" spans="1:14" x14ac:dyDescent="0.3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  <c r="M200">
        <f t="shared" ca="1" si="6"/>
        <v>2</v>
      </c>
      <c r="N200" t="str">
        <f t="shared" si="7"/>
        <v>20-29</v>
      </c>
    </row>
    <row r="201" spans="1:14" x14ac:dyDescent="0.3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  <c r="M201">
        <f t="shared" ca="1" si="6"/>
        <v>4</v>
      </c>
      <c r="N201" t="str">
        <f t="shared" si="7"/>
        <v>20-29</v>
      </c>
    </row>
    <row r="202" spans="1:14" x14ac:dyDescent="0.3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  <c r="M202">
        <f t="shared" ca="1" si="6"/>
        <v>1</v>
      </c>
      <c r="N202" t="str">
        <f t="shared" si="7"/>
        <v>20-29</v>
      </c>
    </row>
    <row r="203" spans="1:14" x14ac:dyDescent="0.3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  <c r="M203">
        <f t="shared" ca="1" si="6"/>
        <v>1</v>
      </c>
      <c r="N203" t="str">
        <f t="shared" si="7"/>
        <v>30-39</v>
      </c>
    </row>
    <row r="204" spans="1:14" x14ac:dyDescent="0.3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  <c r="M204">
        <f t="shared" ca="1" si="6"/>
        <v>3</v>
      </c>
      <c r="N204" t="str">
        <f t="shared" si="7"/>
        <v>40-49</v>
      </c>
    </row>
    <row r="205" spans="1:14" x14ac:dyDescent="0.3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  <c r="M205">
        <f t="shared" ca="1" si="6"/>
        <v>2</v>
      </c>
      <c r="N205" t="str">
        <f t="shared" si="7"/>
        <v>40-49</v>
      </c>
    </row>
    <row r="206" spans="1:14" x14ac:dyDescent="0.3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  <c r="M206">
        <f t="shared" ca="1" si="6"/>
        <v>2</v>
      </c>
      <c r="N206" t="str">
        <f t="shared" si="7"/>
        <v>40-49</v>
      </c>
    </row>
    <row r="207" spans="1:14" x14ac:dyDescent="0.3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  <c r="M207">
        <f t="shared" ca="1" si="6"/>
        <v>2</v>
      </c>
      <c r="N207" t="str">
        <f t="shared" si="7"/>
        <v>30-39</v>
      </c>
    </row>
    <row r="208" spans="1:14" x14ac:dyDescent="0.3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  <c r="M208">
        <f t="shared" ca="1" si="6"/>
        <v>6</v>
      </c>
      <c r="N208" t="str">
        <f t="shared" si="7"/>
        <v>40-49</v>
      </c>
    </row>
    <row r="209" spans="1:14" x14ac:dyDescent="0.3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  <c r="M209">
        <f t="shared" ca="1" si="6"/>
        <v>2</v>
      </c>
      <c r="N209" t="str">
        <f t="shared" si="7"/>
        <v>50-59</v>
      </c>
    </row>
    <row r="210" spans="1:14" x14ac:dyDescent="0.3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  <c r="M210">
        <f t="shared" ca="1" si="6"/>
        <v>1</v>
      </c>
      <c r="N210" t="str">
        <f t="shared" si="7"/>
        <v>50-59</v>
      </c>
    </row>
    <row r="211" spans="1:14" x14ac:dyDescent="0.3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  <c r="M211">
        <f t="shared" ca="1" si="6"/>
        <v>2</v>
      </c>
      <c r="N211" t="str">
        <f t="shared" si="7"/>
        <v>50-59</v>
      </c>
    </row>
    <row r="212" spans="1:14" x14ac:dyDescent="0.3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  <c r="M212">
        <f t="shared" ca="1" si="6"/>
        <v>2</v>
      </c>
      <c r="N212" t="str">
        <f t="shared" si="7"/>
        <v>40-49</v>
      </c>
    </row>
    <row r="213" spans="1:14" x14ac:dyDescent="0.3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  <c r="M213">
        <f t="shared" ca="1" si="6"/>
        <v>2</v>
      </c>
      <c r="N213" t="str">
        <f t="shared" si="7"/>
        <v>30-39</v>
      </c>
    </row>
    <row r="214" spans="1:14" x14ac:dyDescent="0.3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  <c r="M214">
        <f t="shared" ca="1" si="6"/>
        <v>5</v>
      </c>
      <c r="N214" t="str">
        <f t="shared" si="7"/>
        <v>40-49</v>
      </c>
    </row>
    <row r="215" spans="1:14" x14ac:dyDescent="0.3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  <c r="M215">
        <f t="shared" ca="1" si="6"/>
        <v>3</v>
      </c>
      <c r="N215" t="str">
        <f t="shared" si="7"/>
        <v>30-39</v>
      </c>
    </row>
    <row r="216" spans="1:14" x14ac:dyDescent="0.3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  <c r="M216">
        <f t="shared" ca="1" si="6"/>
        <v>1</v>
      </c>
      <c r="N216" t="str">
        <f t="shared" si="7"/>
        <v>30-39</v>
      </c>
    </row>
    <row r="217" spans="1:14" x14ac:dyDescent="0.3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  <c r="M217">
        <f t="shared" ca="1" si="6"/>
        <v>1</v>
      </c>
      <c r="N217" t="str">
        <f t="shared" si="7"/>
        <v>30-39</v>
      </c>
    </row>
    <row r="218" spans="1:14" x14ac:dyDescent="0.3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  <c r="M218">
        <f t="shared" ca="1" si="6"/>
        <v>5</v>
      </c>
      <c r="N218" t="str">
        <f t="shared" si="7"/>
        <v>30-39</v>
      </c>
    </row>
    <row r="219" spans="1:14" x14ac:dyDescent="0.3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  <c r="M219">
        <f t="shared" ca="1" si="6"/>
        <v>3</v>
      </c>
      <c r="N219" t="str">
        <f t="shared" si="7"/>
        <v>30-39</v>
      </c>
    </row>
    <row r="220" spans="1:14" x14ac:dyDescent="0.3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  <c r="M220">
        <f t="shared" ca="1" si="6"/>
        <v>3</v>
      </c>
      <c r="N220" t="str">
        <f t="shared" si="7"/>
        <v>30-39</v>
      </c>
    </row>
    <row r="221" spans="1:14" x14ac:dyDescent="0.3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  <c r="M221">
        <f t="shared" ca="1" si="6"/>
        <v>1</v>
      </c>
      <c r="N221" t="str">
        <f t="shared" si="7"/>
        <v>40-49</v>
      </c>
    </row>
    <row r="222" spans="1:14" x14ac:dyDescent="0.3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  <c r="M222">
        <f t="shared" ca="1" si="6"/>
        <v>2</v>
      </c>
      <c r="N222" t="str">
        <f t="shared" si="7"/>
        <v>50-59</v>
      </c>
    </row>
    <row r="223" spans="1:14" x14ac:dyDescent="0.3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  <c r="M223">
        <f t="shared" ca="1" si="6"/>
        <v>2</v>
      </c>
      <c r="N223" t="str">
        <f t="shared" si="7"/>
        <v>30-39</v>
      </c>
    </row>
    <row r="224" spans="1:14" x14ac:dyDescent="0.3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  <c r="M224">
        <f t="shared" ca="1" si="6"/>
        <v>3</v>
      </c>
      <c r="N224" t="str">
        <f t="shared" si="7"/>
        <v>40-49</v>
      </c>
    </row>
    <row r="225" spans="1:14" x14ac:dyDescent="0.3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  <c r="M225">
        <f t="shared" ca="1" si="6"/>
        <v>5</v>
      </c>
      <c r="N225" t="str">
        <f t="shared" si="7"/>
        <v>30-39</v>
      </c>
    </row>
    <row r="226" spans="1:14" x14ac:dyDescent="0.3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  <c r="M226">
        <f t="shared" ca="1" si="6"/>
        <v>5</v>
      </c>
      <c r="N226" t="str">
        <f t="shared" si="7"/>
        <v>40-49</v>
      </c>
    </row>
    <row r="227" spans="1:14" x14ac:dyDescent="0.3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  <c r="M227">
        <f t="shared" ca="1" si="6"/>
        <v>4</v>
      </c>
      <c r="N227" t="str">
        <f t="shared" si="7"/>
        <v>40-49</v>
      </c>
    </row>
    <row r="228" spans="1:14" x14ac:dyDescent="0.3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  <c r="M228">
        <f t="shared" ca="1" si="6"/>
        <v>1</v>
      </c>
      <c r="N228" t="str">
        <f t="shared" si="7"/>
        <v>30-39</v>
      </c>
    </row>
    <row r="229" spans="1:14" x14ac:dyDescent="0.3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  <c r="M229">
        <f t="shared" ca="1" si="6"/>
        <v>1</v>
      </c>
      <c r="N229" t="str">
        <f t="shared" si="7"/>
        <v>40-49</v>
      </c>
    </row>
    <row r="230" spans="1:14" x14ac:dyDescent="0.3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  <c r="M230">
        <f t="shared" ca="1" si="6"/>
        <v>5</v>
      </c>
      <c r="N230" t="str">
        <f t="shared" si="7"/>
        <v>40-49</v>
      </c>
    </row>
    <row r="231" spans="1:14" x14ac:dyDescent="0.3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  <c r="M231">
        <f t="shared" ca="1" si="6"/>
        <v>6</v>
      </c>
      <c r="N231" t="str">
        <f t="shared" si="7"/>
        <v>30-39</v>
      </c>
    </row>
    <row r="232" spans="1:14" x14ac:dyDescent="0.3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  <c r="M232">
        <f t="shared" ca="1" si="6"/>
        <v>2</v>
      </c>
      <c r="N232" t="str">
        <f t="shared" si="7"/>
        <v>30-39</v>
      </c>
    </row>
    <row r="233" spans="1:14" x14ac:dyDescent="0.3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  <c r="M233">
        <f t="shared" ca="1" si="6"/>
        <v>4</v>
      </c>
      <c r="N233" t="str">
        <f t="shared" si="7"/>
        <v>30-39</v>
      </c>
    </row>
    <row r="234" spans="1:14" x14ac:dyDescent="0.3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  <c r="M234">
        <f t="shared" ca="1" si="6"/>
        <v>3</v>
      </c>
      <c r="N234" t="str">
        <f t="shared" si="7"/>
        <v>30-39</v>
      </c>
    </row>
    <row r="235" spans="1:14" x14ac:dyDescent="0.3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  <c r="M235">
        <f t="shared" ca="1" si="6"/>
        <v>1</v>
      </c>
      <c r="N235" t="str">
        <f t="shared" si="7"/>
        <v>30-39</v>
      </c>
    </row>
    <row r="236" spans="1:14" x14ac:dyDescent="0.3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  <c r="M236">
        <f t="shared" ca="1" si="6"/>
        <v>3</v>
      </c>
      <c r="N236" t="str">
        <f t="shared" si="7"/>
        <v>30-39</v>
      </c>
    </row>
    <row r="237" spans="1:14" x14ac:dyDescent="0.3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  <c r="M237">
        <f t="shared" ca="1" si="6"/>
        <v>1</v>
      </c>
      <c r="N237" t="str">
        <f t="shared" si="7"/>
        <v>20-29</v>
      </c>
    </row>
    <row r="238" spans="1:14" x14ac:dyDescent="0.3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  <c r="M238">
        <f t="shared" ca="1" si="6"/>
        <v>2</v>
      </c>
      <c r="N238" t="str">
        <f t="shared" si="7"/>
        <v>30-39</v>
      </c>
    </row>
    <row r="239" spans="1:14" x14ac:dyDescent="0.3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  <c r="M239">
        <f t="shared" ca="1" si="6"/>
        <v>2</v>
      </c>
      <c r="N239" t="str">
        <f t="shared" si="7"/>
        <v>30-39</v>
      </c>
    </row>
    <row r="240" spans="1:14" x14ac:dyDescent="0.3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  <c r="M240">
        <f t="shared" ca="1" si="6"/>
        <v>6</v>
      </c>
      <c r="N240" t="str">
        <f t="shared" si="7"/>
        <v>40-49</v>
      </c>
    </row>
    <row r="241" spans="1:14" x14ac:dyDescent="0.3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  <c r="M241">
        <f t="shared" ca="1" si="6"/>
        <v>2</v>
      </c>
      <c r="N241" t="str">
        <f t="shared" si="7"/>
        <v>30-39</v>
      </c>
    </row>
    <row r="242" spans="1:14" x14ac:dyDescent="0.3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  <c r="M242">
        <f t="shared" ca="1" si="6"/>
        <v>1</v>
      </c>
      <c r="N242" t="str">
        <f t="shared" si="7"/>
        <v>30-39</v>
      </c>
    </row>
    <row r="243" spans="1:14" x14ac:dyDescent="0.3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  <c r="M243">
        <f t="shared" ca="1" si="6"/>
        <v>5</v>
      </c>
      <c r="N243" t="str">
        <f t="shared" si="7"/>
        <v>40-49</v>
      </c>
    </row>
    <row r="244" spans="1:14" x14ac:dyDescent="0.3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  <c r="M244">
        <f t="shared" ca="1" si="6"/>
        <v>2</v>
      </c>
      <c r="N244" t="str">
        <f t="shared" si="7"/>
        <v>50-59</v>
      </c>
    </row>
    <row r="245" spans="1:14" x14ac:dyDescent="0.3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  <c r="M245">
        <f t="shared" ca="1" si="6"/>
        <v>1</v>
      </c>
      <c r="N245" t="str">
        <f t="shared" si="7"/>
        <v>50-59</v>
      </c>
    </row>
    <row r="246" spans="1:14" x14ac:dyDescent="0.3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  <c r="M246">
        <f t="shared" ca="1" si="6"/>
        <v>5</v>
      </c>
      <c r="N246" t="str">
        <f t="shared" si="7"/>
        <v>50-59</v>
      </c>
    </row>
    <row r="247" spans="1:14" x14ac:dyDescent="0.3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  <c r="M247">
        <f t="shared" ca="1" si="6"/>
        <v>3</v>
      </c>
      <c r="N247" t="str">
        <f t="shared" si="7"/>
        <v>40-49</v>
      </c>
    </row>
    <row r="248" spans="1:14" x14ac:dyDescent="0.3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  <c r="M248">
        <f t="shared" ca="1" si="6"/>
        <v>1</v>
      </c>
      <c r="N248" t="str">
        <f t="shared" si="7"/>
        <v>30-39</v>
      </c>
    </row>
    <row r="249" spans="1:14" x14ac:dyDescent="0.3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  <c r="M249">
        <f t="shared" ca="1" si="6"/>
        <v>4</v>
      </c>
      <c r="N249" t="str">
        <f t="shared" si="7"/>
        <v>40-49</v>
      </c>
    </row>
    <row r="250" spans="1:14" x14ac:dyDescent="0.3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  <c r="M250">
        <f t="shared" ca="1" si="6"/>
        <v>5</v>
      </c>
      <c r="N250" t="str">
        <f t="shared" si="7"/>
        <v>30-39</v>
      </c>
    </row>
    <row r="251" spans="1:14" x14ac:dyDescent="0.3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  <c r="M251">
        <f t="shared" ca="1" si="6"/>
        <v>3</v>
      </c>
      <c r="N251" t="str">
        <f t="shared" si="7"/>
        <v>30-39</v>
      </c>
    </row>
    <row r="252" spans="1:14" x14ac:dyDescent="0.3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  <c r="M252">
        <f t="shared" ca="1" si="6"/>
        <v>3</v>
      </c>
      <c r="N252" t="str">
        <f t="shared" si="7"/>
        <v>30-39</v>
      </c>
    </row>
    <row r="253" spans="1:14" x14ac:dyDescent="0.3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  <c r="M253">
        <f t="shared" ca="1" si="6"/>
        <v>1</v>
      </c>
      <c r="N253" t="str">
        <f t="shared" si="7"/>
        <v>30-39</v>
      </c>
    </row>
    <row r="254" spans="1:14" x14ac:dyDescent="0.3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  <c r="M254">
        <f t="shared" ca="1" si="6"/>
        <v>2</v>
      </c>
      <c r="N254" t="str">
        <f t="shared" si="7"/>
        <v>30-39</v>
      </c>
    </row>
    <row r="255" spans="1:14" x14ac:dyDescent="0.3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  <c r="M255">
        <f t="shared" ca="1" si="6"/>
        <v>2</v>
      </c>
      <c r="N255" t="str">
        <f t="shared" si="7"/>
        <v>30-39</v>
      </c>
    </row>
    <row r="256" spans="1:14" x14ac:dyDescent="0.3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  <c r="M256">
        <f t="shared" ca="1" si="6"/>
        <v>3</v>
      </c>
      <c r="N256" t="str">
        <f t="shared" si="7"/>
        <v>40-49</v>
      </c>
    </row>
    <row r="257" spans="1:14" x14ac:dyDescent="0.3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  <c r="M257">
        <f t="shared" ca="1" si="6"/>
        <v>5</v>
      </c>
      <c r="N257" t="str">
        <f t="shared" si="7"/>
        <v>50-59</v>
      </c>
    </row>
    <row r="258" spans="1:14" x14ac:dyDescent="0.3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  <c r="M258">
        <f t="shared" ref="M258:M321" ca="1" si="8">IF(I258="",DATEDIF(H258,TODAY(),"Y"),DATEDIF(H258,I258,"Y"))</f>
        <v>5</v>
      </c>
      <c r="N258" t="str">
        <f t="shared" ref="N258:N321" si="9">IF(D258&lt;30,"20-29",IF(D258&lt;40,"30-39",IF(D258&lt;50,"40-49",IF(D258&lt;60,"50-59","60+"))))</f>
        <v>30-39</v>
      </c>
    </row>
    <row r="259" spans="1:14" x14ac:dyDescent="0.3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  <c r="M259">
        <f t="shared" ca="1" si="8"/>
        <v>4</v>
      </c>
      <c r="N259" t="str">
        <f t="shared" si="9"/>
        <v>40-49</v>
      </c>
    </row>
    <row r="260" spans="1:14" x14ac:dyDescent="0.3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  <c r="M260">
        <f t="shared" ca="1" si="8"/>
        <v>1</v>
      </c>
      <c r="N260" t="str">
        <f t="shared" si="9"/>
        <v>20-29</v>
      </c>
    </row>
    <row r="261" spans="1:14" x14ac:dyDescent="0.3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  <c r="M261">
        <f t="shared" ca="1" si="8"/>
        <v>1</v>
      </c>
      <c r="N261" t="str">
        <f t="shared" si="9"/>
        <v>40-49</v>
      </c>
    </row>
    <row r="262" spans="1:14" x14ac:dyDescent="0.3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  <c r="M262">
        <f t="shared" ca="1" si="8"/>
        <v>5</v>
      </c>
      <c r="N262" t="str">
        <f t="shared" si="9"/>
        <v>40-49</v>
      </c>
    </row>
    <row r="263" spans="1:14" x14ac:dyDescent="0.3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  <c r="M263">
        <f t="shared" ca="1" si="8"/>
        <v>6</v>
      </c>
      <c r="N263" t="str">
        <f t="shared" si="9"/>
        <v>30-39</v>
      </c>
    </row>
    <row r="264" spans="1:14" x14ac:dyDescent="0.3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  <c r="M264">
        <f t="shared" ca="1" si="8"/>
        <v>2</v>
      </c>
      <c r="N264" t="str">
        <f t="shared" si="9"/>
        <v>40-49</v>
      </c>
    </row>
    <row r="265" spans="1:14" x14ac:dyDescent="0.3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  <c r="M265">
        <f t="shared" ca="1" si="8"/>
        <v>4</v>
      </c>
      <c r="N265" t="str">
        <f t="shared" si="9"/>
        <v>40-49</v>
      </c>
    </row>
    <row r="266" spans="1:14" x14ac:dyDescent="0.3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  <c r="M266">
        <f t="shared" ca="1" si="8"/>
        <v>2</v>
      </c>
      <c r="N266" t="str">
        <f t="shared" si="9"/>
        <v>20-29</v>
      </c>
    </row>
    <row r="267" spans="1:14" x14ac:dyDescent="0.3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  <c r="M267">
        <f t="shared" ca="1" si="8"/>
        <v>1</v>
      </c>
      <c r="N267" t="str">
        <f t="shared" si="9"/>
        <v>30-39</v>
      </c>
    </row>
    <row r="268" spans="1:14" x14ac:dyDescent="0.3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  <c r="M268">
        <f t="shared" ca="1" si="8"/>
        <v>3</v>
      </c>
      <c r="N268" t="str">
        <f t="shared" si="9"/>
        <v>30-39</v>
      </c>
    </row>
    <row r="269" spans="1:14" x14ac:dyDescent="0.3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  <c r="M269">
        <f t="shared" ca="1" si="8"/>
        <v>2</v>
      </c>
      <c r="N269" t="str">
        <f t="shared" si="9"/>
        <v>30-39</v>
      </c>
    </row>
    <row r="270" spans="1:14" x14ac:dyDescent="0.3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  <c r="M270">
        <f t="shared" ca="1" si="8"/>
        <v>2</v>
      </c>
      <c r="N270" t="str">
        <f t="shared" si="9"/>
        <v>20-29</v>
      </c>
    </row>
    <row r="271" spans="1:14" x14ac:dyDescent="0.3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  <c r="M271">
        <f t="shared" ca="1" si="8"/>
        <v>2</v>
      </c>
      <c r="N271" t="str">
        <f t="shared" si="9"/>
        <v>30-39</v>
      </c>
    </row>
    <row r="272" spans="1:14" x14ac:dyDescent="0.3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  <c r="M272">
        <f t="shared" ca="1" si="8"/>
        <v>6</v>
      </c>
      <c r="N272" t="str">
        <f t="shared" si="9"/>
        <v>20-29</v>
      </c>
    </row>
    <row r="273" spans="1:14" x14ac:dyDescent="0.3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  <c r="M273">
        <f t="shared" ca="1" si="8"/>
        <v>0</v>
      </c>
      <c r="N273" t="str">
        <f t="shared" si="9"/>
        <v>30-39</v>
      </c>
    </row>
    <row r="274" spans="1:14" x14ac:dyDescent="0.3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  <c r="M274">
        <f t="shared" ca="1" si="8"/>
        <v>1</v>
      </c>
      <c r="N274" t="str">
        <f t="shared" si="9"/>
        <v>30-39</v>
      </c>
    </row>
    <row r="275" spans="1:14" x14ac:dyDescent="0.3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  <c r="M275">
        <f t="shared" ca="1" si="8"/>
        <v>5</v>
      </c>
      <c r="N275" t="str">
        <f t="shared" si="9"/>
        <v>40-49</v>
      </c>
    </row>
    <row r="276" spans="1:14" x14ac:dyDescent="0.3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  <c r="M276">
        <f t="shared" ca="1" si="8"/>
        <v>2</v>
      </c>
      <c r="N276" t="str">
        <f t="shared" si="9"/>
        <v>30-39</v>
      </c>
    </row>
    <row r="277" spans="1:14" x14ac:dyDescent="0.3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  <c r="M277">
        <f t="shared" ca="1" si="8"/>
        <v>3</v>
      </c>
      <c r="N277" t="str">
        <f t="shared" si="9"/>
        <v>30-39</v>
      </c>
    </row>
    <row r="278" spans="1:14" x14ac:dyDescent="0.3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  <c r="M278">
        <f t="shared" ca="1" si="8"/>
        <v>5</v>
      </c>
      <c r="N278" t="str">
        <f t="shared" si="9"/>
        <v>40-49</v>
      </c>
    </row>
    <row r="279" spans="1:14" x14ac:dyDescent="0.3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  <c r="M279">
        <f t="shared" ca="1" si="8"/>
        <v>3</v>
      </c>
      <c r="N279" t="str">
        <f t="shared" si="9"/>
        <v>50-59</v>
      </c>
    </row>
    <row r="280" spans="1:14" x14ac:dyDescent="0.3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  <c r="M280">
        <f t="shared" ca="1" si="8"/>
        <v>1</v>
      </c>
      <c r="N280" t="str">
        <f t="shared" si="9"/>
        <v>50-59</v>
      </c>
    </row>
    <row r="281" spans="1:14" x14ac:dyDescent="0.3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  <c r="M281">
        <f t="shared" ca="1" si="8"/>
        <v>4</v>
      </c>
      <c r="N281" t="str">
        <f t="shared" si="9"/>
        <v>50-59</v>
      </c>
    </row>
    <row r="282" spans="1:14" x14ac:dyDescent="0.3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  <c r="M282">
        <f t="shared" ca="1" si="8"/>
        <v>5</v>
      </c>
      <c r="N282" t="str">
        <f t="shared" si="9"/>
        <v>40-49</v>
      </c>
    </row>
    <row r="283" spans="1:14" x14ac:dyDescent="0.3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  <c r="M283">
        <f t="shared" ca="1" si="8"/>
        <v>3</v>
      </c>
      <c r="N283" t="str">
        <f t="shared" si="9"/>
        <v>30-39</v>
      </c>
    </row>
    <row r="284" spans="1:14" x14ac:dyDescent="0.3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  <c r="M284">
        <f t="shared" ca="1" si="8"/>
        <v>3</v>
      </c>
      <c r="N284" t="str">
        <f t="shared" si="9"/>
        <v>40-49</v>
      </c>
    </row>
    <row r="285" spans="1:14" x14ac:dyDescent="0.3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  <c r="M285">
        <f t="shared" ca="1" si="8"/>
        <v>1</v>
      </c>
      <c r="N285" t="str">
        <f t="shared" si="9"/>
        <v>30-39</v>
      </c>
    </row>
    <row r="286" spans="1:14" x14ac:dyDescent="0.3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  <c r="M286">
        <f t="shared" ca="1" si="8"/>
        <v>2</v>
      </c>
      <c r="N286" t="str">
        <f t="shared" si="9"/>
        <v>30-39</v>
      </c>
    </row>
    <row r="287" spans="1:14" x14ac:dyDescent="0.3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  <c r="M287">
        <f t="shared" ca="1" si="8"/>
        <v>2</v>
      </c>
      <c r="N287" t="str">
        <f t="shared" si="9"/>
        <v>30-39</v>
      </c>
    </row>
    <row r="288" spans="1:14" x14ac:dyDescent="0.3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  <c r="M288">
        <f t="shared" ca="1" si="8"/>
        <v>3</v>
      </c>
      <c r="N288" t="str">
        <f t="shared" si="9"/>
        <v>30-39</v>
      </c>
    </row>
    <row r="289" spans="1:14" x14ac:dyDescent="0.3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  <c r="M289">
        <f t="shared" ca="1" si="8"/>
        <v>5</v>
      </c>
      <c r="N289" t="str">
        <f t="shared" si="9"/>
        <v>30-39</v>
      </c>
    </row>
    <row r="290" spans="1:14" x14ac:dyDescent="0.3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  <c r="M290">
        <f t="shared" ca="1" si="8"/>
        <v>5</v>
      </c>
      <c r="N290" t="str">
        <f t="shared" si="9"/>
        <v>30-39</v>
      </c>
    </row>
    <row r="291" spans="1:14" x14ac:dyDescent="0.3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  <c r="M291">
        <f t="shared" ca="1" si="8"/>
        <v>4</v>
      </c>
      <c r="N291" t="str">
        <f t="shared" si="9"/>
        <v>40-49</v>
      </c>
    </row>
    <row r="292" spans="1:14" x14ac:dyDescent="0.3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  <c r="M292">
        <f t="shared" ca="1" si="8"/>
        <v>1</v>
      </c>
      <c r="N292" t="str">
        <f t="shared" si="9"/>
        <v>50-59</v>
      </c>
    </row>
    <row r="293" spans="1:14" x14ac:dyDescent="0.3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  <c r="M293">
        <f t="shared" ca="1" si="8"/>
        <v>1</v>
      </c>
      <c r="N293" t="str">
        <f t="shared" si="9"/>
        <v>30-39</v>
      </c>
    </row>
    <row r="294" spans="1:14" x14ac:dyDescent="0.3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  <c r="M294">
        <f t="shared" ca="1" si="8"/>
        <v>5</v>
      </c>
      <c r="N294" t="str">
        <f t="shared" si="9"/>
        <v>40-49</v>
      </c>
    </row>
    <row r="295" spans="1:14" x14ac:dyDescent="0.3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  <c r="M295">
        <f t="shared" ca="1" si="8"/>
        <v>3</v>
      </c>
      <c r="N295" t="str">
        <f t="shared" si="9"/>
        <v>20-29</v>
      </c>
    </row>
    <row r="296" spans="1:14" x14ac:dyDescent="0.3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  <c r="M296">
        <f t="shared" ca="1" si="8"/>
        <v>2</v>
      </c>
      <c r="N296" t="str">
        <f t="shared" si="9"/>
        <v>40-49</v>
      </c>
    </row>
    <row r="297" spans="1:14" x14ac:dyDescent="0.3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  <c r="M297">
        <f t="shared" ca="1" si="8"/>
        <v>4</v>
      </c>
      <c r="N297" t="str">
        <f t="shared" si="9"/>
        <v>40-49</v>
      </c>
    </row>
    <row r="298" spans="1:14" x14ac:dyDescent="0.3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  <c r="M298">
        <f t="shared" ca="1" si="8"/>
        <v>3</v>
      </c>
      <c r="N298" t="str">
        <f t="shared" si="9"/>
        <v>30-39</v>
      </c>
    </row>
    <row r="299" spans="1:14" x14ac:dyDescent="0.3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  <c r="M299">
        <f t="shared" ca="1" si="8"/>
        <v>1</v>
      </c>
      <c r="N299" t="str">
        <f t="shared" si="9"/>
        <v>40-49</v>
      </c>
    </row>
    <row r="300" spans="1:14" x14ac:dyDescent="0.3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  <c r="M300">
        <f t="shared" ca="1" si="8"/>
        <v>3</v>
      </c>
      <c r="N300" t="str">
        <f t="shared" si="9"/>
        <v>40-49</v>
      </c>
    </row>
    <row r="301" spans="1:14" x14ac:dyDescent="0.3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  <c r="M301">
        <f t="shared" ca="1" si="8"/>
        <v>2</v>
      </c>
      <c r="N301" t="str">
        <f t="shared" si="9"/>
        <v>30-39</v>
      </c>
    </row>
    <row r="302" spans="1:14" x14ac:dyDescent="0.3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  <c r="M302">
        <f t="shared" ca="1" si="8"/>
        <v>0</v>
      </c>
      <c r="N302" t="str">
        <f t="shared" si="9"/>
        <v>30-39</v>
      </c>
    </row>
    <row r="303" spans="1:14" x14ac:dyDescent="0.3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  <c r="M303">
        <f t="shared" ca="1" si="8"/>
        <v>2</v>
      </c>
      <c r="N303" t="str">
        <f t="shared" si="9"/>
        <v>20-29</v>
      </c>
    </row>
    <row r="304" spans="1:14" x14ac:dyDescent="0.3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  <c r="M304">
        <f t="shared" ca="1" si="8"/>
        <v>6</v>
      </c>
      <c r="N304" t="str">
        <f t="shared" si="9"/>
        <v>30-39</v>
      </c>
    </row>
    <row r="305" spans="1:14" x14ac:dyDescent="0.3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  <c r="M305">
        <f t="shared" ca="1" si="8"/>
        <v>2</v>
      </c>
      <c r="N305" t="str">
        <f t="shared" si="9"/>
        <v>20-29</v>
      </c>
    </row>
    <row r="306" spans="1:14" x14ac:dyDescent="0.3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  <c r="M306">
        <f t="shared" ca="1" si="8"/>
        <v>1</v>
      </c>
      <c r="N306" t="str">
        <f t="shared" si="9"/>
        <v>20-29</v>
      </c>
    </row>
    <row r="307" spans="1:14" x14ac:dyDescent="0.3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  <c r="M307">
        <f t="shared" ca="1" si="8"/>
        <v>5</v>
      </c>
      <c r="N307" t="str">
        <f t="shared" si="9"/>
        <v>30-39</v>
      </c>
    </row>
    <row r="308" spans="1:14" x14ac:dyDescent="0.3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  <c r="M308">
        <f t="shared" ca="1" si="8"/>
        <v>2</v>
      </c>
      <c r="N308" t="str">
        <f t="shared" si="9"/>
        <v>30-39</v>
      </c>
    </row>
    <row r="309" spans="1:14" x14ac:dyDescent="0.3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  <c r="M309">
        <f t="shared" ca="1" si="8"/>
        <v>1</v>
      </c>
      <c r="N309" t="str">
        <f t="shared" si="9"/>
        <v>30-39</v>
      </c>
    </row>
    <row r="310" spans="1:14" x14ac:dyDescent="0.3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  <c r="M310">
        <f t="shared" ca="1" si="8"/>
        <v>5</v>
      </c>
      <c r="N310" t="str">
        <f t="shared" si="9"/>
        <v>40-49</v>
      </c>
    </row>
    <row r="311" spans="1:14" x14ac:dyDescent="0.3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  <c r="M311">
        <f t="shared" ca="1" si="8"/>
        <v>3</v>
      </c>
      <c r="N311" t="str">
        <f t="shared" si="9"/>
        <v>30-39</v>
      </c>
    </row>
    <row r="312" spans="1:14" x14ac:dyDescent="0.3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  <c r="M312">
        <f t="shared" ca="1" si="8"/>
        <v>1</v>
      </c>
      <c r="N312" t="str">
        <f t="shared" si="9"/>
        <v>30-39</v>
      </c>
    </row>
    <row r="313" spans="1:14" x14ac:dyDescent="0.3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  <c r="M313">
        <f t="shared" ca="1" si="8"/>
        <v>4</v>
      </c>
      <c r="N313" t="str">
        <f t="shared" si="9"/>
        <v>40-49</v>
      </c>
    </row>
    <row r="314" spans="1:14" x14ac:dyDescent="0.3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  <c r="M314">
        <f t="shared" ca="1" si="8"/>
        <v>5</v>
      </c>
      <c r="N314" t="str">
        <f t="shared" si="9"/>
        <v>50-59</v>
      </c>
    </row>
    <row r="315" spans="1:14" x14ac:dyDescent="0.3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  <c r="M315">
        <f t="shared" ca="1" si="8"/>
        <v>3</v>
      </c>
      <c r="N315" t="str">
        <f t="shared" si="9"/>
        <v>50-59</v>
      </c>
    </row>
    <row r="316" spans="1:14" x14ac:dyDescent="0.3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  <c r="M316">
        <f t="shared" ca="1" si="8"/>
        <v>3</v>
      </c>
      <c r="N316" t="str">
        <f t="shared" si="9"/>
        <v>50-59</v>
      </c>
    </row>
    <row r="317" spans="1:14" x14ac:dyDescent="0.3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  <c r="M317">
        <f t="shared" ca="1" si="8"/>
        <v>1</v>
      </c>
      <c r="N317" t="str">
        <f t="shared" si="9"/>
        <v>40-49</v>
      </c>
    </row>
    <row r="318" spans="1:14" x14ac:dyDescent="0.3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  <c r="M318">
        <f t="shared" ca="1" si="8"/>
        <v>2</v>
      </c>
      <c r="N318" t="str">
        <f t="shared" si="9"/>
        <v>30-39</v>
      </c>
    </row>
    <row r="319" spans="1:14" x14ac:dyDescent="0.3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  <c r="M319">
        <f t="shared" ca="1" si="8"/>
        <v>2</v>
      </c>
      <c r="N319" t="str">
        <f t="shared" si="9"/>
        <v>40-49</v>
      </c>
    </row>
    <row r="320" spans="1:14" x14ac:dyDescent="0.3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  <c r="M320">
        <f t="shared" ca="1" si="8"/>
        <v>2</v>
      </c>
      <c r="N320" t="str">
        <f t="shared" si="9"/>
        <v>30-39</v>
      </c>
    </row>
    <row r="321" spans="1:14" x14ac:dyDescent="0.3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  <c r="M321">
        <f t="shared" ca="1" si="8"/>
        <v>5</v>
      </c>
      <c r="N321" t="str">
        <f t="shared" si="9"/>
        <v>30-39</v>
      </c>
    </row>
    <row r="322" spans="1:14" x14ac:dyDescent="0.3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  <c r="M322">
        <f t="shared" ref="M322:M385" ca="1" si="10">IF(I322="",DATEDIF(H322,TODAY(),"Y"),DATEDIF(H322,I322,"Y"))</f>
        <v>5</v>
      </c>
      <c r="N322" t="str">
        <f t="shared" ref="N322:N385" si="11">IF(D322&lt;30,"20-29",IF(D322&lt;40,"30-39",IF(D322&lt;50,"40-49",IF(D322&lt;60,"50-59","60+"))))</f>
        <v>30-39</v>
      </c>
    </row>
    <row r="323" spans="1:14" x14ac:dyDescent="0.3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  <c r="M323">
        <f t="shared" ca="1" si="10"/>
        <v>4</v>
      </c>
      <c r="N323" t="str">
        <f t="shared" si="11"/>
        <v>30-39</v>
      </c>
    </row>
    <row r="324" spans="1:14" x14ac:dyDescent="0.3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  <c r="M324">
        <f t="shared" ca="1" si="10"/>
        <v>1</v>
      </c>
      <c r="N324" t="str">
        <f t="shared" si="11"/>
        <v>30-39</v>
      </c>
    </row>
    <row r="325" spans="1:14" x14ac:dyDescent="0.3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  <c r="M325">
        <f t="shared" ca="1" si="10"/>
        <v>4</v>
      </c>
      <c r="N325" t="str">
        <f t="shared" si="11"/>
        <v>30-39</v>
      </c>
    </row>
    <row r="326" spans="1:14" x14ac:dyDescent="0.3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  <c r="M326">
        <f t="shared" ca="1" si="10"/>
        <v>5</v>
      </c>
      <c r="N326" t="str">
        <f t="shared" si="11"/>
        <v>40-49</v>
      </c>
    </row>
    <row r="327" spans="1:14" x14ac:dyDescent="0.3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  <c r="M327">
        <f t="shared" ca="1" si="10"/>
        <v>6</v>
      </c>
      <c r="N327" t="str">
        <f t="shared" si="11"/>
        <v>50-59</v>
      </c>
    </row>
    <row r="328" spans="1:14" x14ac:dyDescent="0.3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  <c r="M328">
        <f t="shared" ca="1" si="10"/>
        <v>2</v>
      </c>
      <c r="N328" t="str">
        <f t="shared" si="11"/>
        <v>30-39</v>
      </c>
    </row>
    <row r="329" spans="1:14" x14ac:dyDescent="0.3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  <c r="M329">
        <f t="shared" ca="1" si="10"/>
        <v>4</v>
      </c>
      <c r="N329" t="str">
        <f t="shared" si="11"/>
        <v>40-49</v>
      </c>
    </row>
    <row r="330" spans="1:14" x14ac:dyDescent="0.3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  <c r="M330">
        <f t="shared" ca="1" si="10"/>
        <v>3</v>
      </c>
      <c r="N330" t="str">
        <f t="shared" si="11"/>
        <v>30-39</v>
      </c>
    </row>
    <row r="331" spans="1:14" x14ac:dyDescent="0.3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  <c r="M331">
        <f t="shared" ca="1" si="10"/>
        <v>1</v>
      </c>
      <c r="N331" t="str">
        <f t="shared" si="11"/>
        <v>40-49</v>
      </c>
    </row>
    <row r="332" spans="1:14" x14ac:dyDescent="0.3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  <c r="M332">
        <f t="shared" ca="1" si="10"/>
        <v>3</v>
      </c>
      <c r="N332" t="str">
        <f t="shared" si="11"/>
        <v>40-49</v>
      </c>
    </row>
    <row r="333" spans="1:14" x14ac:dyDescent="0.3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  <c r="M333">
        <f t="shared" ca="1" si="10"/>
        <v>2</v>
      </c>
      <c r="N333" t="str">
        <f t="shared" si="11"/>
        <v>30-39</v>
      </c>
    </row>
    <row r="334" spans="1:14" x14ac:dyDescent="0.3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  <c r="M334">
        <f t="shared" ca="1" si="10"/>
        <v>2</v>
      </c>
      <c r="N334" t="str">
        <f t="shared" si="11"/>
        <v>40-49</v>
      </c>
    </row>
    <row r="335" spans="1:14" x14ac:dyDescent="0.3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  <c r="M335">
        <f t="shared" ca="1" si="10"/>
        <v>2</v>
      </c>
      <c r="N335" t="str">
        <f t="shared" si="11"/>
        <v>40-49</v>
      </c>
    </row>
    <row r="336" spans="1:14" x14ac:dyDescent="0.3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  <c r="M336">
        <f t="shared" ca="1" si="10"/>
        <v>6</v>
      </c>
      <c r="N336" t="str">
        <f t="shared" si="11"/>
        <v>20-29</v>
      </c>
    </row>
    <row r="337" spans="1:14" x14ac:dyDescent="0.3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  <c r="M337">
        <f t="shared" ca="1" si="10"/>
        <v>2</v>
      </c>
      <c r="N337" t="str">
        <f t="shared" si="11"/>
        <v>30-39</v>
      </c>
    </row>
    <row r="338" spans="1:14" x14ac:dyDescent="0.3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  <c r="M338">
        <f t="shared" ca="1" si="10"/>
        <v>1</v>
      </c>
      <c r="N338" t="str">
        <f t="shared" si="11"/>
        <v>20-29</v>
      </c>
    </row>
    <row r="339" spans="1:14" x14ac:dyDescent="0.3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  <c r="M339">
        <f t="shared" ca="1" si="10"/>
        <v>5</v>
      </c>
      <c r="N339" t="str">
        <f t="shared" si="11"/>
        <v>30-39</v>
      </c>
    </row>
    <row r="340" spans="1:14" x14ac:dyDescent="0.3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  <c r="M340">
        <f t="shared" ca="1" si="10"/>
        <v>2</v>
      </c>
      <c r="N340" t="str">
        <f t="shared" si="11"/>
        <v>20-29</v>
      </c>
    </row>
    <row r="341" spans="1:14" x14ac:dyDescent="0.3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  <c r="M341">
        <f t="shared" ca="1" si="10"/>
        <v>1</v>
      </c>
      <c r="N341" t="str">
        <f t="shared" si="11"/>
        <v>20-29</v>
      </c>
    </row>
    <row r="342" spans="1:14" x14ac:dyDescent="0.3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  <c r="M342">
        <f t="shared" ca="1" si="10"/>
        <v>5</v>
      </c>
      <c r="N342" t="str">
        <f t="shared" si="11"/>
        <v>20-29</v>
      </c>
    </row>
    <row r="343" spans="1:14" x14ac:dyDescent="0.3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  <c r="M343">
        <f t="shared" ca="1" si="10"/>
        <v>3</v>
      </c>
      <c r="N343" t="str">
        <f t="shared" si="11"/>
        <v>30-39</v>
      </c>
    </row>
    <row r="344" spans="1:14" x14ac:dyDescent="0.3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  <c r="M344">
        <f t="shared" ca="1" si="10"/>
        <v>1</v>
      </c>
      <c r="N344" t="str">
        <f t="shared" si="11"/>
        <v>30-39</v>
      </c>
    </row>
    <row r="345" spans="1:14" x14ac:dyDescent="0.3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  <c r="M345">
        <f t="shared" ca="1" si="10"/>
        <v>4</v>
      </c>
      <c r="N345" t="str">
        <f t="shared" si="11"/>
        <v>40-49</v>
      </c>
    </row>
    <row r="346" spans="1:14" x14ac:dyDescent="0.3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  <c r="M346">
        <f t="shared" ca="1" si="10"/>
        <v>5</v>
      </c>
      <c r="N346" t="str">
        <f t="shared" si="11"/>
        <v>30-39</v>
      </c>
    </row>
    <row r="347" spans="1:14" x14ac:dyDescent="0.3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  <c r="M347">
        <f t="shared" ca="1" si="10"/>
        <v>3</v>
      </c>
      <c r="N347" t="str">
        <f t="shared" si="11"/>
        <v>30-39</v>
      </c>
    </row>
    <row r="348" spans="1:14" x14ac:dyDescent="0.3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  <c r="M348">
        <f t="shared" ca="1" si="10"/>
        <v>3</v>
      </c>
      <c r="N348" t="str">
        <f t="shared" si="11"/>
        <v>40-49</v>
      </c>
    </row>
    <row r="349" spans="1:14" x14ac:dyDescent="0.3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  <c r="M349">
        <f t="shared" ca="1" si="10"/>
        <v>1</v>
      </c>
      <c r="N349" t="str">
        <f t="shared" si="11"/>
        <v>50-59</v>
      </c>
    </row>
    <row r="350" spans="1:14" x14ac:dyDescent="0.3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  <c r="M350">
        <f t="shared" ca="1" si="10"/>
        <v>2</v>
      </c>
      <c r="N350" t="str">
        <f t="shared" si="11"/>
        <v>50-59</v>
      </c>
    </row>
    <row r="351" spans="1:14" x14ac:dyDescent="0.3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  <c r="M351">
        <f t="shared" ca="1" si="10"/>
        <v>4</v>
      </c>
      <c r="N351" t="str">
        <f t="shared" si="11"/>
        <v>50-59</v>
      </c>
    </row>
    <row r="352" spans="1:14" x14ac:dyDescent="0.3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  <c r="M352">
        <f t="shared" ca="1" si="10"/>
        <v>3</v>
      </c>
      <c r="N352" t="str">
        <f t="shared" si="11"/>
        <v>40-49</v>
      </c>
    </row>
    <row r="353" spans="1:14" x14ac:dyDescent="0.3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  <c r="M353">
        <f t="shared" ca="1" si="10"/>
        <v>5</v>
      </c>
      <c r="N353" t="str">
        <f t="shared" si="11"/>
        <v>30-39</v>
      </c>
    </row>
    <row r="354" spans="1:14" x14ac:dyDescent="0.3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  <c r="M354">
        <f t="shared" ca="1" si="10"/>
        <v>5</v>
      </c>
      <c r="N354" t="str">
        <f t="shared" si="11"/>
        <v>40-49</v>
      </c>
    </row>
    <row r="355" spans="1:14" x14ac:dyDescent="0.3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  <c r="M355">
        <f t="shared" ca="1" si="10"/>
        <v>4</v>
      </c>
      <c r="N355" t="str">
        <f t="shared" si="11"/>
        <v>30-39</v>
      </c>
    </row>
    <row r="356" spans="1:14" x14ac:dyDescent="0.3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  <c r="M356">
        <f t="shared" ca="1" si="10"/>
        <v>1</v>
      </c>
      <c r="N356" t="str">
        <f t="shared" si="11"/>
        <v>30-39</v>
      </c>
    </row>
    <row r="357" spans="1:14" x14ac:dyDescent="0.3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  <c r="M357">
        <f t="shared" ca="1" si="10"/>
        <v>1</v>
      </c>
      <c r="N357" t="str">
        <f t="shared" si="11"/>
        <v>30-39</v>
      </c>
    </row>
    <row r="358" spans="1:14" x14ac:dyDescent="0.3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  <c r="M358">
        <f t="shared" ca="1" si="10"/>
        <v>5</v>
      </c>
      <c r="N358" t="str">
        <f t="shared" si="11"/>
        <v>20-29</v>
      </c>
    </row>
    <row r="359" spans="1:14" x14ac:dyDescent="0.3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  <c r="M359">
        <f t="shared" ca="1" si="10"/>
        <v>6</v>
      </c>
      <c r="N359" t="str">
        <f t="shared" si="11"/>
        <v>30-39</v>
      </c>
    </row>
    <row r="360" spans="1:14" x14ac:dyDescent="0.3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  <c r="M360">
        <f t="shared" ca="1" si="10"/>
        <v>2</v>
      </c>
      <c r="N360" t="str">
        <f t="shared" si="11"/>
        <v>30-39</v>
      </c>
    </row>
    <row r="361" spans="1:14" x14ac:dyDescent="0.3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  <c r="M361">
        <f t="shared" ca="1" si="10"/>
        <v>4</v>
      </c>
      <c r="N361" t="str">
        <f t="shared" si="11"/>
        <v>40-49</v>
      </c>
    </row>
    <row r="362" spans="1:14" x14ac:dyDescent="0.3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  <c r="M362">
        <f t="shared" ca="1" si="10"/>
        <v>3</v>
      </c>
      <c r="N362" t="str">
        <f t="shared" si="11"/>
        <v>50-59</v>
      </c>
    </row>
    <row r="363" spans="1:14" x14ac:dyDescent="0.3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  <c r="M363">
        <f t="shared" ca="1" si="10"/>
        <v>1</v>
      </c>
      <c r="N363" t="str">
        <f t="shared" si="11"/>
        <v>30-39</v>
      </c>
    </row>
    <row r="364" spans="1:14" x14ac:dyDescent="0.3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  <c r="M364">
        <f t="shared" ca="1" si="10"/>
        <v>3</v>
      </c>
      <c r="N364" t="str">
        <f t="shared" si="11"/>
        <v>40-49</v>
      </c>
    </row>
    <row r="365" spans="1:14" x14ac:dyDescent="0.3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  <c r="M365">
        <f t="shared" ca="1" si="10"/>
        <v>2</v>
      </c>
      <c r="N365" t="str">
        <f t="shared" si="11"/>
        <v>20-29</v>
      </c>
    </row>
    <row r="366" spans="1:14" x14ac:dyDescent="0.3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  <c r="M366">
        <f t="shared" ca="1" si="10"/>
        <v>2</v>
      </c>
      <c r="N366" t="str">
        <f t="shared" si="11"/>
        <v>40-49</v>
      </c>
    </row>
    <row r="367" spans="1:14" x14ac:dyDescent="0.3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  <c r="M367">
        <f t="shared" ca="1" si="10"/>
        <v>2</v>
      </c>
      <c r="N367" t="str">
        <f t="shared" si="11"/>
        <v>40-49</v>
      </c>
    </row>
    <row r="368" spans="1:14" x14ac:dyDescent="0.3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  <c r="M368">
        <f t="shared" ca="1" si="10"/>
        <v>6</v>
      </c>
      <c r="N368" t="str">
        <f t="shared" si="11"/>
        <v>30-39</v>
      </c>
    </row>
    <row r="369" spans="1:14" x14ac:dyDescent="0.3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  <c r="M369">
        <f t="shared" ca="1" si="10"/>
        <v>2</v>
      </c>
      <c r="N369" t="str">
        <f t="shared" si="11"/>
        <v>40-49</v>
      </c>
    </row>
    <row r="370" spans="1:14" x14ac:dyDescent="0.3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  <c r="M370">
        <f t="shared" ca="1" si="10"/>
        <v>1</v>
      </c>
      <c r="N370" t="str">
        <f t="shared" si="11"/>
        <v>40-49</v>
      </c>
    </row>
    <row r="371" spans="1:14" x14ac:dyDescent="0.3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  <c r="M371">
        <f t="shared" ca="1" si="10"/>
        <v>5</v>
      </c>
      <c r="N371" t="str">
        <f t="shared" si="11"/>
        <v>20-29</v>
      </c>
    </row>
    <row r="372" spans="1:14" x14ac:dyDescent="0.3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  <c r="M372">
        <f t="shared" ca="1" si="10"/>
        <v>2</v>
      </c>
      <c r="N372" t="str">
        <f t="shared" si="11"/>
        <v>30-39</v>
      </c>
    </row>
    <row r="373" spans="1:14" x14ac:dyDescent="0.3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  <c r="M373">
        <f t="shared" ca="1" si="10"/>
        <v>1</v>
      </c>
      <c r="N373" t="str">
        <f t="shared" si="11"/>
        <v>20-29</v>
      </c>
    </row>
    <row r="374" spans="1:14" x14ac:dyDescent="0.3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  <c r="M374">
        <f t="shared" ca="1" si="10"/>
        <v>5</v>
      </c>
      <c r="N374" t="str">
        <f t="shared" si="11"/>
        <v>30-39</v>
      </c>
    </row>
    <row r="375" spans="1:14" x14ac:dyDescent="0.3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  <c r="M375">
        <f t="shared" ca="1" si="10"/>
        <v>1</v>
      </c>
      <c r="N375" t="str">
        <f t="shared" si="11"/>
        <v>20-29</v>
      </c>
    </row>
    <row r="376" spans="1:14" x14ac:dyDescent="0.3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  <c r="M376">
        <f t="shared" ca="1" si="10"/>
        <v>1</v>
      </c>
      <c r="N376" t="str">
        <f t="shared" si="11"/>
        <v>30-39</v>
      </c>
    </row>
    <row r="377" spans="1:14" x14ac:dyDescent="0.3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  <c r="M377">
        <f t="shared" ca="1" si="10"/>
        <v>4</v>
      </c>
      <c r="N377" t="str">
        <f t="shared" si="11"/>
        <v>30-39</v>
      </c>
    </row>
    <row r="378" spans="1:14" x14ac:dyDescent="0.3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  <c r="M378">
        <f t="shared" ca="1" si="10"/>
        <v>5</v>
      </c>
      <c r="N378" t="str">
        <f t="shared" si="11"/>
        <v>30-39</v>
      </c>
    </row>
    <row r="379" spans="1:14" x14ac:dyDescent="0.3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  <c r="M379">
        <f t="shared" ca="1" si="10"/>
        <v>3</v>
      </c>
      <c r="N379" t="str">
        <f t="shared" si="11"/>
        <v>30-39</v>
      </c>
    </row>
    <row r="380" spans="1:14" x14ac:dyDescent="0.3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  <c r="M380">
        <f t="shared" ca="1" si="10"/>
        <v>3</v>
      </c>
      <c r="N380" t="str">
        <f t="shared" si="11"/>
        <v>40-49</v>
      </c>
    </row>
    <row r="381" spans="1:14" x14ac:dyDescent="0.3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  <c r="M381">
        <f t="shared" ca="1" si="10"/>
        <v>1</v>
      </c>
      <c r="N381" t="str">
        <f t="shared" si="11"/>
        <v>30-39</v>
      </c>
    </row>
    <row r="382" spans="1:14" x14ac:dyDescent="0.3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  <c r="M382">
        <f t="shared" ca="1" si="10"/>
        <v>2</v>
      </c>
      <c r="N382" t="str">
        <f t="shared" si="11"/>
        <v>30-39</v>
      </c>
    </row>
    <row r="383" spans="1:14" x14ac:dyDescent="0.3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  <c r="M383">
        <f t="shared" ca="1" si="10"/>
        <v>2</v>
      </c>
      <c r="N383" t="str">
        <f t="shared" si="11"/>
        <v>40-49</v>
      </c>
    </row>
    <row r="384" spans="1:14" x14ac:dyDescent="0.3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  <c r="M384">
        <f t="shared" ca="1" si="10"/>
        <v>3</v>
      </c>
      <c r="N384" t="str">
        <f t="shared" si="11"/>
        <v>50-59</v>
      </c>
    </row>
    <row r="385" spans="1:14" x14ac:dyDescent="0.3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  <c r="M385">
        <f t="shared" ca="1" si="10"/>
        <v>5</v>
      </c>
      <c r="N385" t="str">
        <f t="shared" si="11"/>
        <v>50-59</v>
      </c>
    </row>
    <row r="386" spans="1:14" x14ac:dyDescent="0.3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  <c r="M386">
        <f t="shared" ref="M386:M449" ca="1" si="12">IF(I386="",DATEDIF(H386,TODAY(),"Y"),DATEDIF(H386,I386,"Y"))</f>
        <v>3</v>
      </c>
      <c r="N386" t="str">
        <f t="shared" ref="N386:N449" si="13">IF(D386&lt;30,"20-29",IF(D386&lt;40,"30-39",IF(D386&lt;50,"40-49",IF(D386&lt;60,"50-59","60+"))))</f>
        <v>50-59</v>
      </c>
    </row>
    <row r="387" spans="1:14" x14ac:dyDescent="0.3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  <c r="M387">
        <f t="shared" ca="1" si="12"/>
        <v>4</v>
      </c>
      <c r="N387" t="str">
        <f t="shared" si="13"/>
        <v>40-49</v>
      </c>
    </row>
    <row r="388" spans="1:14" x14ac:dyDescent="0.3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  <c r="M388">
        <f t="shared" ca="1" si="12"/>
        <v>1</v>
      </c>
      <c r="N388" t="str">
        <f t="shared" si="13"/>
        <v>30-39</v>
      </c>
    </row>
    <row r="389" spans="1:14" x14ac:dyDescent="0.3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  <c r="M389">
        <f t="shared" ca="1" si="12"/>
        <v>2</v>
      </c>
      <c r="N389" t="str">
        <f t="shared" si="13"/>
        <v>40-49</v>
      </c>
    </row>
    <row r="390" spans="1:14" x14ac:dyDescent="0.3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  <c r="M390">
        <f t="shared" ca="1" si="12"/>
        <v>5</v>
      </c>
      <c r="N390" t="str">
        <f t="shared" si="13"/>
        <v>30-39</v>
      </c>
    </row>
    <row r="391" spans="1:14" x14ac:dyDescent="0.3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  <c r="M391">
        <f t="shared" ca="1" si="12"/>
        <v>6</v>
      </c>
      <c r="N391" t="str">
        <f t="shared" si="13"/>
        <v>30-39</v>
      </c>
    </row>
    <row r="392" spans="1:14" x14ac:dyDescent="0.3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  <c r="M392">
        <f t="shared" ca="1" si="12"/>
        <v>2</v>
      </c>
      <c r="N392" t="str">
        <f t="shared" si="13"/>
        <v>30-39</v>
      </c>
    </row>
    <row r="393" spans="1:14" x14ac:dyDescent="0.3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  <c r="M393">
        <f t="shared" ca="1" si="12"/>
        <v>4</v>
      </c>
      <c r="N393" t="str">
        <f t="shared" si="13"/>
        <v>30-39</v>
      </c>
    </row>
    <row r="394" spans="1:14" x14ac:dyDescent="0.3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  <c r="M394">
        <f t="shared" ca="1" si="12"/>
        <v>3</v>
      </c>
      <c r="N394" t="str">
        <f t="shared" si="13"/>
        <v>30-39</v>
      </c>
    </row>
    <row r="395" spans="1:14" x14ac:dyDescent="0.3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  <c r="M395">
        <f t="shared" ca="1" si="12"/>
        <v>1</v>
      </c>
      <c r="N395" t="str">
        <f t="shared" si="13"/>
        <v>30-39</v>
      </c>
    </row>
    <row r="396" spans="1:14" x14ac:dyDescent="0.3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  <c r="M396">
        <f t="shared" ca="1" si="12"/>
        <v>3</v>
      </c>
      <c r="N396" t="str">
        <f t="shared" si="13"/>
        <v>40-49</v>
      </c>
    </row>
    <row r="397" spans="1:14" x14ac:dyDescent="0.3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  <c r="M397">
        <f t="shared" ca="1" si="12"/>
        <v>2</v>
      </c>
      <c r="N397" t="str">
        <f t="shared" si="13"/>
        <v>50-59</v>
      </c>
    </row>
    <row r="398" spans="1:14" x14ac:dyDescent="0.3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  <c r="M398">
        <f t="shared" ca="1" si="12"/>
        <v>2</v>
      </c>
      <c r="N398" t="str">
        <f t="shared" si="13"/>
        <v>30-39</v>
      </c>
    </row>
    <row r="399" spans="1:14" x14ac:dyDescent="0.3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  <c r="M399">
        <f t="shared" ca="1" si="12"/>
        <v>2</v>
      </c>
      <c r="N399" t="str">
        <f t="shared" si="13"/>
        <v>40-49</v>
      </c>
    </row>
    <row r="400" spans="1:14" x14ac:dyDescent="0.3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  <c r="M400">
        <f t="shared" ca="1" si="12"/>
        <v>6</v>
      </c>
      <c r="N400" t="str">
        <f t="shared" si="13"/>
        <v>30-39</v>
      </c>
    </row>
    <row r="401" spans="1:14" x14ac:dyDescent="0.3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  <c r="M401">
        <f t="shared" ca="1" si="12"/>
        <v>2</v>
      </c>
      <c r="N401" t="str">
        <f t="shared" si="13"/>
        <v>40-49</v>
      </c>
    </row>
    <row r="402" spans="1:14" x14ac:dyDescent="0.3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  <c r="M402">
        <f t="shared" ca="1" si="12"/>
        <v>1</v>
      </c>
      <c r="N402" t="str">
        <f t="shared" si="13"/>
        <v>40-49</v>
      </c>
    </row>
    <row r="403" spans="1:14" x14ac:dyDescent="0.3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  <c r="M403">
        <f t="shared" ca="1" si="12"/>
        <v>5</v>
      </c>
      <c r="N403" t="str">
        <f t="shared" si="13"/>
        <v>30-39</v>
      </c>
    </row>
    <row r="404" spans="1:14" x14ac:dyDescent="0.3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  <c r="M404">
        <f t="shared" ca="1" si="12"/>
        <v>2</v>
      </c>
      <c r="N404" t="str">
        <f t="shared" si="13"/>
        <v>40-49</v>
      </c>
    </row>
    <row r="405" spans="1:14" x14ac:dyDescent="0.3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  <c r="M405">
        <f t="shared" ca="1" si="12"/>
        <v>1</v>
      </c>
      <c r="N405" t="str">
        <f t="shared" si="13"/>
        <v>40-49</v>
      </c>
    </row>
    <row r="406" spans="1:14" x14ac:dyDescent="0.3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  <c r="M406">
        <f t="shared" ca="1" si="12"/>
        <v>5</v>
      </c>
      <c r="N406" t="str">
        <f t="shared" si="13"/>
        <v>30-39</v>
      </c>
    </row>
    <row r="407" spans="1:14" x14ac:dyDescent="0.3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  <c r="M407">
        <f t="shared" ca="1" si="12"/>
        <v>3</v>
      </c>
      <c r="N407" t="str">
        <f t="shared" si="13"/>
        <v>30-39</v>
      </c>
    </row>
    <row r="408" spans="1:14" x14ac:dyDescent="0.3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  <c r="M408">
        <f t="shared" ca="1" si="12"/>
        <v>1</v>
      </c>
      <c r="N408" t="str">
        <f t="shared" si="13"/>
        <v>30-39</v>
      </c>
    </row>
    <row r="409" spans="1:14" x14ac:dyDescent="0.3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  <c r="M409">
        <f t="shared" ca="1" si="12"/>
        <v>4</v>
      </c>
      <c r="N409" t="str">
        <f t="shared" si="13"/>
        <v>30-39</v>
      </c>
    </row>
    <row r="410" spans="1:14" x14ac:dyDescent="0.3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  <c r="M410">
        <f t="shared" ca="1" si="12"/>
        <v>5</v>
      </c>
      <c r="N410" t="str">
        <f t="shared" si="13"/>
        <v>30-39</v>
      </c>
    </row>
    <row r="411" spans="1:14" x14ac:dyDescent="0.3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  <c r="M411">
        <f t="shared" ca="1" si="12"/>
        <v>3</v>
      </c>
      <c r="N411" t="str">
        <f t="shared" si="13"/>
        <v>30-39</v>
      </c>
    </row>
    <row r="412" spans="1:14" x14ac:dyDescent="0.3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  <c r="M412">
        <f t="shared" ca="1" si="12"/>
        <v>3</v>
      </c>
      <c r="N412" t="str">
        <f t="shared" si="13"/>
        <v>30-39</v>
      </c>
    </row>
    <row r="413" spans="1:14" x14ac:dyDescent="0.3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  <c r="M413">
        <f t="shared" ca="1" si="12"/>
        <v>1</v>
      </c>
      <c r="N413" t="str">
        <f t="shared" si="13"/>
        <v>30-39</v>
      </c>
    </row>
    <row r="414" spans="1:14" x14ac:dyDescent="0.3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  <c r="M414">
        <f t="shared" ca="1" si="12"/>
        <v>2</v>
      </c>
      <c r="N414" t="str">
        <f t="shared" si="13"/>
        <v>30-39</v>
      </c>
    </row>
    <row r="415" spans="1:14" x14ac:dyDescent="0.3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  <c r="M415">
        <f t="shared" ca="1" si="12"/>
        <v>2</v>
      </c>
      <c r="N415" t="str">
        <f t="shared" si="13"/>
        <v>40-49</v>
      </c>
    </row>
    <row r="416" spans="1:14" x14ac:dyDescent="0.3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  <c r="M416">
        <f t="shared" ca="1" si="12"/>
        <v>3</v>
      </c>
      <c r="N416" t="str">
        <f t="shared" si="13"/>
        <v>30-39</v>
      </c>
    </row>
    <row r="417" spans="1:14" x14ac:dyDescent="0.3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  <c r="M417">
        <f t="shared" ca="1" si="12"/>
        <v>5</v>
      </c>
      <c r="N417" t="str">
        <f t="shared" si="13"/>
        <v>30-39</v>
      </c>
    </row>
    <row r="418" spans="1:14" x14ac:dyDescent="0.3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  <c r="M418">
        <f t="shared" ca="1" si="12"/>
        <v>5</v>
      </c>
      <c r="N418" t="str">
        <f t="shared" si="13"/>
        <v>40-49</v>
      </c>
    </row>
    <row r="419" spans="1:14" x14ac:dyDescent="0.3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  <c r="M419">
        <f t="shared" ca="1" si="12"/>
        <v>4</v>
      </c>
      <c r="N419" t="str">
        <f t="shared" si="13"/>
        <v>50-59</v>
      </c>
    </row>
    <row r="420" spans="1:14" x14ac:dyDescent="0.3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  <c r="M420">
        <f t="shared" ca="1" si="12"/>
        <v>1</v>
      </c>
      <c r="N420" t="str">
        <f t="shared" si="13"/>
        <v>50-59</v>
      </c>
    </row>
    <row r="421" spans="1:14" x14ac:dyDescent="0.3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  <c r="M421">
        <f t="shared" ca="1" si="12"/>
        <v>1</v>
      </c>
      <c r="N421" t="str">
        <f t="shared" si="13"/>
        <v>50-59</v>
      </c>
    </row>
    <row r="422" spans="1:14" x14ac:dyDescent="0.3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  <c r="M422">
        <f t="shared" ca="1" si="12"/>
        <v>5</v>
      </c>
      <c r="N422" t="str">
        <f t="shared" si="13"/>
        <v>40-49</v>
      </c>
    </row>
    <row r="423" spans="1:14" x14ac:dyDescent="0.3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  <c r="M423">
        <f t="shared" ca="1" si="12"/>
        <v>6</v>
      </c>
      <c r="N423" t="str">
        <f t="shared" si="13"/>
        <v>30-39</v>
      </c>
    </row>
    <row r="424" spans="1:14" x14ac:dyDescent="0.3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  <c r="M424">
        <f t="shared" ca="1" si="12"/>
        <v>2</v>
      </c>
      <c r="N424" t="str">
        <f t="shared" si="13"/>
        <v>40-49</v>
      </c>
    </row>
    <row r="425" spans="1:14" x14ac:dyDescent="0.3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  <c r="M425">
        <f t="shared" ca="1" si="12"/>
        <v>4</v>
      </c>
      <c r="N425" t="str">
        <f t="shared" si="13"/>
        <v>30-39</v>
      </c>
    </row>
    <row r="426" spans="1:14" x14ac:dyDescent="0.3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  <c r="M426">
        <f t="shared" ca="1" si="12"/>
        <v>3</v>
      </c>
      <c r="N426" t="str">
        <f t="shared" si="13"/>
        <v>30-39</v>
      </c>
    </row>
    <row r="427" spans="1:14" x14ac:dyDescent="0.3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  <c r="M427">
        <f t="shared" ca="1" si="12"/>
        <v>1</v>
      </c>
      <c r="N427" t="str">
        <f t="shared" si="13"/>
        <v>30-39</v>
      </c>
    </row>
    <row r="428" spans="1:14" x14ac:dyDescent="0.3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  <c r="M428">
        <f t="shared" ca="1" si="12"/>
        <v>1</v>
      </c>
      <c r="N428" t="str">
        <f t="shared" si="13"/>
        <v>20-29</v>
      </c>
    </row>
    <row r="429" spans="1:14" x14ac:dyDescent="0.3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  <c r="M429">
        <f t="shared" ca="1" si="12"/>
        <v>2</v>
      </c>
      <c r="N429" t="str">
        <f t="shared" si="13"/>
        <v>30-39</v>
      </c>
    </row>
    <row r="430" spans="1:14" x14ac:dyDescent="0.3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  <c r="M430">
        <f t="shared" ca="1" si="12"/>
        <v>2</v>
      </c>
      <c r="N430" t="str">
        <f t="shared" si="13"/>
        <v>30-39</v>
      </c>
    </row>
    <row r="431" spans="1:14" x14ac:dyDescent="0.3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  <c r="M431">
        <f t="shared" ca="1" si="12"/>
        <v>2</v>
      </c>
      <c r="N431" t="str">
        <f t="shared" si="13"/>
        <v>40-49</v>
      </c>
    </row>
    <row r="432" spans="1:14" x14ac:dyDescent="0.3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  <c r="M432">
        <f t="shared" ca="1" si="12"/>
        <v>6</v>
      </c>
      <c r="N432" t="str">
        <f t="shared" si="13"/>
        <v>50-59</v>
      </c>
    </row>
    <row r="433" spans="1:14" x14ac:dyDescent="0.3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  <c r="M433">
        <f t="shared" ca="1" si="12"/>
        <v>2</v>
      </c>
      <c r="N433" t="str">
        <f t="shared" si="13"/>
        <v>30-39</v>
      </c>
    </row>
    <row r="434" spans="1:14" x14ac:dyDescent="0.3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  <c r="M434">
        <f t="shared" ca="1" si="12"/>
        <v>3</v>
      </c>
      <c r="N434" t="str">
        <f t="shared" si="13"/>
        <v>40-49</v>
      </c>
    </row>
    <row r="435" spans="1:14" x14ac:dyDescent="0.3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  <c r="M435">
        <f t="shared" ca="1" si="12"/>
        <v>5</v>
      </c>
      <c r="N435" t="str">
        <f t="shared" si="13"/>
        <v>30-39</v>
      </c>
    </row>
    <row r="436" spans="1:14" x14ac:dyDescent="0.3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  <c r="M436">
        <f t="shared" ca="1" si="12"/>
        <v>2</v>
      </c>
      <c r="N436" t="str">
        <f t="shared" si="13"/>
        <v>40-49</v>
      </c>
    </row>
    <row r="437" spans="1:14" x14ac:dyDescent="0.3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  <c r="M437">
        <f t="shared" ca="1" si="12"/>
        <v>1</v>
      </c>
      <c r="N437" t="str">
        <f t="shared" si="13"/>
        <v>40-49</v>
      </c>
    </row>
    <row r="438" spans="1:14" x14ac:dyDescent="0.3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  <c r="M438">
        <f t="shared" ca="1" si="12"/>
        <v>5</v>
      </c>
      <c r="N438" t="str">
        <f t="shared" si="13"/>
        <v>30-39</v>
      </c>
    </row>
    <row r="439" spans="1:14" x14ac:dyDescent="0.3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  <c r="M439">
        <f t="shared" ca="1" si="12"/>
        <v>3</v>
      </c>
      <c r="N439" t="str">
        <f t="shared" si="13"/>
        <v>40-49</v>
      </c>
    </row>
    <row r="440" spans="1:14" x14ac:dyDescent="0.3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  <c r="M440">
        <f t="shared" ca="1" si="12"/>
        <v>1</v>
      </c>
      <c r="N440" t="str">
        <f t="shared" si="13"/>
        <v>40-49</v>
      </c>
    </row>
    <row r="441" spans="1:14" x14ac:dyDescent="0.3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  <c r="M441">
        <f t="shared" ca="1" si="12"/>
        <v>4</v>
      </c>
      <c r="N441" t="str">
        <f t="shared" si="13"/>
        <v>30-39</v>
      </c>
    </row>
    <row r="442" spans="1:14" x14ac:dyDescent="0.3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  <c r="M442">
        <f t="shared" ca="1" si="12"/>
        <v>5</v>
      </c>
      <c r="N442" t="str">
        <f t="shared" si="13"/>
        <v>30-39</v>
      </c>
    </row>
    <row r="443" spans="1:14" x14ac:dyDescent="0.3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  <c r="M443">
        <f t="shared" ca="1" si="12"/>
        <v>3</v>
      </c>
      <c r="N443" t="str">
        <f t="shared" si="13"/>
        <v>30-39</v>
      </c>
    </row>
    <row r="444" spans="1:14" x14ac:dyDescent="0.3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  <c r="M444">
        <f t="shared" ca="1" si="12"/>
        <v>3</v>
      </c>
      <c r="N444" t="str">
        <f t="shared" si="13"/>
        <v>30-39</v>
      </c>
    </row>
    <row r="445" spans="1:14" x14ac:dyDescent="0.3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  <c r="M445">
        <f t="shared" ca="1" si="12"/>
        <v>1</v>
      </c>
      <c r="N445" t="str">
        <f t="shared" si="13"/>
        <v>30-39</v>
      </c>
    </row>
    <row r="446" spans="1:14" x14ac:dyDescent="0.3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  <c r="M446">
        <f t="shared" ca="1" si="12"/>
        <v>2</v>
      </c>
      <c r="N446" t="str">
        <f t="shared" si="13"/>
        <v>30-39</v>
      </c>
    </row>
    <row r="447" spans="1:14" x14ac:dyDescent="0.3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  <c r="M447">
        <f t="shared" ca="1" si="12"/>
        <v>2</v>
      </c>
      <c r="N447" t="str">
        <f t="shared" si="13"/>
        <v>30-39</v>
      </c>
    </row>
    <row r="448" spans="1:14" x14ac:dyDescent="0.3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  <c r="M448">
        <f t="shared" ca="1" si="12"/>
        <v>3</v>
      </c>
      <c r="N448" t="str">
        <f t="shared" si="13"/>
        <v>30-39</v>
      </c>
    </row>
    <row r="449" spans="1:14" x14ac:dyDescent="0.3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  <c r="M449">
        <f t="shared" ca="1" si="12"/>
        <v>5</v>
      </c>
      <c r="N449" t="str">
        <f t="shared" si="13"/>
        <v>30-39</v>
      </c>
    </row>
    <row r="450" spans="1:14" x14ac:dyDescent="0.3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  <c r="M450">
        <f t="shared" ref="M450:M513" ca="1" si="14">IF(I450="",DATEDIF(H450,TODAY(),"Y"),DATEDIF(H450,I450,"Y"))</f>
        <v>5</v>
      </c>
      <c r="N450" t="str">
        <f t="shared" ref="N450:N513" si="15">IF(D450&lt;30,"20-29",IF(D450&lt;40,"30-39",IF(D450&lt;50,"40-49",IF(D450&lt;60,"50-59","60+"))))</f>
        <v>40-49</v>
      </c>
    </row>
    <row r="451" spans="1:14" x14ac:dyDescent="0.3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  <c r="M451">
        <f t="shared" ca="1" si="14"/>
        <v>4</v>
      </c>
      <c r="N451" t="str">
        <f t="shared" si="15"/>
        <v>30-39</v>
      </c>
    </row>
    <row r="452" spans="1:14" x14ac:dyDescent="0.3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  <c r="M452">
        <f t="shared" ca="1" si="14"/>
        <v>1</v>
      </c>
      <c r="N452" t="str">
        <f t="shared" si="15"/>
        <v>30-39</v>
      </c>
    </row>
    <row r="453" spans="1:14" x14ac:dyDescent="0.3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  <c r="M453">
        <f t="shared" ca="1" si="14"/>
        <v>2</v>
      </c>
      <c r="N453" t="str">
        <f t="shared" si="15"/>
        <v>40-49</v>
      </c>
    </row>
    <row r="454" spans="1:14" x14ac:dyDescent="0.3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  <c r="M454">
        <f t="shared" ca="1" si="14"/>
        <v>5</v>
      </c>
      <c r="N454" t="str">
        <f t="shared" si="15"/>
        <v>50-59</v>
      </c>
    </row>
    <row r="455" spans="1:14" x14ac:dyDescent="0.3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  <c r="M455">
        <f t="shared" ca="1" si="14"/>
        <v>6</v>
      </c>
      <c r="N455" t="str">
        <f t="shared" si="15"/>
        <v>50-59</v>
      </c>
    </row>
    <row r="456" spans="1:14" x14ac:dyDescent="0.3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  <c r="M456">
        <f t="shared" ca="1" si="14"/>
        <v>2</v>
      </c>
      <c r="N456" t="str">
        <f t="shared" si="15"/>
        <v>50-59</v>
      </c>
    </row>
    <row r="457" spans="1:14" x14ac:dyDescent="0.3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  <c r="M457">
        <f t="shared" ca="1" si="14"/>
        <v>4</v>
      </c>
      <c r="N457" t="str">
        <f t="shared" si="15"/>
        <v>40-49</v>
      </c>
    </row>
    <row r="458" spans="1:14" x14ac:dyDescent="0.3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  <c r="M458">
        <f t="shared" ca="1" si="14"/>
        <v>3</v>
      </c>
      <c r="N458" t="str">
        <f t="shared" si="15"/>
        <v>30-39</v>
      </c>
    </row>
    <row r="459" spans="1:14" x14ac:dyDescent="0.3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  <c r="M459">
        <f t="shared" ca="1" si="14"/>
        <v>1</v>
      </c>
      <c r="N459" t="str">
        <f t="shared" si="15"/>
        <v>40-49</v>
      </c>
    </row>
    <row r="460" spans="1:14" x14ac:dyDescent="0.3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  <c r="M460">
        <f t="shared" ca="1" si="14"/>
        <v>3</v>
      </c>
      <c r="N460" t="str">
        <f t="shared" si="15"/>
        <v>30-39</v>
      </c>
    </row>
    <row r="461" spans="1:14" x14ac:dyDescent="0.3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  <c r="M461">
        <f t="shared" ca="1" si="14"/>
        <v>2</v>
      </c>
      <c r="N461" t="str">
        <f t="shared" si="15"/>
        <v>30-39</v>
      </c>
    </row>
    <row r="462" spans="1:14" x14ac:dyDescent="0.3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  <c r="M462">
        <f t="shared" ca="1" si="14"/>
        <v>0</v>
      </c>
      <c r="N462" t="str">
        <f t="shared" si="15"/>
        <v>30-39</v>
      </c>
    </row>
    <row r="463" spans="1:14" x14ac:dyDescent="0.3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  <c r="M463">
        <f t="shared" ca="1" si="14"/>
        <v>2</v>
      </c>
      <c r="N463" t="str">
        <f t="shared" si="15"/>
        <v>30-39</v>
      </c>
    </row>
    <row r="464" spans="1:14" x14ac:dyDescent="0.3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  <c r="M464">
        <f t="shared" ca="1" si="14"/>
        <v>6</v>
      </c>
      <c r="N464" t="str">
        <f t="shared" si="15"/>
        <v>30-39</v>
      </c>
    </row>
    <row r="465" spans="1:14" x14ac:dyDescent="0.3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  <c r="M465">
        <f t="shared" ca="1" si="14"/>
        <v>2</v>
      </c>
      <c r="N465" t="str">
        <f t="shared" si="15"/>
        <v>30-39</v>
      </c>
    </row>
    <row r="466" spans="1:14" x14ac:dyDescent="0.3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  <c r="M466">
        <f t="shared" ca="1" si="14"/>
        <v>1</v>
      </c>
      <c r="N466" t="str">
        <f t="shared" si="15"/>
        <v>40-49</v>
      </c>
    </row>
    <row r="467" spans="1:14" x14ac:dyDescent="0.3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  <c r="M467">
        <f t="shared" ca="1" si="14"/>
        <v>5</v>
      </c>
      <c r="N467" t="str">
        <f t="shared" si="15"/>
        <v>50-59</v>
      </c>
    </row>
    <row r="468" spans="1:14" x14ac:dyDescent="0.3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  <c r="M468">
        <f t="shared" ca="1" si="14"/>
        <v>2</v>
      </c>
      <c r="N468" t="str">
        <f t="shared" si="15"/>
        <v>30-39</v>
      </c>
    </row>
    <row r="469" spans="1:14" x14ac:dyDescent="0.3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  <c r="M469">
        <f t="shared" ca="1" si="14"/>
        <v>1</v>
      </c>
      <c r="N469" t="str">
        <f t="shared" si="15"/>
        <v>40-49</v>
      </c>
    </row>
    <row r="470" spans="1:14" x14ac:dyDescent="0.3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  <c r="M470">
        <f t="shared" ca="1" si="14"/>
        <v>5</v>
      </c>
      <c r="N470" t="str">
        <f t="shared" si="15"/>
        <v>30-39</v>
      </c>
    </row>
    <row r="471" spans="1:14" x14ac:dyDescent="0.3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  <c r="M471">
        <f t="shared" ca="1" si="14"/>
        <v>3</v>
      </c>
      <c r="N471" t="str">
        <f t="shared" si="15"/>
        <v>40-49</v>
      </c>
    </row>
    <row r="472" spans="1:14" x14ac:dyDescent="0.3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  <c r="M472">
        <f t="shared" ca="1" si="14"/>
        <v>1</v>
      </c>
      <c r="N472" t="str">
        <f t="shared" si="15"/>
        <v>40-49</v>
      </c>
    </row>
    <row r="473" spans="1:14" x14ac:dyDescent="0.3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  <c r="M473">
        <f t="shared" ca="1" si="14"/>
        <v>4</v>
      </c>
      <c r="N473" t="str">
        <f t="shared" si="15"/>
        <v>30-39</v>
      </c>
    </row>
    <row r="474" spans="1:14" x14ac:dyDescent="0.3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  <c r="M474">
        <f t="shared" ca="1" si="14"/>
        <v>5</v>
      </c>
      <c r="N474" t="str">
        <f t="shared" si="15"/>
        <v>40-49</v>
      </c>
    </row>
    <row r="475" spans="1:14" x14ac:dyDescent="0.3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  <c r="M475">
        <f t="shared" ca="1" si="14"/>
        <v>3</v>
      </c>
      <c r="N475" t="str">
        <f t="shared" si="15"/>
        <v>40-49</v>
      </c>
    </row>
    <row r="476" spans="1:14" x14ac:dyDescent="0.3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  <c r="M476">
        <f t="shared" ca="1" si="14"/>
        <v>3</v>
      </c>
      <c r="N476" t="str">
        <f t="shared" si="15"/>
        <v>30-39</v>
      </c>
    </row>
    <row r="477" spans="1:14" x14ac:dyDescent="0.3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  <c r="M477">
        <f t="shared" ca="1" si="14"/>
        <v>1</v>
      </c>
      <c r="N477" t="str">
        <f t="shared" si="15"/>
        <v>30-39</v>
      </c>
    </row>
    <row r="478" spans="1:14" x14ac:dyDescent="0.3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  <c r="M478">
        <f t="shared" ca="1" si="14"/>
        <v>2</v>
      </c>
      <c r="N478" t="str">
        <f t="shared" si="15"/>
        <v>30-39</v>
      </c>
    </row>
    <row r="479" spans="1:14" x14ac:dyDescent="0.3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  <c r="M479">
        <f t="shared" ca="1" si="14"/>
        <v>0</v>
      </c>
      <c r="N479" t="str">
        <f t="shared" si="15"/>
        <v>30-39</v>
      </c>
    </row>
    <row r="480" spans="1:14" x14ac:dyDescent="0.3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  <c r="M480">
        <f t="shared" ca="1" si="14"/>
        <v>3</v>
      </c>
      <c r="N480" t="str">
        <f t="shared" si="15"/>
        <v>30-39</v>
      </c>
    </row>
    <row r="481" spans="1:14" x14ac:dyDescent="0.3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  <c r="M481">
        <f t="shared" ca="1" si="14"/>
        <v>5</v>
      </c>
      <c r="N481" t="str">
        <f t="shared" si="15"/>
        <v>30-39</v>
      </c>
    </row>
    <row r="482" spans="1:14" x14ac:dyDescent="0.3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  <c r="M482">
        <f t="shared" ca="1" si="14"/>
        <v>5</v>
      </c>
      <c r="N482" t="str">
        <f t="shared" si="15"/>
        <v>30-39</v>
      </c>
    </row>
    <row r="483" spans="1:14" x14ac:dyDescent="0.3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  <c r="M483">
        <f t="shared" ca="1" si="14"/>
        <v>4</v>
      </c>
      <c r="N483" t="str">
        <f t="shared" si="15"/>
        <v>30-39</v>
      </c>
    </row>
    <row r="484" spans="1:14" x14ac:dyDescent="0.3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  <c r="M484">
        <f t="shared" ca="1" si="14"/>
        <v>1</v>
      </c>
      <c r="N484" t="str">
        <f t="shared" si="15"/>
        <v>30-39</v>
      </c>
    </row>
    <row r="485" spans="1:14" x14ac:dyDescent="0.3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  <c r="M485">
        <f t="shared" ca="1" si="14"/>
        <v>1</v>
      </c>
      <c r="N485" t="str">
        <f t="shared" si="15"/>
        <v>40-49</v>
      </c>
    </row>
    <row r="486" spans="1:14" x14ac:dyDescent="0.3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  <c r="M486">
        <f t="shared" ca="1" si="14"/>
        <v>5</v>
      </c>
      <c r="N486" t="str">
        <f t="shared" si="15"/>
        <v>30-39</v>
      </c>
    </row>
    <row r="487" spans="1:14" x14ac:dyDescent="0.3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  <c r="M487">
        <f t="shared" ca="1" si="14"/>
        <v>6</v>
      </c>
      <c r="N487" t="str">
        <f t="shared" si="15"/>
        <v>30-39</v>
      </c>
    </row>
    <row r="488" spans="1:14" x14ac:dyDescent="0.3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  <c r="M488">
        <f t="shared" ca="1" si="14"/>
        <v>2</v>
      </c>
      <c r="N488" t="str">
        <f t="shared" si="15"/>
        <v>40-49</v>
      </c>
    </row>
    <row r="489" spans="1:14" x14ac:dyDescent="0.3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  <c r="M489">
        <f t="shared" ca="1" si="14"/>
        <v>4</v>
      </c>
      <c r="N489" t="str">
        <f t="shared" si="15"/>
        <v>50-59</v>
      </c>
    </row>
    <row r="490" spans="1:14" x14ac:dyDescent="0.3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  <c r="M490">
        <f t="shared" ca="1" si="14"/>
        <v>3</v>
      </c>
      <c r="N490" t="str">
        <f t="shared" si="15"/>
        <v>50-59</v>
      </c>
    </row>
    <row r="491" spans="1:14" x14ac:dyDescent="0.3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  <c r="M491">
        <f t="shared" ca="1" si="14"/>
        <v>1</v>
      </c>
      <c r="N491" t="str">
        <f t="shared" si="15"/>
        <v>50-59</v>
      </c>
    </row>
    <row r="492" spans="1:14" x14ac:dyDescent="0.3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  <c r="M492">
        <f t="shared" ca="1" si="14"/>
        <v>1</v>
      </c>
      <c r="N492" t="str">
        <f t="shared" si="15"/>
        <v>40-49</v>
      </c>
    </row>
    <row r="493" spans="1:14" x14ac:dyDescent="0.3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  <c r="M493">
        <f t="shared" ca="1" si="14"/>
        <v>2</v>
      </c>
      <c r="N493" t="str">
        <f t="shared" si="15"/>
        <v>30-39</v>
      </c>
    </row>
    <row r="494" spans="1:14" x14ac:dyDescent="0.3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  <c r="M494">
        <f t="shared" ca="1" si="14"/>
        <v>2</v>
      </c>
      <c r="N494" t="str">
        <f t="shared" si="15"/>
        <v>40-49</v>
      </c>
    </row>
    <row r="495" spans="1:14" x14ac:dyDescent="0.3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  <c r="M495">
        <f t="shared" ca="1" si="14"/>
        <v>2</v>
      </c>
      <c r="N495" t="str">
        <f t="shared" si="15"/>
        <v>30-39</v>
      </c>
    </row>
    <row r="496" spans="1:14" x14ac:dyDescent="0.3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  <c r="M496">
        <f t="shared" ca="1" si="14"/>
        <v>6</v>
      </c>
      <c r="N496" t="str">
        <f t="shared" si="15"/>
        <v>30-39</v>
      </c>
    </row>
    <row r="497" spans="1:14" x14ac:dyDescent="0.3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  <c r="M497">
        <f t="shared" ca="1" si="14"/>
        <v>2</v>
      </c>
      <c r="N497" t="str">
        <f t="shared" si="15"/>
        <v>30-39</v>
      </c>
    </row>
    <row r="498" spans="1:14" x14ac:dyDescent="0.3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  <c r="M498">
        <f t="shared" ca="1" si="14"/>
        <v>1</v>
      </c>
      <c r="N498" t="str">
        <f t="shared" si="15"/>
        <v>30-39</v>
      </c>
    </row>
    <row r="499" spans="1:14" x14ac:dyDescent="0.3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  <c r="M499">
        <f t="shared" ca="1" si="14"/>
        <v>5</v>
      </c>
      <c r="N499" t="str">
        <f t="shared" si="15"/>
        <v>30-39</v>
      </c>
    </row>
    <row r="500" spans="1:14" x14ac:dyDescent="0.3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  <c r="M500">
        <f t="shared" ca="1" si="14"/>
        <v>2</v>
      </c>
      <c r="N500" t="str">
        <f t="shared" si="15"/>
        <v>30-39</v>
      </c>
    </row>
    <row r="501" spans="1:14" x14ac:dyDescent="0.3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  <c r="M501">
        <f t="shared" ca="1" si="14"/>
        <v>1</v>
      </c>
      <c r="N501" t="str">
        <f t="shared" si="15"/>
        <v>40-49</v>
      </c>
    </row>
    <row r="502" spans="1:14" x14ac:dyDescent="0.3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  <c r="M502">
        <f t="shared" ca="1" si="14"/>
        <v>5</v>
      </c>
      <c r="N502" t="str">
        <f t="shared" si="15"/>
        <v>50-59</v>
      </c>
    </row>
    <row r="503" spans="1:14" x14ac:dyDescent="0.3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  <c r="M503">
        <f t="shared" ca="1" si="14"/>
        <v>3</v>
      </c>
      <c r="N503" t="str">
        <f t="shared" si="15"/>
        <v>30-39</v>
      </c>
    </row>
    <row r="504" spans="1:14" x14ac:dyDescent="0.3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  <c r="M504">
        <f t="shared" ca="1" si="14"/>
        <v>1</v>
      </c>
      <c r="N504" t="str">
        <f t="shared" si="15"/>
        <v>40-49</v>
      </c>
    </row>
    <row r="505" spans="1:14" x14ac:dyDescent="0.3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  <c r="M505">
        <f t="shared" ca="1" si="14"/>
        <v>4</v>
      </c>
      <c r="N505" t="str">
        <f t="shared" si="15"/>
        <v>30-39</v>
      </c>
    </row>
    <row r="506" spans="1:14" x14ac:dyDescent="0.3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  <c r="M506">
        <f t="shared" ca="1" si="14"/>
        <v>5</v>
      </c>
      <c r="N506" t="str">
        <f t="shared" si="15"/>
        <v>40-49</v>
      </c>
    </row>
    <row r="507" spans="1:14" x14ac:dyDescent="0.3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  <c r="M507">
        <f t="shared" ca="1" si="14"/>
        <v>3</v>
      </c>
      <c r="N507" t="str">
        <f t="shared" si="15"/>
        <v>40-49</v>
      </c>
    </row>
    <row r="508" spans="1:14" x14ac:dyDescent="0.3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  <c r="M508">
        <f t="shared" ca="1" si="14"/>
        <v>3</v>
      </c>
      <c r="N508" t="str">
        <f t="shared" si="15"/>
        <v>30-39</v>
      </c>
    </row>
    <row r="509" spans="1:14" x14ac:dyDescent="0.3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  <c r="M509">
        <f t="shared" ca="1" si="14"/>
        <v>1</v>
      </c>
      <c r="N509" t="str">
        <f t="shared" si="15"/>
        <v>40-49</v>
      </c>
    </row>
    <row r="510" spans="1:14" x14ac:dyDescent="0.3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  <c r="M510">
        <f t="shared" ca="1" si="14"/>
        <v>2</v>
      </c>
      <c r="N510" t="str">
        <f t="shared" si="15"/>
        <v>40-49</v>
      </c>
    </row>
    <row r="511" spans="1:14" x14ac:dyDescent="0.3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  <c r="M511">
        <f t="shared" ca="1" si="14"/>
        <v>2</v>
      </c>
      <c r="N511" t="str">
        <f t="shared" si="15"/>
        <v>30-39</v>
      </c>
    </row>
    <row r="512" spans="1:14" x14ac:dyDescent="0.3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  <c r="M512">
        <f t="shared" ca="1" si="14"/>
        <v>3</v>
      </c>
      <c r="N512" t="str">
        <f t="shared" si="15"/>
        <v>30-39</v>
      </c>
    </row>
    <row r="513" spans="1:14" x14ac:dyDescent="0.3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  <c r="M513">
        <f t="shared" ca="1" si="14"/>
        <v>5</v>
      </c>
      <c r="N513" t="str">
        <f t="shared" si="15"/>
        <v>30-39</v>
      </c>
    </row>
    <row r="514" spans="1:14" x14ac:dyDescent="0.3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  <c r="M514">
        <f t="shared" ref="M514:M577" ca="1" si="16">IF(I514="",DATEDIF(H514,TODAY(),"Y"),DATEDIF(H514,I514,"Y"))</f>
        <v>5</v>
      </c>
      <c r="N514" t="str">
        <f t="shared" ref="N514:N577" si="17">IF(D514&lt;30,"20-29",IF(D514&lt;40,"30-39",IF(D514&lt;50,"40-49",IF(D514&lt;60,"50-59","60+"))))</f>
        <v>30-39</v>
      </c>
    </row>
    <row r="515" spans="1:14" x14ac:dyDescent="0.3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  <c r="M515">
        <f t="shared" ca="1" si="16"/>
        <v>4</v>
      </c>
      <c r="N515" t="str">
        <f t="shared" si="17"/>
        <v>30-39</v>
      </c>
    </row>
    <row r="516" spans="1:14" x14ac:dyDescent="0.3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  <c r="M516">
        <f t="shared" ca="1" si="16"/>
        <v>1</v>
      </c>
      <c r="N516" t="str">
        <f t="shared" si="17"/>
        <v>30-39</v>
      </c>
    </row>
    <row r="517" spans="1:14" x14ac:dyDescent="0.3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  <c r="M517">
        <f t="shared" ca="1" si="16"/>
        <v>1</v>
      </c>
      <c r="N517" t="str">
        <f t="shared" si="17"/>
        <v>30-39</v>
      </c>
    </row>
    <row r="518" spans="1:14" x14ac:dyDescent="0.3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  <c r="M518">
        <f t="shared" ca="1" si="16"/>
        <v>5</v>
      </c>
      <c r="N518" t="str">
        <f t="shared" si="17"/>
        <v>30-39</v>
      </c>
    </row>
    <row r="519" spans="1:14" x14ac:dyDescent="0.3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  <c r="M519">
        <f t="shared" ca="1" si="16"/>
        <v>6</v>
      </c>
      <c r="N519" t="str">
        <f t="shared" si="17"/>
        <v>30-39</v>
      </c>
    </row>
    <row r="520" spans="1:14" x14ac:dyDescent="0.3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  <c r="M520">
        <f t="shared" ca="1" si="16"/>
        <v>2</v>
      </c>
      <c r="N520" t="str">
        <f t="shared" si="17"/>
        <v>40-49</v>
      </c>
    </row>
    <row r="521" spans="1:14" x14ac:dyDescent="0.3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  <c r="M521">
        <f t="shared" ca="1" si="16"/>
        <v>4</v>
      </c>
      <c r="N521" t="str">
        <f t="shared" si="17"/>
        <v>30-39</v>
      </c>
    </row>
    <row r="522" spans="1:14" x14ac:dyDescent="0.3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  <c r="M522">
        <f t="shared" ca="1" si="16"/>
        <v>3</v>
      </c>
      <c r="N522" t="str">
        <f t="shared" si="17"/>
        <v>30-39</v>
      </c>
    </row>
    <row r="523" spans="1:14" x14ac:dyDescent="0.3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  <c r="M523">
        <f t="shared" ca="1" si="16"/>
        <v>1</v>
      </c>
      <c r="N523" t="str">
        <f t="shared" si="17"/>
        <v>40-49</v>
      </c>
    </row>
    <row r="524" spans="1:14" x14ac:dyDescent="0.3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  <c r="M524">
        <f t="shared" ca="1" si="16"/>
        <v>3</v>
      </c>
      <c r="N524" t="str">
        <f t="shared" si="17"/>
        <v>50-59</v>
      </c>
    </row>
    <row r="525" spans="1:14" x14ac:dyDescent="0.3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  <c r="M525">
        <f t="shared" ca="1" si="16"/>
        <v>2</v>
      </c>
      <c r="N525" t="str">
        <f t="shared" si="17"/>
        <v>50-59</v>
      </c>
    </row>
    <row r="526" spans="1:14" x14ac:dyDescent="0.3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  <c r="M526">
        <f t="shared" ca="1" si="16"/>
        <v>2</v>
      </c>
      <c r="N526" t="str">
        <f t="shared" si="17"/>
        <v>50-59</v>
      </c>
    </row>
    <row r="527" spans="1:14" x14ac:dyDescent="0.3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  <c r="M527">
        <f t="shared" ca="1" si="16"/>
        <v>2</v>
      </c>
      <c r="N527" t="str">
        <f t="shared" si="17"/>
        <v>40-49</v>
      </c>
    </row>
    <row r="528" spans="1:14" x14ac:dyDescent="0.3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  <c r="M528">
        <f t="shared" ca="1" si="16"/>
        <v>6</v>
      </c>
      <c r="N528" t="str">
        <f t="shared" si="17"/>
        <v>30-39</v>
      </c>
    </row>
    <row r="529" spans="1:14" x14ac:dyDescent="0.3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  <c r="M529">
        <f t="shared" ca="1" si="16"/>
        <v>2</v>
      </c>
      <c r="N529" t="str">
        <f t="shared" si="17"/>
        <v>40-49</v>
      </c>
    </row>
    <row r="530" spans="1:14" x14ac:dyDescent="0.3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  <c r="M530">
        <f t="shared" ca="1" si="16"/>
        <v>1</v>
      </c>
      <c r="N530" t="str">
        <f t="shared" si="17"/>
        <v>30-39</v>
      </c>
    </row>
    <row r="531" spans="1:14" x14ac:dyDescent="0.3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  <c r="M531">
        <f t="shared" ca="1" si="16"/>
        <v>5</v>
      </c>
      <c r="N531" t="str">
        <f t="shared" si="17"/>
        <v>30-39</v>
      </c>
    </row>
    <row r="532" spans="1:14" x14ac:dyDescent="0.3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  <c r="M532">
        <f t="shared" ca="1" si="16"/>
        <v>2</v>
      </c>
      <c r="N532" t="str">
        <f t="shared" si="17"/>
        <v>30-39</v>
      </c>
    </row>
    <row r="533" spans="1:14" x14ac:dyDescent="0.3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  <c r="M533">
        <f t="shared" ca="1" si="16"/>
        <v>1</v>
      </c>
      <c r="N533" t="str">
        <f t="shared" si="17"/>
        <v>30-39</v>
      </c>
    </row>
    <row r="534" spans="1:14" x14ac:dyDescent="0.3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  <c r="M534">
        <f t="shared" ca="1" si="16"/>
        <v>5</v>
      </c>
      <c r="N534" t="str">
        <f t="shared" si="17"/>
        <v>30-39</v>
      </c>
    </row>
    <row r="535" spans="1:14" x14ac:dyDescent="0.3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  <c r="M535">
        <f t="shared" ca="1" si="16"/>
        <v>3</v>
      </c>
      <c r="N535" t="str">
        <f t="shared" si="17"/>
        <v>30-39</v>
      </c>
    </row>
    <row r="536" spans="1:14" x14ac:dyDescent="0.3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  <c r="M536">
        <f t="shared" ca="1" si="16"/>
        <v>1</v>
      </c>
      <c r="N536" t="str">
        <f t="shared" si="17"/>
        <v>40-49</v>
      </c>
    </row>
    <row r="537" spans="1:14" x14ac:dyDescent="0.3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  <c r="M537">
        <f t="shared" ca="1" si="16"/>
        <v>4</v>
      </c>
      <c r="N537" t="str">
        <f t="shared" si="17"/>
        <v>50-59</v>
      </c>
    </row>
    <row r="538" spans="1:14" x14ac:dyDescent="0.3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  <c r="M538">
        <f t="shared" ca="1" si="16"/>
        <v>5</v>
      </c>
      <c r="N538" t="str">
        <f t="shared" si="17"/>
        <v>30-39</v>
      </c>
    </row>
    <row r="539" spans="1:14" x14ac:dyDescent="0.3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  <c r="M539">
        <f t="shared" ca="1" si="16"/>
        <v>3</v>
      </c>
      <c r="N539" t="str">
        <f t="shared" si="17"/>
        <v>40-49</v>
      </c>
    </row>
    <row r="540" spans="1:14" x14ac:dyDescent="0.3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  <c r="M540">
        <f t="shared" ca="1" si="16"/>
        <v>3</v>
      </c>
      <c r="N540" t="str">
        <f t="shared" si="17"/>
        <v>30-39</v>
      </c>
    </row>
    <row r="541" spans="1:14" x14ac:dyDescent="0.3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  <c r="M541">
        <f t="shared" ca="1" si="16"/>
        <v>1</v>
      </c>
      <c r="N541" t="str">
        <f t="shared" si="17"/>
        <v>40-49</v>
      </c>
    </row>
    <row r="542" spans="1:14" x14ac:dyDescent="0.3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  <c r="M542">
        <f t="shared" ca="1" si="16"/>
        <v>2</v>
      </c>
      <c r="N542" t="str">
        <f t="shared" si="17"/>
        <v>40-49</v>
      </c>
    </row>
    <row r="543" spans="1:14" x14ac:dyDescent="0.3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  <c r="M543">
        <f t="shared" ca="1" si="16"/>
        <v>2</v>
      </c>
      <c r="N543" t="str">
        <f t="shared" si="17"/>
        <v>30-39</v>
      </c>
    </row>
    <row r="544" spans="1:14" x14ac:dyDescent="0.3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  <c r="M544">
        <f t="shared" ca="1" si="16"/>
        <v>3</v>
      </c>
      <c r="N544" t="str">
        <f t="shared" si="17"/>
        <v>40-49</v>
      </c>
    </row>
    <row r="545" spans="1:14" x14ac:dyDescent="0.3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  <c r="M545">
        <f t="shared" ca="1" si="16"/>
        <v>5</v>
      </c>
      <c r="N545" t="str">
        <f t="shared" si="17"/>
        <v>40-49</v>
      </c>
    </row>
    <row r="546" spans="1:14" x14ac:dyDescent="0.3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  <c r="M546">
        <f t="shared" ca="1" si="16"/>
        <v>5</v>
      </c>
      <c r="N546" t="str">
        <f t="shared" si="17"/>
        <v>30-39</v>
      </c>
    </row>
    <row r="547" spans="1:14" x14ac:dyDescent="0.3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  <c r="M547">
        <f t="shared" ca="1" si="16"/>
        <v>4</v>
      </c>
      <c r="N547" t="str">
        <f t="shared" si="17"/>
        <v>30-39</v>
      </c>
    </row>
    <row r="548" spans="1:14" x14ac:dyDescent="0.3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  <c r="M548">
        <f t="shared" ca="1" si="16"/>
        <v>1</v>
      </c>
      <c r="N548" t="str">
        <f t="shared" si="17"/>
        <v>30-39</v>
      </c>
    </row>
    <row r="549" spans="1:14" x14ac:dyDescent="0.3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  <c r="M549">
        <f t="shared" ca="1" si="16"/>
        <v>1</v>
      </c>
      <c r="N549" t="str">
        <f t="shared" si="17"/>
        <v>30-39</v>
      </c>
    </row>
    <row r="550" spans="1:14" x14ac:dyDescent="0.3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  <c r="M550">
        <f t="shared" ca="1" si="16"/>
        <v>5</v>
      </c>
      <c r="N550" t="str">
        <f t="shared" si="17"/>
        <v>30-39</v>
      </c>
    </row>
    <row r="551" spans="1:14" x14ac:dyDescent="0.3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  <c r="M551">
        <f t="shared" ca="1" si="16"/>
        <v>4</v>
      </c>
      <c r="N551" t="str">
        <f t="shared" si="17"/>
        <v>20-29</v>
      </c>
    </row>
    <row r="552" spans="1:14" x14ac:dyDescent="0.3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  <c r="M552">
        <f t="shared" ca="1" si="16"/>
        <v>2</v>
      </c>
      <c r="N552" t="str">
        <f t="shared" si="17"/>
        <v>30-39</v>
      </c>
    </row>
    <row r="553" spans="1:14" x14ac:dyDescent="0.3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  <c r="M553">
        <f t="shared" ca="1" si="16"/>
        <v>4</v>
      </c>
      <c r="N553" t="str">
        <f t="shared" si="17"/>
        <v>30-39</v>
      </c>
    </row>
    <row r="554" spans="1:14" x14ac:dyDescent="0.3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  <c r="M554">
        <f t="shared" ca="1" si="16"/>
        <v>3</v>
      </c>
      <c r="N554" t="str">
        <f t="shared" si="17"/>
        <v>30-39</v>
      </c>
    </row>
    <row r="555" spans="1:14" x14ac:dyDescent="0.3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  <c r="M555">
        <f t="shared" ca="1" si="16"/>
        <v>1</v>
      </c>
      <c r="N555" t="str">
        <f t="shared" si="17"/>
        <v>40-49</v>
      </c>
    </row>
    <row r="556" spans="1:14" x14ac:dyDescent="0.3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  <c r="M556">
        <f t="shared" ca="1" si="16"/>
        <v>3</v>
      </c>
      <c r="N556" t="str">
        <f t="shared" si="17"/>
        <v>30-39</v>
      </c>
    </row>
    <row r="557" spans="1:14" x14ac:dyDescent="0.3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  <c r="M557">
        <f t="shared" ca="1" si="16"/>
        <v>2</v>
      </c>
      <c r="N557" t="str">
        <f t="shared" si="17"/>
        <v>30-39</v>
      </c>
    </row>
    <row r="558" spans="1:14" x14ac:dyDescent="0.3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  <c r="M558">
        <f t="shared" ca="1" si="16"/>
        <v>2</v>
      </c>
      <c r="N558" t="str">
        <f t="shared" si="17"/>
        <v>40-49</v>
      </c>
    </row>
    <row r="559" spans="1:14" x14ac:dyDescent="0.3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  <c r="M559">
        <f t="shared" ca="1" si="16"/>
        <v>2</v>
      </c>
      <c r="N559" t="str">
        <f t="shared" si="17"/>
        <v>50-59</v>
      </c>
    </row>
    <row r="560" spans="1:14" x14ac:dyDescent="0.3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  <c r="M560">
        <f t="shared" ca="1" si="16"/>
        <v>6</v>
      </c>
      <c r="N560" t="str">
        <f t="shared" si="17"/>
        <v>50-59</v>
      </c>
    </row>
    <row r="561" spans="1:14" x14ac:dyDescent="0.3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  <c r="M561">
        <f t="shared" ca="1" si="16"/>
        <v>2</v>
      </c>
      <c r="N561" t="str">
        <f t="shared" si="17"/>
        <v>50-59</v>
      </c>
    </row>
    <row r="562" spans="1:14" x14ac:dyDescent="0.3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  <c r="M562">
        <f t="shared" ca="1" si="16"/>
        <v>1</v>
      </c>
      <c r="N562" t="str">
        <f t="shared" si="17"/>
        <v>40-49</v>
      </c>
    </row>
    <row r="563" spans="1:14" x14ac:dyDescent="0.3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  <c r="M563">
        <f t="shared" ca="1" si="16"/>
        <v>5</v>
      </c>
      <c r="N563" t="str">
        <f t="shared" si="17"/>
        <v>30-39</v>
      </c>
    </row>
    <row r="564" spans="1:14" x14ac:dyDescent="0.3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  <c r="M564">
        <f t="shared" ca="1" si="16"/>
        <v>2</v>
      </c>
      <c r="N564" t="str">
        <f t="shared" si="17"/>
        <v>40-49</v>
      </c>
    </row>
    <row r="565" spans="1:14" x14ac:dyDescent="0.3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  <c r="M565">
        <f t="shared" ca="1" si="16"/>
        <v>3</v>
      </c>
      <c r="N565" t="str">
        <f t="shared" si="17"/>
        <v>30-39</v>
      </c>
    </row>
    <row r="566" spans="1:14" x14ac:dyDescent="0.3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  <c r="M566">
        <f t="shared" ca="1" si="16"/>
        <v>5</v>
      </c>
      <c r="N566" t="str">
        <f t="shared" si="17"/>
        <v>30-39</v>
      </c>
    </row>
    <row r="567" spans="1:14" x14ac:dyDescent="0.3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  <c r="M567">
        <f t="shared" ca="1" si="16"/>
        <v>3</v>
      </c>
      <c r="N567" t="str">
        <f t="shared" si="17"/>
        <v>30-39</v>
      </c>
    </row>
    <row r="568" spans="1:14" x14ac:dyDescent="0.3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  <c r="M568">
        <f t="shared" ca="1" si="16"/>
        <v>1</v>
      </c>
      <c r="N568" t="str">
        <f t="shared" si="17"/>
        <v>30-39</v>
      </c>
    </row>
    <row r="569" spans="1:14" x14ac:dyDescent="0.3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  <c r="M569">
        <f t="shared" ca="1" si="16"/>
        <v>4</v>
      </c>
      <c r="N569" t="str">
        <f t="shared" si="17"/>
        <v>30-39</v>
      </c>
    </row>
    <row r="570" spans="1:14" x14ac:dyDescent="0.3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  <c r="M570">
        <f t="shared" ca="1" si="16"/>
        <v>5</v>
      </c>
      <c r="N570" t="str">
        <f t="shared" si="17"/>
        <v>30-39</v>
      </c>
    </row>
    <row r="571" spans="1:14" x14ac:dyDescent="0.3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  <c r="M571">
        <f t="shared" ca="1" si="16"/>
        <v>3</v>
      </c>
      <c r="N571" t="str">
        <f t="shared" si="17"/>
        <v>40-49</v>
      </c>
    </row>
    <row r="572" spans="1:14" x14ac:dyDescent="0.3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  <c r="M572">
        <f t="shared" ca="1" si="16"/>
        <v>3</v>
      </c>
      <c r="N572" t="str">
        <f t="shared" si="17"/>
        <v>50-59</v>
      </c>
    </row>
    <row r="573" spans="1:14" x14ac:dyDescent="0.3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  <c r="M573">
        <f t="shared" ca="1" si="16"/>
        <v>1</v>
      </c>
      <c r="N573" t="str">
        <f t="shared" si="17"/>
        <v>30-39</v>
      </c>
    </row>
    <row r="574" spans="1:14" x14ac:dyDescent="0.3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  <c r="M574">
        <f t="shared" ca="1" si="16"/>
        <v>2</v>
      </c>
      <c r="N574" t="str">
        <f t="shared" si="17"/>
        <v>40-49</v>
      </c>
    </row>
    <row r="575" spans="1:14" x14ac:dyDescent="0.3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  <c r="M575">
        <f t="shared" ca="1" si="16"/>
        <v>0</v>
      </c>
      <c r="N575" t="str">
        <f t="shared" si="17"/>
        <v>20-29</v>
      </c>
    </row>
    <row r="576" spans="1:14" x14ac:dyDescent="0.3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  <c r="M576">
        <f t="shared" ca="1" si="16"/>
        <v>3</v>
      </c>
      <c r="N576" t="str">
        <f t="shared" si="17"/>
        <v>40-49</v>
      </c>
    </row>
    <row r="577" spans="1:14" x14ac:dyDescent="0.3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  <c r="M577">
        <f t="shared" ca="1" si="16"/>
        <v>5</v>
      </c>
      <c r="N577" t="str">
        <f t="shared" si="17"/>
        <v>40-49</v>
      </c>
    </row>
    <row r="578" spans="1:14" x14ac:dyDescent="0.3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  <c r="M578">
        <f t="shared" ref="M578:M641" ca="1" si="18">IF(I578="",DATEDIF(H578,TODAY(),"Y"),DATEDIF(H578,I578,"Y"))</f>
        <v>5</v>
      </c>
      <c r="N578" t="str">
        <f t="shared" ref="N578:N641" si="19">IF(D578&lt;30,"20-29",IF(D578&lt;40,"30-39",IF(D578&lt;50,"40-49",IF(D578&lt;60,"50-59","60+"))))</f>
        <v>30-39</v>
      </c>
    </row>
    <row r="579" spans="1:14" x14ac:dyDescent="0.3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  <c r="M579">
        <f t="shared" ca="1" si="18"/>
        <v>2</v>
      </c>
      <c r="N579" t="str">
        <f t="shared" si="19"/>
        <v>40-49</v>
      </c>
    </row>
    <row r="580" spans="1:14" x14ac:dyDescent="0.3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  <c r="M580">
        <f t="shared" ca="1" si="18"/>
        <v>1</v>
      </c>
      <c r="N580" t="str">
        <f t="shared" si="19"/>
        <v>40-49</v>
      </c>
    </row>
    <row r="581" spans="1:14" x14ac:dyDescent="0.3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  <c r="M581">
        <f t="shared" ca="1" si="18"/>
        <v>1</v>
      </c>
      <c r="N581" t="str">
        <f t="shared" si="19"/>
        <v>50-59</v>
      </c>
    </row>
    <row r="582" spans="1:14" x14ac:dyDescent="0.3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  <c r="M582">
        <f t="shared" ca="1" si="18"/>
        <v>5</v>
      </c>
      <c r="N582" t="str">
        <f t="shared" si="19"/>
        <v>30-39</v>
      </c>
    </row>
    <row r="583" spans="1:14" x14ac:dyDescent="0.3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  <c r="M583">
        <f t="shared" ca="1" si="18"/>
        <v>6</v>
      </c>
      <c r="N583" t="str">
        <f t="shared" si="19"/>
        <v>50-59</v>
      </c>
    </row>
    <row r="584" spans="1:14" x14ac:dyDescent="0.3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  <c r="M584">
        <f t="shared" ca="1" si="18"/>
        <v>2</v>
      </c>
      <c r="N584" t="str">
        <f t="shared" si="19"/>
        <v>30-39</v>
      </c>
    </row>
    <row r="585" spans="1:14" x14ac:dyDescent="0.3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  <c r="M585">
        <f t="shared" ca="1" si="18"/>
        <v>4</v>
      </c>
      <c r="N585" t="str">
        <f t="shared" si="19"/>
        <v>30-39</v>
      </c>
    </row>
    <row r="586" spans="1:14" x14ac:dyDescent="0.3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  <c r="M586">
        <f t="shared" ca="1" si="18"/>
        <v>3</v>
      </c>
      <c r="N586" t="str">
        <f t="shared" si="19"/>
        <v>30-39</v>
      </c>
    </row>
    <row r="587" spans="1:14" x14ac:dyDescent="0.3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  <c r="M587">
        <f t="shared" ca="1" si="18"/>
        <v>1</v>
      </c>
      <c r="N587" t="str">
        <f t="shared" si="19"/>
        <v>30-39</v>
      </c>
    </row>
    <row r="588" spans="1:14" x14ac:dyDescent="0.3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  <c r="M588">
        <f t="shared" ca="1" si="18"/>
        <v>3</v>
      </c>
      <c r="N588" t="str">
        <f t="shared" si="19"/>
        <v>50-59</v>
      </c>
    </row>
    <row r="589" spans="1:14" x14ac:dyDescent="0.3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  <c r="M589">
        <f t="shared" ca="1" si="18"/>
        <v>1</v>
      </c>
      <c r="N589" t="str">
        <f t="shared" si="19"/>
        <v>30-39</v>
      </c>
    </row>
    <row r="590" spans="1:14" x14ac:dyDescent="0.3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  <c r="M590">
        <f t="shared" ca="1" si="18"/>
        <v>2</v>
      </c>
      <c r="N590" t="str">
        <f t="shared" si="19"/>
        <v>40-49</v>
      </c>
    </row>
    <row r="591" spans="1:14" x14ac:dyDescent="0.3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  <c r="M591">
        <f t="shared" ca="1" si="18"/>
        <v>2</v>
      </c>
      <c r="N591" t="str">
        <f t="shared" si="19"/>
        <v>30-39</v>
      </c>
    </row>
    <row r="592" spans="1:14" x14ac:dyDescent="0.3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  <c r="M592">
        <f t="shared" ca="1" si="18"/>
        <v>6</v>
      </c>
      <c r="N592" t="str">
        <f t="shared" si="19"/>
        <v>30-39</v>
      </c>
    </row>
    <row r="593" spans="1:14" x14ac:dyDescent="0.3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  <c r="M593">
        <f t="shared" ca="1" si="18"/>
        <v>2</v>
      </c>
      <c r="N593" t="str">
        <f t="shared" si="19"/>
        <v>40-49</v>
      </c>
    </row>
    <row r="594" spans="1:14" x14ac:dyDescent="0.3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  <c r="M594">
        <f t="shared" ca="1" si="18"/>
        <v>1</v>
      </c>
      <c r="N594" t="str">
        <f t="shared" si="19"/>
        <v>30-39</v>
      </c>
    </row>
    <row r="595" spans="1:14" x14ac:dyDescent="0.3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  <c r="M595">
        <f t="shared" ca="1" si="18"/>
        <v>5</v>
      </c>
      <c r="N595" t="str">
        <f t="shared" si="19"/>
        <v>40-49</v>
      </c>
    </row>
    <row r="596" spans="1:14" x14ac:dyDescent="0.3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  <c r="M596">
        <f t="shared" ca="1" si="18"/>
        <v>2</v>
      </c>
      <c r="N596" t="str">
        <f t="shared" si="19"/>
        <v>50-59</v>
      </c>
    </row>
    <row r="597" spans="1:14" x14ac:dyDescent="0.3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  <c r="M597">
        <f t="shared" ca="1" si="18"/>
        <v>1</v>
      </c>
      <c r="N597" t="str">
        <f t="shared" si="19"/>
        <v>40-49</v>
      </c>
    </row>
    <row r="598" spans="1:14" x14ac:dyDescent="0.3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  <c r="M598">
        <f t="shared" ca="1" si="18"/>
        <v>5</v>
      </c>
      <c r="N598" t="str">
        <f t="shared" si="19"/>
        <v>30-39</v>
      </c>
    </row>
    <row r="599" spans="1:14" x14ac:dyDescent="0.3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  <c r="M599">
        <f t="shared" ca="1" si="18"/>
        <v>3</v>
      </c>
      <c r="N599" t="str">
        <f t="shared" si="19"/>
        <v>50-59</v>
      </c>
    </row>
    <row r="600" spans="1:14" x14ac:dyDescent="0.3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  <c r="M600">
        <f t="shared" ca="1" si="18"/>
        <v>1</v>
      </c>
      <c r="N600" t="str">
        <f t="shared" si="19"/>
        <v>30-39</v>
      </c>
    </row>
    <row r="601" spans="1:14" x14ac:dyDescent="0.3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  <c r="M601">
        <f t="shared" ca="1" si="18"/>
        <v>4</v>
      </c>
      <c r="N601" t="str">
        <f t="shared" si="19"/>
        <v>30-39</v>
      </c>
    </row>
    <row r="602" spans="1:14" x14ac:dyDescent="0.3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  <c r="M602">
        <f t="shared" ca="1" si="18"/>
        <v>5</v>
      </c>
      <c r="N602" t="str">
        <f t="shared" si="19"/>
        <v>40-49</v>
      </c>
    </row>
    <row r="603" spans="1:14" x14ac:dyDescent="0.3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  <c r="M603">
        <f t="shared" ca="1" si="18"/>
        <v>3</v>
      </c>
      <c r="N603" t="str">
        <f t="shared" si="19"/>
        <v>50-59</v>
      </c>
    </row>
    <row r="604" spans="1:14" x14ac:dyDescent="0.3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  <c r="M604">
        <f t="shared" ca="1" si="18"/>
        <v>3</v>
      </c>
      <c r="N604" t="str">
        <f t="shared" si="19"/>
        <v>30-39</v>
      </c>
    </row>
    <row r="605" spans="1:14" x14ac:dyDescent="0.3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  <c r="M605">
        <f t="shared" ca="1" si="18"/>
        <v>1</v>
      </c>
      <c r="N605" t="str">
        <f t="shared" si="19"/>
        <v>40-49</v>
      </c>
    </row>
    <row r="606" spans="1:14" x14ac:dyDescent="0.3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  <c r="M606">
        <f t="shared" ca="1" si="18"/>
        <v>0</v>
      </c>
      <c r="N606" t="str">
        <f t="shared" si="19"/>
        <v>20-29</v>
      </c>
    </row>
    <row r="607" spans="1:14" x14ac:dyDescent="0.3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  <c r="M607">
        <f t="shared" ca="1" si="18"/>
        <v>2</v>
      </c>
      <c r="N607" t="str">
        <f t="shared" si="19"/>
        <v>40-49</v>
      </c>
    </row>
    <row r="608" spans="1:14" x14ac:dyDescent="0.3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  <c r="M608">
        <f t="shared" ca="1" si="18"/>
        <v>3</v>
      </c>
      <c r="N608" t="str">
        <f t="shared" si="19"/>
        <v>40-49</v>
      </c>
    </row>
    <row r="609" spans="1:14" x14ac:dyDescent="0.3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  <c r="M609">
        <f t="shared" ca="1" si="18"/>
        <v>2</v>
      </c>
      <c r="N609" t="str">
        <f t="shared" si="19"/>
        <v>30-39</v>
      </c>
    </row>
    <row r="610" spans="1:14" x14ac:dyDescent="0.3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  <c r="M610">
        <f t="shared" ca="1" si="18"/>
        <v>5</v>
      </c>
      <c r="N610" t="str">
        <f t="shared" si="19"/>
        <v>40-49</v>
      </c>
    </row>
    <row r="611" spans="1:14" x14ac:dyDescent="0.3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  <c r="M611">
        <f t="shared" ca="1" si="18"/>
        <v>4</v>
      </c>
      <c r="N611" t="str">
        <f t="shared" si="19"/>
        <v>40-49</v>
      </c>
    </row>
    <row r="612" spans="1:14" x14ac:dyDescent="0.3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  <c r="M612">
        <f t="shared" ca="1" si="18"/>
        <v>1</v>
      </c>
      <c r="N612" t="str">
        <f t="shared" si="19"/>
        <v>50-59</v>
      </c>
    </row>
    <row r="613" spans="1:14" x14ac:dyDescent="0.3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  <c r="M613">
        <f t="shared" ca="1" si="18"/>
        <v>1</v>
      </c>
      <c r="N613" t="str">
        <f t="shared" si="19"/>
        <v>30-39</v>
      </c>
    </row>
    <row r="614" spans="1:14" x14ac:dyDescent="0.3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  <c r="M614">
        <f t="shared" ca="1" si="18"/>
        <v>5</v>
      </c>
      <c r="N614" t="str">
        <f t="shared" si="19"/>
        <v>40-49</v>
      </c>
    </row>
    <row r="615" spans="1:14" x14ac:dyDescent="0.3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  <c r="M615">
        <f t="shared" ca="1" si="18"/>
        <v>6</v>
      </c>
      <c r="N615" t="str">
        <f t="shared" si="19"/>
        <v>30-39</v>
      </c>
    </row>
    <row r="616" spans="1:14" x14ac:dyDescent="0.3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  <c r="M616">
        <f t="shared" ca="1" si="18"/>
        <v>2</v>
      </c>
      <c r="N616" t="str">
        <f t="shared" si="19"/>
        <v>40-49</v>
      </c>
    </row>
    <row r="617" spans="1:14" x14ac:dyDescent="0.3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  <c r="M617">
        <f t="shared" ca="1" si="18"/>
        <v>4</v>
      </c>
      <c r="N617" t="str">
        <f t="shared" si="19"/>
        <v>40-49</v>
      </c>
    </row>
    <row r="618" spans="1:14" x14ac:dyDescent="0.3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  <c r="M618">
        <f t="shared" ca="1" si="18"/>
        <v>3</v>
      </c>
      <c r="N618" t="str">
        <f t="shared" si="19"/>
        <v>40-49</v>
      </c>
    </row>
    <row r="619" spans="1:14" x14ac:dyDescent="0.3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  <c r="M619">
        <f t="shared" ca="1" si="18"/>
        <v>1</v>
      </c>
      <c r="N619" t="str">
        <f t="shared" si="19"/>
        <v>40-49</v>
      </c>
    </row>
    <row r="620" spans="1:14" x14ac:dyDescent="0.3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  <c r="M620">
        <f t="shared" ca="1" si="18"/>
        <v>3</v>
      </c>
      <c r="N620" t="str">
        <f t="shared" si="19"/>
        <v>30-39</v>
      </c>
    </row>
    <row r="621" spans="1:14" x14ac:dyDescent="0.3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  <c r="M621">
        <f t="shared" ca="1" si="18"/>
        <v>2</v>
      </c>
      <c r="N621" t="str">
        <f t="shared" si="19"/>
        <v>40-49</v>
      </c>
    </row>
    <row r="622" spans="1:14" x14ac:dyDescent="0.3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  <c r="M622">
        <f t="shared" ca="1" si="18"/>
        <v>0</v>
      </c>
      <c r="N622" t="str">
        <f t="shared" si="19"/>
        <v>30-39</v>
      </c>
    </row>
    <row r="623" spans="1:14" x14ac:dyDescent="0.3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  <c r="M623">
        <f t="shared" ca="1" si="18"/>
        <v>0</v>
      </c>
      <c r="N623" t="str">
        <f t="shared" si="19"/>
        <v>30-39</v>
      </c>
    </row>
    <row r="624" spans="1:14" x14ac:dyDescent="0.3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  <c r="M624">
        <f t="shared" ca="1" si="18"/>
        <v>3</v>
      </c>
      <c r="N624" t="str">
        <f t="shared" si="19"/>
        <v>40-49</v>
      </c>
    </row>
    <row r="625" spans="1:14" x14ac:dyDescent="0.3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  <c r="M625">
        <f t="shared" ca="1" si="18"/>
        <v>2</v>
      </c>
      <c r="N625" t="str">
        <f t="shared" si="19"/>
        <v>50-59</v>
      </c>
    </row>
    <row r="626" spans="1:14" x14ac:dyDescent="0.3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  <c r="M626">
        <f t="shared" ca="1" si="18"/>
        <v>1</v>
      </c>
      <c r="N626" t="str">
        <f t="shared" si="19"/>
        <v>50-59</v>
      </c>
    </row>
    <row r="627" spans="1:14" x14ac:dyDescent="0.3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  <c r="M627">
        <f t="shared" ca="1" si="18"/>
        <v>5</v>
      </c>
      <c r="N627" t="str">
        <f t="shared" si="19"/>
        <v>50-59</v>
      </c>
    </row>
    <row r="628" spans="1:14" x14ac:dyDescent="0.3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  <c r="M628">
        <f t="shared" ca="1" si="18"/>
        <v>2</v>
      </c>
      <c r="N628" t="str">
        <f t="shared" si="19"/>
        <v>40-49</v>
      </c>
    </row>
    <row r="629" spans="1:14" x14ac:dyDescent="0.3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  <c r="M629">
        <f t="shared" ca="1" si="18"/>
        <v>1</v>
      </c>
      <c r="N629" t="str">
        <f t="shared" si="19"/>
        <v>30-39</v>
      </c>
    </row>
    <row r="630" spans="1:14" x14ac:dyDescent="0.3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  <c r="M630">
        <f t="shared" ca="1" si="18"/>
        <v>5</v>
      </c>
      <c r="N630" t="str">
        <f t="shared" si="19"/>
        <v>40-49</v>
      </c>
    </row>
    <row r="631" spans="1:14" x14ac:dyDescent="0.3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  <c r="M631">
        <f t="shared" ca="1" si="18"/>
        <v>0</v>
      </c>
      <c r="N631" t="str">
        <f t="shared" si="19"/>
        <v>30-39</v>
      </c>
    </row>
    <row r="632" spans="1:14" x14ac:dyDescent="0.3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  <c r="M632">
        <f t="shared" ca="1" si="18"/>
        <v>0</v>
      </c>
      <c r="N632" t="str">
        <f t="shared" si="19"/>
        <v>30-39</v>
      </c>
    </row>
    <row r="633" spans="1:14" x14ac:dyDescent="0.3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  <c r="M633">
        <f t="shared" ca="1" si="18"/>
        <v>4</v>
      </c>
      <c r="N633" t="str">
        <f t="shared" si="19"/>
        <v>30-39</v>
      </c>
    </row>
    <row r="634" spans="1:14" x14ac:dyDescent="0.3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  <c r="M634">
        <f t="shared" ca="1" si="18"/>
        <v>5</v>
      </c>
      <c r="N634" t="str">
        <f t="shared" si="19"/>
        <v>50-59</v>
      </c>
    </row>
    <row r="635" spans="1:14" x14ac:dyDescent="0.3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  <c r="M635">
        <f t="shared" ca="1" si="18"/>
        <v>3</v>
      </c>
      <c r="N635" t="str">
        <f t="shared" si="19"/>
        <v>30-39</v>
      </c>
    </row>
    <row r="636" spans="1:14" x14ac:dyDescent="0.3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  <c r="M636">
        <f t="shared" ca="1" si="18"/>
        <v>1</v>
      </c>
      <c r="N636" t="str">
        <f t="shared" si="19"/>
        <v>30-39</v>
      </c>
    </row>
    <row r="637" spans="1:14" x14ac:dyDescent="0.3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  <c r="M637">
        <f t="shared" ca="1" si="18"/>
        <v>1</v>
      </c>
      <c r="N637" t="str">
        <f t="shared" si="19"/>
        <v>40-49</v>
      </c>
    </row>
    <row r="638" spans="1:14" x14ac:dyDescent="0.3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  <c r="M638">
        <f t="shared" ca="1" si="18"/>
        <v>0</v>
      </c>
      <c r="N638" t="str">
        <f t="shared" si="19"/>
        <v>50-59</v>
      </c>
    </row>
    <row r="639" spans="1:14" x14ac:dyDescent="0.3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  <c r="M639">
        <f t="shared" ca="1" si="18"/>
        <v>2</v>
      </c>
      <c r="N639" t="str">
        <f t="shared" si="19"/>
        <v>30-39</v>
      </c>
    </row>
    <row r="640" spans="1:14" x14ac:dyDescent="0.3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  <c r="M640">
        <f t="shared" ca="1" si="18"/>
        <v>3</v>
      </c>
      <c r="N640" t="str">
        <f t="shared" si="19"/>
        <v>40-49</v>
      </c>
    </row>
    <row r="641" spans="1:14" x14ac:dyDescent="0.3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  <c r="M641">
        <f t="shared" ca="1" si="18"/>
        <v>2</v>
      </c>
      <c r="N641" t="str">
        <f t="shared" si="19"/>
        <v>20-29</v>
      </c>
    </row>
    <row r="642" spans="1:14" x14ac:dyDescent="0.3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  <c r="M642">
        <f t="shared" ref="M642:M705" ca="1" si="20">IF(I642="",DATEDIF(H642,TODAY(),"Y"),DATEDIF(H642,I642,"Y"))</f>
        <v>2</v>
      </c>
      <c r="N642" t="str">
        <f t="shared" ref="N642:N705" si="21">IF(D642&lt;30,"20-29",IF(D642&lt;40,"30-39",IF(D642&lt;50,"40-49",IF(D642&lt;60,"50-59","60+"))))</f>
        <v>40-49</v>
      </c>
    </row>
    <row r="643" spans="1:14" x14ac:dyDescent="0.3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  <c r="M643">
        <f t="shared" ca="1" si="20"/>
        <v>4</v>
      </c>
      <c r="N643" t="str">
        <f t="shared" si="21"/>
        <v>40-49</v>
      </c>
    </row>
    <row r="644" spans="1:14" x14ac:dyDescent="0.3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  <c r="M644">
        <f t="shared" ca="1" si="20"/>
        <v>4</v>
      </c>
      <c r="N644" t="str">
        <f t="shared" si="21"/>
        <v>30-39</v>
      </c>
    </row>
    <row r="645" spans="1:14" x14ac:dyDescent="0.3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  <c r="M645">
        <f t="shared" ca="1" si="20"/>
        <v>1</v>
      </c>
      <c r="N645" t="str">
        <f t="shared" si="21"/>
        <v>40-49</v>
      </c>
    </row>
    <row r="646" spans="1:14" x14ac:dyDescent="0.3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  <c r="M646">
        <f t="shared" ca="1" si="20"/>
        <v>5</v>
      </c>
      <c r="N646" t="str">
        <f t="shared" si="21"/>
        <v>40-49</v>
      </c>
    </row>
    <row r="647" spans="1:14" x14ac:dyDescent="0.3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  <c r="M647">
        <f t="shared" ca="1" si="20"/>
        <v>6</v>
      </c>
      <c r="N647" t="str">
        <f t="shared" si="21"/>
        <v>40-49</v>
      </c>
    </row>
    <row r="648" spans="1:14" x14ac:dyDescent="0.3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  <c r="M648">
        <f t="shared" ca="1" si="20"/>
        <v>2</v>
      </c>
      <c r="N648" t="str">
        <f t="shared" si="21"/>
        <v>30-39</v>
      </c>
    </row>
    <row r="649" spans="1:14" x14ac:dyDescent="0.3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  <c r="M649">
        <f t="shared" ca="1" si="20"/>
        <v>4</v>
      </c>
      <c r="N649" t="str">
        <f t="shared" si="21"/>
        <v>40-49</v>
      </c>
    </row>
    <row r="650" spans="1:14" x14ac:dyDescent="0.3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  <c r="M650">
        <f t="shared" ca="1" si="20"/>
        <v>3</v>
      </c>
      <c r="N650" t="str">
        <f t="shared" si="21"/>
        <v>30-39</v>
      </c>
    </row>
    <row r="651" spans="1:14" x14ac:dyDescent="0.3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  <c r="M651">
        <f t="shared" ca="1" si="20"/>
        <v>1</v>
      </c>
      <c r="N651" t="str">
        <f t="shared" si="21"/>
        <v>40-49</v>
      </c>
    </row>
    <row r="652" spans="1:14" x14ac:dyDescent="0.3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  <c r="M652">
        <f t="shared" ca="1" si="20"/>
        <v>3</v>
      </c>
      <c r="N652" t="str">
        <f t="shared" si="21"/>
        <v>40-49</v>
      </c>
    </row>
    <row r="653" spans="1:14" x14ac:dyDescent="0.3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  <c r="M653">
        <f t="shared" ca="1" si="20"/>
        <v>2</v>
      </c>
      <c r="N653" t="str">
        <f t="shared" si="21"/>
        <v>50-59</v>
      </c>
    </row>
    <row r="654" spans="1:14" x14ac:dyDescent="0.3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  <c r="M654">
        <f t="shared" ca="1" si="20"/>
        <v>2</v>
      </c>
      <c r="N654" t="str">
        <f t="shared" si="21"/>
        <v>40-49</v>
      </c>
    </row>
    <row r="655" spans="1:14" x14ac:dyDescent="0.3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  <c r="M655">
        <f t="shared" ca="1" si="20"/>
        <v>2</v>
      </c>
      <c r="N655" t="str">
        <f t="shared" si="21"/>
        <v>30-39</v>
      </c>
    </row>
    <row r="656" spans="1:14" x14ac:dyDescent="0.3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  <c r="M656">
        <f t="shared" ca="1" si="20"/>
        <v>6</v>
      </c>
      <c r="N656" t="str">
        <f t="shared" si="21"/>
        <v>40-49</v>
      </c>
    </row>
    <row r="657" spans="1:14" x14ac:dyDescent="0.3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  <c r="M657">
        <f t="shared" ca="1" si="20"/>
        <v>2</v>
      </c>
      <c r="N657" t="str">
        <f t="shared" si="21"/>
        <v>30-39</v>
      </c>
    </row>
    <row r="658" spans="1:14" x14ac:dyDescent="0.3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  <c r="M658">
        <f t="shared" ca="1" si="20"/>
        <v>1</v>
      </c>
      <c r="N658" t="str">
        <f t="shared" si="21"/>
        <v>30-39</v>
      </c>
    </row>
    <row r="659" spans="1:14" x14ac:dyDescent="0.3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  <c r="M659">
        <f t="shared" ca="1" si="20"/>
        <v>5</v>
      </c>
      <c r="N659" t="str">
        <f t="shared" si="21"/>
        <v>40-49</v>
      </c>
    </row>
    <row r="660" spans="1:14" x14ac:dyDescent="0.3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  <c r="M660">
        <f t="shared" ca="1" si="20"/>
        <v>2</v>
      </c>
      <c r="N660" t="str">
        <f t="shared" si="21"/>
        <v>50-59</v>
      </c>
    </row>
    <row r="661" spans="1:14" x14ac:dyDescent="0.3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  <c r="M661">
        <f t="shared" ca="1" si="20"/>
        <v>1</v>
      </c>
      <c r="N661" t="str">
        <f t="shared" si="21"/>
        <v>50-59</v>
      </c>
    </row>
    <row r="662" spans="1:14" x14ac:dyDescent="0.3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  <c r="M662">
        <f t="shared" ca="1" si="20"/>
        <v>5</v>
      </c>
      <c r="N662" t="str">
        <f t="shared" si="21"/>
        <v>50-59</v>
      </c>
    </row>
    <row r="663" spans="1:14" x14ac:dyDescent="0.3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  <c r="M663">
        <f t="shared" ca="1" si="20"/>
        <v>3</v>
      </c>
      <c r="N663" t="str">
        <f t="shared" si="21"/>
        <v>40-49</v>
      </c>
    </row>
    <row r="664" spans="1:14" x14ac:dyDescent="0.3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  <c r="M664">
        <f t="shared" ca="1" si="20"/>
        <v>1</v>
      </c>
      <c r="N664" t="str">
        <f t="shared" si="21"/>
        <v>30-39</v>
      </c>
    </row>
    <row r="665" spans="1:14" x14ac:dyDescent="0.3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  <c r="M665">
        <f t="shared" ca="1" si="20"/>
        <v>4</v>
      </c>
      <c r="N665" t="str">
        <f t="shared" si="21"/>
        <v>40-49</v>
      </c>
    </row>
    <row r="666" spans="1:14" x14ac:dyDescent="0.3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  <c r="M666">
        <f t="shared" ca="1" si="20"/>
        <v>5</v>
      </c>
      <c r="N666" t="str">
        <f t="shared" si="21"/>
        <v>50-59</v>
      </c>
    </row>
    <row r="667" spans="1:14" x14ac:dyDescent="0.3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  <c r="M667">
        <f t="shared" ca="1" si="20"/>
        <v>3</v>
      </c>
      <c r="N667" t="str">
        <f t="shared" si="21"/>
        <v>50-59</v>
      </c>
    </row>
    <row r="668" spans="1:14" x14ac:dyDescent="0.3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  <c r="M668">
        <f t="shared" ca="1" si="20"/>
        <v>3</v>
      </c>
      <c r="N668" t="str">
        <f t="shared" si="21"/>
        <v>30-39</v>
      </c>
    </row>
    <row r="669" spans="1:14" x14ac:dyDescent="0.3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  <c r="M669">
        <f t="shared" ca="1" si="20"/>
        <v>1</v>
      </c>
      <c r="N669" t="str">
        <f t="shared" si="21"/>
        <v>40-49</v>
      </c>
    </row>
    <row r="670" spans="1:14" x14ac:dyDescent="0.3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  <c r="M670">
        <f t="shared" ca="1" si="20"/>
        <v>2</v>
      </c>
      <c r="N670" t="str">
        <f t="shared" si="21"/>
        <v>30-39</v>
      </c>
    </row>
    <row r="671" spans="1:14" x14ac:dyDescent="0.3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  <c r="M671">
        <f t="shared" ca="1" si="20"/>
        <v>2</v>
      </c>
      <c r="N671" t="str">
        <f t="shared" si="21"/>
        <v>30-39</v>
      </c>
    </row>
    <row r="672" spans="1:14" x14ac:dyDescent="0.3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  <c r="M672">
        <f t="shared" ca="1" si="20"/>
        <v>2</v>
      </c>
      <c r="N672" t="str">
        <f t="shared" si="21"/>
        <v>40-49</v>
      </c>
    </row>
    <row r="673" spans="1:14" x14ac:dyDescent="0.3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  <c r="M673">
        <f t="shared" ca="1" si="20"/>
        <v>3</v>
      </c>
      <c r="N673" t="str">
        <f t="shared" si="21"/>
        <v>50-59</v>
      </c>
    </row>
    <row r="674" spans="1:14" x14ac:dyDescent="0.3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  <c r="M674">
        <f t="shared" ca="1" si="20"/>
        <v>5</v>
      </c>
      <c r="N674" t="str">
        <f t="shared" si="21"/>
        <v>30-39</v>
      </c>
    </row>
    <row r="675" spans="1:14" x14ac:dyDescent="0.3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  <c r="M675">
        <f t="shared" ca="1" si="20"/>
        <v>4</v>
      </c>
      <c r="N675" t="str">
        <f t="shared" si="21"/>
        <v>40-49</v>
      </c>
    </row>
    <row r="676" spans="1:14" x14ac:dyDescent="0.3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  <c r="M676">
        <f t="shared" ca="1" si="20"/>
        <v>1</v>
      </c>
      <c r="N676" t="str">
        <f t="shared" si="21"/>
        <v>50-59</v>
      </c>
    </row>
    <row r="677" spans="1:14" x14ac:dyDescent="0.3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  <c r="M677">
        <f t="shared" ca="1" si="20"/>
        <v>2</v>
      </c>
      <c r="N677" t="str">
        <f t="shared" si="21"/>
        <v>40-49</v>
      </c>
    </row>
    <row r="678" spans="1:14" x14ac:dyDescent="0.3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  <c r="M678">
        <f t="shared" ca="1" si="20"/>
        <v>5</v>
      </c>
      <c r="N678" t="str">
        <f t="shared" si="21"/>
        <v>40-49</v>
      </c>
    </row>
    <row r="679" spans="1:14" x14ac:dyDescent="0.3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  <c r="M679">
        <f t="shared" ca="1" si="20"/>
        <v>6</v>
      </c>
      <c r="N679" t="str">
        <f t="shared" si="21"/>
        <v>30-39</v>
      </c>
    </row>
    <row r="680" spans="1:14" x14ac:dyDescent="0.3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  <c r="M680">
        <f t="shared" ca="1" si="20"/>
        <v>2</v>
      </c>
      <c r="N680" t="str">
        <f t="shared" si="21"/>
        <v>40-49</v>
      </c>
    </row>
    <row r="681" spans="1:14" x14ac:dyDescent="0.3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  <c r="M681">
        <f t="shared" ca="1" si="20"/>
        <v>4</v>
      </c>
      <c r="N681" t="str">
        <f t="shared" si="21"/>
        <v>40-49</v>
      </c>
    </row>
    <row r="682" spans="1:14" x14ac:dyDescent="0.3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  <c r="M682">
        <f t="shared" ca="1" si="20"/>
        <v>1</v>
      </c>
      <c r="N682" t="str">
        <f t="shared" si="21"/>
        <v>20-29</v>
      </c>
    </row>
    <row r="683" spans="1:14" x14ac:dyDescent="0.3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  <c r="M683">
        <f t="shared" ca="1" si="20"/>
        <v>2</v>
      </c>
      <c r="N683" t="str">
        <f t="shared" si="21"/>
        <v>30-39</v>
      </c>
    </row>
    <row r="684" spans="1:14" x14ac:dyDescent="0.3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  <c r="M684">
        <f t="shared" ca="1" si="20"/>
        <v>1</v>
      </c>
      <c r="N684" t="str">
        <f t="shared" si="21"/>
        <v>20-29</v>
      </c>
    </row>
    <row r="685" spans="1:14" x14ac:dyDescent="0.3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  <c r="M685">
        <f t="shared" ca="1" si="20"/>
        <v>4</v>
      </c>
      <c r="N685" t="str">
        <f t="shared" si="21"/>
        <v>30-39</v>
      </c>
    </row>
    <row r="686" spans="1:14" x14ac:dyDescent="0.3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  <c r="M686">
        <f t="shared" ca="1" si="20"/>
        <v>2</v>
      </c>
      <c r="N686" t="str">
        <f t="shared" si="21"/>
        <v>50-59</v>
      </c>
    </row>
    <row r="687" spans="1:14" x14ac:dyDescent="0.3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  <c r="M687">
        <f t="shared" ca="1" si="20"/>
        <v>2</v>
      </c>
      <c r="N687" t="str">
        <f t="shared" si="21"/>
        <v>40-49</v>
      </c>
    </row>
    <row r="688" spans="1:14" x14ac:dyDescent="0.3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  <c r="M688">
        <f t="shared" ca="1" si="20"/>
        <v>6</v>
      </c>
      <c r="N688" t="str">
        <f t="shared" si="21"/>
        <v>50-59</v>
      </c>
    </row>
    <row r="689" spans="1:14" x14ac:dyDescent="0.3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  <c r="M689">
        <f t="shared" ca="1" si="20"/>
        <v>2</v>
      </c>
      <c r="N689" t="str">
        <f t="shared" si="21"/>
        <v>40-49</v>
      </c>
    </row>
    <row r="690" spans="1:14" x14ac:dyDescent="0.3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  <c r="M690">
        <f t="shared" ca="1" si="20"/>
        <v>1</v>
      </c>
      <c r="N690" t="str">
        <f t="shared" si="21"/>
        <v>30-39</v>
      </c>
    </row>
    <row r="691" spans="1:14" x14ac:dyDescent="0.3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  <c r="M691">
        <f t="shared" ca="1" si="20"/>
        <v>5</v>
      </c>
      <c r="N691" t="str">
        <f t="shared" si="21"/>
        <v>40-49</v>
      </c>
    </row>
    <row r="692" spans="1:14" x14ac:dyDescent="0.3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  <c r="M692">
        <f t="shared" ca="1" si="20"/>
        <v>2</v>
      </c>
      <c r="N692" t="str">
        <f t="shared" si="21"/>
        <v>30-39</v>
      </c>
    </row>
    <row r="693" spans="1:14" x14ac:dyDescent="0.3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  <c r="M693">
        <f t="shared" ca="1" si="20"/>
        <v>1</v>
      </c>
      <c r="N693" t="str">
        <f t="shared" si="21"/>
        <v>50-59</v>
      </c>
    </row>
    <row r="694" spans="1:14" x14ac:dyDescent="0.3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  <c r="M694">
        <f t="shared" ca="1" si="20"/>
        <v>3</v>
      </c>
      <c r="N694" t="str">
        <f t="shared" si="21"/>
        <v>50-59</v>
      </c>
    </row>
    <row r="695" spans="1:14" x14ac:dyDescent="0.3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  <c r="M695">
        <f t="shared" ca="1" si="20"/>
        <v>1</v>
      </c>
      <c r="N695" t="str">
        <f t="shared" si="21"/>
        <v>50-59</v>
      </c>
    </row>
    <row r="696" spans="1:14" x14ac:dyDescent="0.3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  <c r="M696">
        <f t="shared" ca="1" si="20"/>
        <v>2</v>
      </c>
      <c r="N696" t="str">
        <f t="shared" si="21"/>
        <v>40-49</v>
      </c>
    </row>
    <row r="697" spans="1:14" x14ac:dyDescent="0.3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  <c r="M697">
        <f t="shared" ca="1" si="20"/>
        <v>2</v>
      </c>
      <c r="N697" t="str">
        <f t="shared" si="21"/>
        <v>30-39</v>
      </c>
    </row>
    <row r="698" spans="1:14" x14ac:dyDescent="0.3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  <c r="M698">
        <f t="shared" ca="1" si="20"/>
        <v>6</v>
      </c>
      <c r="N698" t="str">
        <f t="shared" si="21"/>
        <v>40-49</v>
      </c>
    </row>
    <row r="699" spans="1:14" x14ac:dyDescent="0.3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  <c r="M699">
        <f t="shared" ca="1" si="20"/>
        <v>2</v>
      </c>
      <c r="N699" t="str">
        <f t="shared" si="21"/>
        <v>40-49</v>
      </c>
    </row>
    <row r="700" spans="1:14" x14ac:dyDescent="0.3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  <c r="M700">
        <f t="shared" ca="1" si="20"/>
        <v>1</v>
      </c>
      <c r="N700" t="str">
        <f t="shared" si="21"/>
        <v>50-59</v>
      </c>
    </row>
    <row r="701" spans="1:14" x14ac:dyDescent="0.3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  <c r="M701">
        <f t="shared" ca="1" si="20"/>
        <v>5</v>
      </c>
      <c r="N701" t="str">
        <f t="shared" si="21"/>
        <v>30-39</v>
      </c>
    </row>
    <row r="702" spans="1:14" x14ac:dyDescent="0.3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  <c r="M702">
        <f t="shared" ca="1" si="20"/>
        <v>2</v>
      </c>
      <c r="N702" t="str">
        <f t="shared" si="21"/>
        <v>50-59</v>
      </c>
    </row>
    <row r="703" spans="1:14" x14ac:dyDescent="0.3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  <c r="M703">
        <f t="shared" ca="1" si="20"/>
        <v>1</v>
      </c>
      <c r="N703" t="str">
        <f t="shared" si="21"/>
        <v>30-39</v>
      </c>
    </row>
    <row r="704" spans="1:14" x14ac:dyDescent="0.3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  <c r="M704">
        <f t="shared" ca="1" si="20"/>
        <v>5</v>
      </c>
      <c r="N704" t="str">
        <f t="shared" si="21"/>
        <v>30-39</v>
      </c>
    </row>
    <row r="705" spans="1:14" x14ac:dyDescent="0.3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  <c r="M705">
        <f t="shared" ca="1" si="20"/>
        <v>3</v>
      </c>
      <c r="N705" t="str">
        <f t="shared" si="21"/>
        <v>40-49</v>
      </c>
    </row>
    <row r="706" spans="1:14" x14ac:dyDescent="0.3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  <c r="M706">
        <f t="shared" ref="M706:M769" ca="1" si="22">IF(I706="",DATEDIF(H706,TODAY(),"Y"),DATEDIF(H706,I706,"Y"))</f>
        <v>1</v>
      </c>
      <c r="N706" t="str">
        <f t="shared" ref="N706:N769" si="23">IF(D706&lt;30,"20-29",IF(D706&lt;40,"30-39",IF(D706&lt;50,"40-49",IF(D706&lt;60,"50-59","60+"))))</f>
        <v>50-59</v>
      </c>
    </row>
    <row r="707" spans="1:14" x14ac:dyDescent="0.3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  <c r="M707">
        <f t="shared" ca="1" si="22"/>
        <v>4</v>
      </c>
      <c r="N707" t="str">
        <f t="shared" si="23"/>
        <v>30-39</v>
      </c>
    </row>
    <row r="708" spans="1:14" x14ac:dyDescent="0.3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  <c r="M708">
        <f t="shared" ca="1" si="22"/>
        <v>5</v>
      </c>
      <c r="N708" t="str">
        <f t="shared" si="23"/>
        <v>40-49</v>
      </c>
    </row>
    <row r="709" spans="1:14" x14ac:dyDescent="0.3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  <c r="M709">
        <f t="shared" ca="1" si="22"/>
        <v>3</v>
      </c>
      <c r="N709" t="str">
        <f t="shared" si="23"/>
        <v>40-49</v>
      </c>
    </row>
    <row r="710" spans="1:14" x14ac:dyDescent="0.3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  <c r="M710">
        <f t="shared" ca="1" si="22"/>
        <v>3</v>
      </c>
      <c r="N710" t="str">
        <f t="shared" si="23"/>
        <v>40-49</v>
      </c>
    </row>
    <row r="711" spans="1:14" x14ac:dyDescent="0.3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  <c r="M711">
        <f t="shared" ca="1" si="22"/>
        <v>1</v>
      </c>
      <c r="N711" t="str">
        <f t="shared" si="23"/>
        <v>40-49</v>
      </c>
    </row>
    <row r="712" spans="1:14" x14ac:dyDescent="0.3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  <c r="M712">
        <f t="shared" ca="1" si="22"/>
        <v>0</v>
      </c>
      <c r="N712" t="str">
        <f t="shared" si="23"/>
        <v>30-39</v>
      </c>
    </row>
    <row r="713" spans="1:14" x14ac:dyDescent="0.3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  <c r="M713">
        <f t="shared" ca="1" si="22"/>
        <v>2</v>
      </c>
      <c r="N713" t="str">
        <f t="shared" si="23"/>
        <v>40-49</v>
      </c>
    </row>
    <row r="714" spans="1:14" x14ac:dyDescent="0.3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  <c r="M714">
        <f t="shared" ca="1" si="22"/>
        <v>3</v>
      </c>
      <c r="N714" t="str">
        <f t="shared" si="23"/>
        <v>40-49</v>
      </c>
    </row>
    <row r="715" spans="1:14" x14ac:dyDescent="0.3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  <c r="M715">
        <f t="shared" ca="1" si="22"/>
        <v>2</v>
      </c>
      <c r="N715" t="str">
        <f t="shared" si="23"/>
        <v>20-29</v>
      </c>
    </row>
    <row r="716" spans="1:14" x14ac:dyDescent="0.3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  <c r="M716">
        <f t="shared" ca="1" si="22"/>
        <v>5</v>
      </c>
      <c r="N716" t="str">
        <f t="shared" si="23"/>
        <v>30-39</v>
      </c>
    </row>
    <row r="717" spans="1:14" x14ac:dyDescent="0.3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  <c r="M717">
        <f t="shared" ca="1" si="22"/>
        <v>4</v>
      </c>
      <c r="N717" t="str">
        <f t="shared" si="23"/>
        <v>50-59</v>
      </c>
    </row>
    <row r="718" spans="1:14" x14ac:dyDescent="0.3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  <c r="M718">
        <f t="shared" ca="1" si="22"/>
        <v>1</v>
      </c>
      <c r="N718" t="str">
        <f t="shared" si="23"/>
        <v>30-39</v>
      </c>
    </row>
    <row r="719" spans="1:14" x14ac:dyDescent="0.3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  <c r="M719">
        <f t="shared" ca="1" si="22"/>
        <v>1</v>
      </c>
      <c r="N719" t="str">
        <f t="shared" si="23"/>
        <v>50-59</v>
      </c>
    </row>
    <row r="720" spans="1:14" x14ac:dyDescent="0.3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  <c r="M720">
        <f t="shared" ca="1" si="22"/>
        <v>5</v>
      </c>
      <c r="N720" t="str">
        <f t="shared" si="23"/>
        <v>50-59</v>
      </c>
    </row>
    <row r="721" spans="1:14" x14ac:dyDescent="0.3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  <c r="M721">
        <f t="shared" ca="1" si="22"/>
        <v>6</v>
      </c>
      <c r="N721" t="str">
        <f t="shared" si="23"/>
        <v>50-59</v>
      </c>
    </row>
    <row r="722" spans="1:14" x14ac:dyDescent="0.3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  <c r="M722">
        <f t="shared" ca="1" si="22"/>
        <v>2</v>
      </c>
      <c r="N722" t="str">
        <f t="shared" si="23"/>
        <v>50-59</v>
      </c>
    </row>
    <row r="723" spans="1:14" x14ac:dyDescent="0.3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  <c r="M723">
        <f t="shared" ca="1" si="22"/>
        <v>4</v>
      </c>
      <c r="N723" t="str">
        <f t="shared" si="23"/>
        <v>30-39</v>
      </c>
    </row>
    <row r="724" spans="1:14" x14ac:dyDescent="0.3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  <c r="M724">
        <f t="shared" ca="1" si="22"/>
        <v>3</v>
      </c>
      <c r="N724" t="str">
        <f t="shared" si="23"/>
        <v>40-49</v>
      </c>
    </row>
    <row r="725" spans="1:14" x14ac:dyDescent="0.3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  <c r="M725">
        <f t="shared" ca="1" si="22"/>
        <v>1</v>
      </c>
      <c r="N725" t="str">
        <f t="shared" si="23"/>
        <v>30-39</v>
      </c>
    </row>
    <row r="726" spans="1:14" x14ac:dyDescent="0.3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  <c r="M726">
        <f t="shared" ca="1" si="22"/>
        <v>3</v>
      </c>
      <c r="N726" t="str">
        <f t="shared" si="23"/>
        <v>30-39</v>
      </c>
    </row>
    <row r="727" spans="1:14" x14ac:dyDescent="0.3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  <c r="M727">
        <f t="shared" ca="1" si="22"/>
        <v>2</v>
      </c>
      <c r="N727" t="str">
        <f t="shared" si="23"/>
        <v>40-49</v>
      </c>
    </row>
    <row r="728" spans="1:14" x14ac:dyDescent="0.3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  <c r="M728">
        <f t="shared" ca="1" si="22"/>
        <v>0</v>
      </c>
      <c r="N728" t="str">
        <f t="shared" si="23"/>
        <v>50-59</v>
      </c>
    </row>
    <row r="729" spans="1:14" x14ac:dyDescent="0.3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  <c r="M729">
        <f t="shared" ca="1" si="22"/>
        <v>0</v>
      </c>
      <c r="N729" t="str">
        <f t="shared" si="23"/>
        <v>50-59</v>
      </c>
    </row>
    <row r="730" spans="1:14" x14ac:dyDescent="0.3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  <c r="M730">
        <f t="shared" ca="1" si="22"/>
        <v>3</v>
      </c>
      <c r="N730" t="str">
        <f t="shared" si="23"/>
        <v>50-59</v>
      </c>
    </row>
    <row r="731" spans="1:14" x14ac:dyDescent="0.3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  <c r="M731">
        <f t="shared" ca="1" si="22"/>
        <v>2</v>
      </c>
      <c r="N731" t="str">
        <f t="shared" si="23"/>
        <v>40-49</v>
      </c>
    </row>
    <row r="732" spans="1:14" x14ac:dyDescent="0.3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  <c r="M732">
        <f t="shared" ca="1" si="22"/>
        <v>1</v>
      </c>
      <c r="N732" t="str">
        <f t="shared" si="23"/>
        <v>30-39</v>
      </c>
    </row>
    <row r="733" spans="1:14" x14ac:dyDescent="0.3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  <c r="M733">
        <f t="shared" ca="1" si="22"/>
        <v>5</v>
      </c>
      <c r="N733" t="str">
        <f t="shared" si="23"/>
        <v>40-49</v>
      </c>
    </row>
    <row r="734" spans="1:14" x14ac:dyDescent="0.3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  <c r="M734">
        <f t="shared" ca="1" si="22"/>
        <v>2</v>
      </c>
      <c r="N734" t="str">
        <f t="shared" si="23"/>
        <v>40-49</v>
      </c>
    </row>
    <row r="735" spans="1:14" x14ac:dyDescent="0.3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  <c r="M735">
        <f t="shared" ca="1" si="22"/>
        <v>1</v>
      </c>
      <c r="N735" t="str">
        <f t="shared" si="23"/>
        <v>40-49</v>
      </c>
    </row>
    <row r="736" spans="1:14" x14ac:dyDescent="0.3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  <c r="M736">
        <f t="shared" ca="1" si="22"/>
        <v>5</v>
      </c>
      <c r="N736" t="str">
        <f t="shared" si="23"/>
        <v>30-39</v>
      </c>
    </row>
    <row r="737" spans="1:14" x14ac:dyDescent="0.3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  <c r="M737">
        <f t="shared" ca="1" si="22"/>
        <v>0</v>
      </c>
      <c r="N737" t="str">
        <f t="shared" si="23"/>
        <v>40-49</v>
      </c>
    </row>
    <row r="738" spans="1:14" x14ac:dyDescent="0.3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  <c r="M738">
        <f t="shared" ca="1" si="22"/>
        <v>0</v>
      </c>
      <c r="N738" t="str">
        <f t="shared" si="23"/>
        <v>30-39</v>
      </c>
    </row>
    <row r="739" spans="1:14" x14ac:dyDescent="0.3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  <c r="M739">
        <f t="shared" ca="1" si="22"/>
        <v>4</v>
      </c>
      <c r="N739" t="str">
        <f t="shared" si="23"/>
        <v>30-39</v>
      </c>
    </row>
    <row r="740" spans="1:14" x14ac:dyDescent="0.3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  <c r="M740">
        <f t="shared" ca="1" si="22"/>
        <v>5</v>
      </c>
      <c r="N740" t="str">
        <f t="shared" si="23"/>
        <v>40-49</v>
      </c>
    </row>
    <row r="741" spans="1:14" x14ac:dyDescent="0.3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  <c r="M741">
        <f t="shared" ca="1" si="22"/>
        <v>3</v>
      </c>
      <c r="N741" t="str">
        <f t="shared" si="23"/>
        <v>50-59</v>
      </c>
    </row>
    <row r="742" spans="1:14" x14ac:dyDescent="0.3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  <c r="M742">
        <f t="shared" ca="1" si="22"/>
        <v>1</v>
      </c>
      <c r="N742" t="str">
        <f t="shared" si="23"/>
        <v>30-39</v>
      </c>
    </row>
    <row r="743" spans="1:14" x14ac:dyDescent="0.3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  <c r="M743">
        <f t="shared" ca="1" si="22"/>
        <v>1</v>
      </c>
      <c r="N743" t="str">
        <f t="shared" si="23"/>
        <v>40-49</v>
      </c>
    </row>
    <row r="744" spans="1:14" x14ac:dyDescent="0.3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  <c r="M744">
        <f t="shared" ca="1" si="22"/>
        <v>0</v>
      </c>
      <c r="N744" t="str">
        <f t="shared" si="23"/>
        <v>20-29</v>
      </c>
    </row>
    <row r="745" spans="1:14" x14ac:dyDescent="0.3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  <c r="M745">
        <f t="shared" ca="1" si="22"/>
        <v>2</v>
      </c>
      <c r="N745" t="str">
        <f t="shared" si="23"/>
        <v>40-49</v>
      </c>
    </row>
    <row r="746" spans="1:14" x14ac:dyDescent="0.3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  <c r="M746">
        <f t="shared" ca="1" si="22"/>
        <v>3</v>
      </c>
      <c r="N746" t="str">
        <f t="shared" si="23"/>
        <v>40-49</v>
      </c>
    </row>
    <row r="747" spans="1:14" x14ac:dyDescent="0.3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  <c r="M747">
        <f t="shared" ca="1" si="22"/>
        <v>2</v>
      </c>
      <c r="N747" t="str">
        <f t="shared" si="23"/>
        <v>30-39</v>
      </c>
    </row>
    <row r="748" spans="1:14" x14ac:dyDescent="0.3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  <c r="M748">
        <f t="shared" ca="1" si="22"/>
        <v>2</v>
      </c>
      <c r="N748" t="str">
        <f t="shared" si="23"/>
        <v>40-49</v>
      </c>
    </row>
    <row r="749" spans="1:14" x14ac:dyDescent="0.3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  <c r="M749">
        <f t="shared" ca="1" si="22"/>
        <v>4</v>
      </c>
      <c r="N749" t="str">
        <f t="shared" si="23"/>
        <v>40-49</v>
      </c>
    </row>
    <row r="750" spans="1:14" x14ac:dyDescent="0.3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  <c r="M750">
        <f t="shared" ca="1" si="22"/>
        <v>4</v>
      </c>
      <c r="N750" t="str">
        <f t="shared" si="23"/>
        <v>20-29</v>
      </c>
    </row>
    <row r="751" spans="1:14" x14ac:dyDescent="0.3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  <c r="M751">
        <f t="shared" ca="1" si="22"/>
        <v>1</v>
      </c>
      <c r="N751" t="str">
        <f t="shared" si="23"/>
        <v>30-39</v>
      </c>
    </row>
    <row r="752" spans="1:14" x14ac:dyDescent="0.3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  <c r="M752">
        <f t="shared" ca="1" si="22"/>
        <v>5</v>
      </c>
      <c r="N752" t="str">
        <f t="shared" si="23"/>
        <v>50-59</v>
      </c>
    </row>
    <row r="753" spans="1:14" x14ac:dyDescent="0.3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  <c r="M753">
        <f t="shared" ca="1" si="22"/>
        <v>6</v>
      </c>
      <c r="N753" t="str">
        <f t="shared" si="23"/>
        <v>30-39</v>
      </c>
    </row>
    <row r="754" spans="1:14" x14ac:dyDescent="0.3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  <c r="M754">
        <f t="shared" ca="1" si="22"/>
        <v>2</v>
      </c>
      <c r="N754" t="str">
        <f t="shared" si="23"/>
        <v>40-49</v>
      </c>
    </row>
    <row r="755" spans="1:14" x14ac:dyDescent="0.3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  <c r="M755">
        <f t="shared" ca="1" si="22"/>
        <v>4</v>
      </c>
      <c r="N755" t="str">
        <f t="shared" si="23"/>
        <v>40-49</v>
      </c>
    </row>
    <row r="756" spans="1:14" x14ac:dyDescent="0.3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  <c r="M756">
        <f t="shared" ca="1" si="22"/>
        <v>1</v>
      </c>
      <c r="N756" t="str">
        <f t="shared" si="23"/>
        <v>20-29</v>
      </c>
    </row>
    <row r="757" spans="1:14" x14ac:dyDescent="0.3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  <c r="M757">
        <f t="shared" ca="1" si="22"/>
        <v>3</v>
      </c>
      <c r="N757" t="str">
        <f t="shared" si="23"/>
        <v>30-39</v>
      </c>
    </row>
    <row r="758" spans="1:14" x14ac:dyDescent="0.3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  <c r="M758">
        <f t="shared" ca="1" si="22"/>
        <v>1</v>
      </c>
      <c r="N758" t="str">
        <f t="shared" si="23"/>
        <v>30-39</v>
      </c>
    </row>
    <row r="759" spans="1:14" x14ac:dyDescent="0.3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  <c r="M759">
        <f t="shared" ca="1" si="22"/>
        <v>1</v>
      </c>
      <c r="N759" t="str">
        <f t="shared" si="23"/>
        <v>40-49</v>
      </c>
    </row>
    <row r="760" spans="1:14" x14ac:dyDescent="0.3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  <c r="M760">
        <f t="shared" ca="1" si="22"/>
        <v>0</v>
      </c>
      <c r="N760" t="str">
        <f t="shared" si="23"/>
        <v>30-39</v>
      </c>
    </row>
    <row r="761" spans="1:14" x14ac:dyDescent="0.3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  <c r="M761">
        <f t="shared" ca="1" si="22"/>
        <v>0</v>
      </c>
      <c r="N761" t="str">
        <f t="shared" si="23"/>
        <v>50-59</v>
      </c>
    </row>
    <row r="762" spans="1:14" x14ac:dyDescent="0.3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  <c r="M762">
        <f t="shared" ca="1" si="22"/>
        <v>4</v>
      </c>
      <c r="N762" t="str">
        <f t="shared" si="23"/>
        <v>50-59</v>
      </c>
    </row>
    <row r="763" spans="1:14" x14ac:dyDescent="0.3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  <c r="M763">
        <f t="shared" ca="1" si="22"/>
        <v>0</v>
      </c>
      <c r="N763" t="str">
        <f t="shared" si="23"/>
        <v>50-59</v>
      </c>
    </row>
    <row r="764" spans="1:14" x14ac:dyDescent="0.3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  <c r="M764">
        <f t="shared" ca="1" si="22"/>
        <v>3</v>
      </c>
      <c r="N764" t="str">
        <f t="shared" si="23"/>
        <v>40-49</v>
      </c>
    </row>
    <row r="765" spans="1:14" x14ac:dyDescent="0.3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  <c r="M765">
        <f t="shared" ca="1" si="22"/>
        <v>3</v>
      </c>
      <c r="N765" t="str">
        <f t="shared" si="23"/>
        <v>30-39</v>
      </c>
    </row>
    <row r="766" spans="1:14" x14ac:dyDescent="0.3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  <c r="M766">
        <f t="shared" ca="1" si="22"/>
        <v>2</v>
      </c>
      <c r="N766" t="str">
        <f t="shared" si="23"/>
        <v>40-49</v>
      </c>
    </row>
    <row r="767" spans="1:14" x14ac:dyDescent="0.3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  <c r="M767">
        <f t="shared" ca="1" si="22"/>
        <v>1</v>
      </c>
      <c r="N767" t="str">
        <f t="shared" si="23"/>
        <v>40-49</v>
      </c>
    </row>
    <row r="768" spans="1:14" x14ac:dyDescent="0.3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  <c r="M768">
        <f t="shared" ca="1" si="22"/>
        <v>5</v>
      </c>
      <c r="N768" t="str">
        <f t="shared" si="23"/>
        <v>40-49</v>
      </c>
    </row>
    <row r="769" spans="1:14" x14ac:dyDescent="0.3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  <c r="M769">
        <f t="shared" ca="1" si="22"/>
        <v>3</v>
      </c>
      <c r="N769" t="str">
        <f t="shared" si="23"/>
        <v>30-39</v>
      </c>
    </row>
    <row r="770" spans="1:14" x14ac:dyDescent="0.3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  <c r="M770">
        <f t="shared" ref="M770:M793" ca="1" si="24">IF(I770="",DATEDIF(H770,TODAY(),"Y"),DATEDIF(H770,I770,"Y"))</f>
        <v>1</v>
      </c>
      <c r="N770" t="str">
        <f t="shared" ref="N770:N793" si="25">IF(D770&lt;30,"20-29",IF(D770&lt;40,"30-39",IF(D770&lt;50,"40-49",IF(D770&lt;60,"50-59","60+"))))</f>
        <v>40-49</v>
      </c>
    </row>
    <row r="771" spans="1:14" x14ac:dyDescent="0.3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  <c r="M771">
        <f t="shared" ca="1" si="24"/>
        <v>4</v>
      </c>
      <c r="N771" t="str">
        <f t="shared" si="25"/>
        <v>30-39</v>
      </c>
    </row>
    <row r="772" spans="1:14" x14ac:dyDescent="0.3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  <c r="M772">
        <f t="shared" ca="1" si="24"/>
        <v>5</v>
      </c>
      <c r="N772" t="str">
        <f t="shared" si="25"/>
        <v>30-39</v>
      </c>
    </row>
    <row r="773" spans="1:14" x14ac:dyDescent="0.3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  <c r="M773">
        <f t="shared" ca="1" si="24"/>
        <v>3</v>
      </c>
      <c r="N773" t="str">
        <f t="shared" si="25"/>
        <v>40-49</v>
      </c>
    </row>
    <row r="774" spans="1:14" x14ac:dyDescent="0.3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  <c r="M774">
        <f t="shared" ca="1" si="24"/>
        <v>3</v>
      </c>
      <c r="N774" t="str">
        <f t="shared" si="25"/>
        <v>50-59</v>
      </c>
    </row>
    <row r="775" spans="1:14" x14ac:dyDescent="0.3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  <c r="M775">
        <f t="shared" ca="1" si="24"/>
        <v>1</v>
      </c>
      <c r="N775" t="str">
        <f t="shared" si="25"/>
        <v>30-39</v>
      </c>
    </row>
    <row r="776" spans="1:14" x14ac:dyDescent="0.3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  <c r="M776">
        <f t="shared" ca="1" si="24"/>
        <v>2</v>
      </c>
      <c r="N776" t="str">
        <f t="shared" si="25"/>
        <v>40-49</v>
      </c>
    </row>
    <row r="777" spans="1:14" x14ac:dyDescent="0.3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  <c r="M777">
        <f t="shared" ca="1" si="24"/>
        <v>2</v>
      </c>
      <c r="N777" t="str">
        <f t="shared" si="25"/>
        <v>40-49</v>
      </c>
    </row>
    <row r="778" spans="1:14" x14ac:dyDescent="0.3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  <c r="M778">
        <f t="shared" ca="1" si="24"/>
        <v>2</v>
      </c>
      <c r="N778" t="str">
        <f t="shared" si="25"/>
        <v>40-49</v>
      </c>
    </row>
    <row r="779" spans="1:14" x14ac:dyDescent="0.3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  <c r="M779">
        <f t="shared" ca="1" si="24"/>
        <v>3</v>
      </c>
      <c r="N779" t="str">
        <f t="shared" si="25"/>
        <v>40-49</v>
      </c>
    </row>
    <row r="780" spans="1:14" x14ac:dyDescent="0.3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  <c r="M780">
        <f t="shared" ca="1" si="24"/>
        <v>5</v>
      </c>
      <c r="N780" t="str">
        <f t="shared" si="25"/>
        <v>30-39</v>
      </c>
    </row>
    <row r="781" spans="1:14" x14ac:dyDescent="0.3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  <c r="M781">
        <f t="shared" ca="1" si="24"/>
        <v>4</v>
      </c>
      <c r="N781" t="str">
        <f t="shared" si="25"/>
        <v>40-49</v>
      </c>
    </row>
    <row r="782" spans="1:14" x14ac:dyDescent="0.3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  <c r="M782">
        <f t="shared" ca="1" si="24"/>
        <v>1</v>
      </c>
      <c r="N782" t="str">
        <f t="shared" si="25"/>
        <v>40-49</v>
      </c>
    </row>
    <row r="783" spans="1:14" x14ac:dyDescent="0.3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  <c r="M783">
        <f t="shared" ca="1" si="24"/>
        <v>2</v>
      </c>
      <c r="N783" t="str">
        <f t="shared" si="25"/>
        <v>20-29</v>
      </c>
    </row>
    <row r="784" spans="1:14" x14ac:dyDescent="0.3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  <c r="M784">
        <f t="shared" ca="1" si="24"/>
        <v>5</v>
      </c>
      <c r="N784" t="str">
        <f t="shared" si="25"/>
        <v>30-39</v>
      </c>
    </row>
    <row r="785" spans="1:14" x14ac:dyDescent="0.3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  <c r="M785">
        <f t="shared" ca="1" si="24"/>
        <v>6</v>
      </c>
      <c r="N785" t="str">
        <f t="shared" si="25"/>
        <v>40-49</v>
      </c>
    </row>
    <row r="786" spans="1:14" x14ac:dyDescent="0.3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  <c r="M786">
        <f t="shared" ca="1" si="24"/>
        <v>2</v>
      </c>
      <c r="N786" t="str">
        <f t="shared" si="25"/>
        <v>30-39</v>
      </c>
    </row>
    <row r="787" spans="1:14" x14ac:dyDescent="0.3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  <c r="M787">
        <f t="shared" ca="1" si="24"/>
        <v>4</v>
      </c>
      <c r="N787" t="str">
        <f t="shared" si="25"/>
        <v>40-49</v>
      </c>
    </row>
    <row r="788" spans="1:14" x14ac:dyDescent="0.3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  <c r="M788">
        <f t="shared" ca="1" si="24"/>
        <v>3</v>
      </c>
      <c r="N788" t="str">
        <f t="shared" si="25"/>
        <v>40-49</v>
      </c>
    </row>
    <row r="789" spans="1:14" x14ac:dyDescent="0.3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  <c r="M789">
        <f t="shared" ca="1" si="24"/>
        <v>1</v>
      </c>
      <c r="N789" t="str">
        <f t="shared" si="25"/>
        <v>40-49</v>
      </c>
    </row>
    <row r="790" spans="1:14" x14ac:dyDescent="0.3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  <c r="M790">
        <f t="shared" ca="1" si="24"/>
        <v>3</v>
      </c>
      <c r="N790" t="str">
        <f t="shared" si="25"/>
        <v>40-49</v>
      </c>
    </row>
    <row r="791" spans="1:14" x14ac:dyDescent="0.3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  <c r="M791">
        <f t="shared" ca="1" si="24"/>
        <v>2</v>
      </c>
      <c r="N791" t="str">
        <f t="shared" si="25"/>
        <v>30-39</v>
      </c>
    </row>
    <row r="792" spans="1:14" x14ac:dyDescent="0.3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  <c r="M792">
        <f t="shared" ca="1" si="24"/>
        <v>2</v>
      </c>
      <c r="N792" t="str">
        <f t="shared" si="25"/>
        <v>40-49</v>
      </c>
    </row>
    <row r="793" spans="1:14" x14ac:dyDescent="0.3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  <c r="M793">
        <f t="shared" ca="1" si="24"/>
        <v>2</v>
      </c>
      <c r="N793" t="str">
        <f t="shared" si="25"/>
        <v>30-39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4783-852E-4C7C-A9E2-97E20E82369F}">
  <dimension ref="B2:E8"/>
  <sheetViews>
    <sheetView workbookViewId="0">
      <selection activeCell="N16" sqref="N16"/>
    </sheetView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10.5546875" bestFit="1" customWidth="1"/>
  </cols>
  <sheetData>
    <row r="2" spans="2:5" x14ac:dyDescent="0.3">
      <c r="B2" s="2" t="s">
        <v>1551</v>
      </c>
      <c r="C2" s="2" t="s">
        <v>1555</v>
      </c>
    </row>
    <row r="3" spans="2:5" x14ac:dyDescent="0.3">
      <c r="B3" s="2" t="s">
        <v>1549</v>
      </c>
      <c r="C3" t="s">
        <v>14</v>
      </c>
      <c r="D3" t="s">
        <v>21</v>
      </c>
      <c r="E3" t="s">
        <v>1550</v>
      </c>
    </row>
    <row r="4" spans="2:5" x14ac:dyDescent="0.3">
      <c r="B4" s="3" t="s">
        <v>1556</v>
      </c>
      <c r="C4">
        <v>41</v>
      </c>
      <c r="D4">
        <v>32</v>
      </c>
      <c r="E4">
        <v>73</v>
      </c>
    </row>
    <row r="5" spans="2:5" x14ac:dyDescent="0.3">
      <c r="B5" s="3" t="s">
        <v>1557</v>
      </c>
      <c r="C5">
        <v>178</v>
      </c>
      <c r="D5">
        <v>172</v>
      </c>
      <c r="E5">
        <v>350</v>
      </c>
    </row>
    <row r="6" spans="2:5" x14ac:dyDescent="0.3">
      <c r="B6" s="3" t="s">
        <v>1558</v>
      </c>
      <c r="C6">
        <v>120</v>
      </c>
      <c r="D6">
        <v>142</v>
      </c>
      <c r="E6">
        <v>262</v>
      </c>
    </row>
    <row r="7" spans="2:5" x14ac:dyDescent="0.3">
      <c r="B7" s="3" t="s">
        <v>1559</v>
      </c>
      <c r="C7">
        <v>56</v>
      </c>
      <c r="D7">
        <v>51</v>
      </c>
      <c r="E7">
        <v>107</v>
      </c>
    </row>
    <row r="8" spans="2:5" x14ac:dyDescent="0.3">
      <c r="B8" s="3" t="s">
        <v>1550</v>
      </c>
      <c r="C8">
        <v>395</v>
      </c>
      <c r="D8">
        <v>397</v>
      </c>
      <c r="E8">
        <v>792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A004-3545-468D-A31D-723AF1839BD0}">
  <dimension ref="A1"/>
  <sheetViews>
    <sheetView showGridLines="0" tabSelected="1" zoomScale="50" workbookViewId="0">
      <selection activeCell="S22" sqref="S2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A7C01-E224-49A8-961A-C3A610DB8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</vt:lpstr>
      <vt:lpstr>Top 10 Highest Paid Employees</vt:lpstr>
      <vt:lpstr>Employees Distribution By Depar</vt:lpstr>
      <vt:lpstr>Data</vt:lpstr>
      <vt:lpstr>Age Distribution Per Gender</vt:lpstr>
      <vt:lpstr>Employee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شهد محمد محمود محمود النحاس ( 325254520 )</cp:lastModifiedBy>
  <dcterms:created xsi:type="dcterms:W3CDTF">2025-02-04T14:57:50Z</dcterms:created>
  <dcterms:modified xsi:type="dcterms:W3CDTF">2026-02-07T22:04:17Z</dcterms:modified>
</cp:coreProperties>
</file>