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alma\Downloads\"/>
    </mc:Choice>
  </mc:AlternateContent>
  <xr:revisionPtr revIDLastSave="0" documentId="13_ncr:1_{5719E15C-1660-4050-8B94-63830221B1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0" i="1" l="1"/>
  <c r="J3" i="1"/>
  <c r="J4" i="1"/>
  <c r="J5" i="1"/>
  <c r="J6" i="1"/>
  <c r="J7" i="1"/>
  <c r="J2" i="1"/>
  <c r="I3" i="1"/>
  <c r="I4" i="1"/>
  <c r="I5" i="1"/>
  <c r="I6" i="1"/>
  <c r="I7" i="1"/>
  <c r="I2" i="1"/>
  <c r="G2" i="1"/>
  <c r="H2" i="1" s="1"/>
  <c r="G3" i="1"/>
  <c r="H3" i="1" s="1"/>
  <c r="G4" i="1"/>
  <c r="H4" i="1" s="1"/>
  <c r="G5" i="1"/>
  <c r="H5" i="1" s="1"/>
  <c r="G6" i="1"/>
  <c r="H6" i="1" s="1"/>
  <c r="G7" i="1"/>
  <c r="H7" i="1" s="1"/>
  <c r="H70" i="1"/>
  <c r="I70" i="1" s="1"/>
  <c r="E17" i="2"/>
  <c r="E15" i="2"/>
  <c r="F57" i="1"/>
  <c r="F55" i="1"/>
  <c r="F49" i="1"/>
  <c r="F47" i="1"/>
  <c r="F3" i="1"/>
  <c r="F4" i="1"/>
  <c r="F5" i="1"/>
  <c r="F6" i="1"/>
  <c r="F7" i="1"/>
  <c r="F2" i="1"/>
  <c r="I17" i="1"/>
  <c r="H17" i="1"/>
  <c r="G12" i="1"/>
  <c r="F36" i="1" l="1"/>
</calcChain>
</file>

<file path=xl/sharedStrings.xml><?xml version="1.0" encoding="utf-8"?>
<sst xmlns="http://schemas.openxmlformats.org/spreadsheetml/2006/main" count="71" uniqueCount="59">
  <si>
    <t>Student ID</t>
  </si>
  <si>
    <t>Name</t>
  </si>
  <si>
    <t>Subject</t>
  </si>
  <si>
    <t>Score</t>
  </si>
  <si>
    <t>Exam Date</t>
  </si>
  <si>
    <t>S001</t>
  </si>
  <si>
    <t>Ahmed</t>
  </si>
  <si>
    <t>Math</t>
  </si>
  <si>
    <t>S002</t>
  </si>
  <si>
    <t>Sara</t>
  </si>
  <si>
    <t>S003</t>
  </si>
  <si>
    <t>Omar</t>
  </si>
  <si>
    <t>IT</t>
  </si>
  <si>
    <t>S004</t>
  </si>
  <si>
    <t>Mona</t>
  </si>
  <si>
    <t>S005</t>
  </si>
  <si>
    <t>Ali</t>
  </si>
  <si>
    <t>S006</t>
  </si>
  <si>
    <t>Nour</t>
  </si>
  <si>
    <r>
      <t xml:space="preserve">Using </t>
    </r>
    <r>
      <rPr>
        <b/>
        <sz val="11"/>
        <color theme="1"/>
        <rFont val="Calibri"/>
        <family val="2"/>
        <charset val="178"/>
        <scheme val="minor"/>
      </rPr>
      <t>INDEX &amp; MATCH</t>
    </r>
    <r>
      <rPr>
        <sz val="11"/>
        <color theme="1"/>
        <rFont val="Calibri"/>
        <family val="2"/>
        <charset val="178"/>
        <scheme val="minor"/>
      </rPr>
      <t xml:space="preserve">, return the </t>
    </r>
    <r>
      <rPr>
        <b/>
        <sz val="11"/>
        <color theme="1"/>
        <rFont val="Calibri"/>
        <family val="2"/>
        <charset val="178"/>
        <scheme val="minor"/>
      </rPr>
      <t>Fees</t>
    </r>
    <r>
      <rPr>
        <sz val="11"/>
        <color theme="1"/>
        <rFont val="Calibri"/>
        <family val="2"/>
        <charset val="178"/>
        <scheme val="minor"/>
      </rPr>
      <t xml:space="preserve"> for:</t>
    </r>
  </si>
  <si>
    <r>
      <t xml:space="preserve">Student ID </t>
    </r>
    <r>
      <rPr>
        <sz val="10"/>
        <color theme="1"/>
        <rFont val="Arial Unicode MS"/>
        <family val="2"/>
      </rPr>
      <t>S004</t>
    </r>
  </si>
  <si>
    <r>
      <t xml:space="preserve">Student ID </t>
    </r>
    <r>
      <rPr>
        <sz val="10"/>
        <color theme="1"/>
        <rFont val="Arial Unicode MS"/>
        <family val="2"/>
      </rPr>
      <t>S002</t>
    </r>
  </si>
  <si>
    <t>Fees</t>
  </si>
  <si>
    <r>
      <t xml:space="preserve">Retrieve the </t>
    </r>
    <r>
      <rPr>
        <b/>
        <sz val="11"/>
        <color theme="1"/>
        <rFont val="Calibri"/>
        <family val="2"/>
        <charset val="178"/>
        <scheme val="minor"/>
      </rPr>
      <t>Score</t>
    </r>
    <r>
      <rPr>
        <sz val="11"/>
        <color theme="1"/>
        <rFont val="Calibri"/>
        <family val="2"/>
        <charset val="178"/>
        <scheme val="minor"/>
      </rPr>
      <t xml:space="preserve"> of student named </t>
    </r>
    <r>
      <rPr>
        <b/>
        <sz val="11"/>
        <color theme="1"/>
        <rFont val="Calibri"/>
        <family val="2"/>
        <charset val="178"/>
        <scheme val="minor"/>
      </rPr>
      <t>Mona</t>
    </r>
    <r>
      <rPr>
        <sz val="11"/>
        <color theme="1"/>
        <rFont val="Calibri"/>
        <family val="2"/>
        <charset val="178"/>
        <scheme val="minor"/>
      </rPr>
      <t xml:space="preserve"> using INDEX-MATCH.</t>
    </r>
  </si>
  <si>
    <r>
      <t xml:space="preserve">Why is INDEX-MATCH better than VLOOKUP in this case? </t>
    </r>
    <r>
      <rPr>
        <i/>
        <sz val="11"/>
        <color theme="1"/>
        <rFont val="Calibri"/>
        <family val="2"/>
        <charset val="178"/>
        <scheme val="minor"/>
      </rPr>
      <t>(Short answer)</t>
    </r>
  </si>
  <si>
    <t>Nested IF Exercise</t>
  </si>
  <si>
    <t>🎯 Grading Rules</t>
  </si>
  <si>
    <r>
      <t xml:space="preserve">Score ≥ 85 → </t>
    </r>
    <r>
      <rPr>
        <b/>
        <sz val="11"/>
        <color theme="1"/>
        <rFont val="Calibri"/>
        <family val="2"/>
        <charset val="178"/>
        <scheme val="minor"/>
      </rPr>
      <t>Excellent</t>
    </r>
  </si>
  <si>
    <r>
      <t xml:space="preserve">Score ≥ 60 → </t>
    </r>
    <r>
      <rPr>
        <b/>
        <sz val="11"/>
        <color theme="1"/>
        <rFont val="Calibri"/>
        <family val="2"/>
        <charset val="178"/>
        <scheme val="minor"/>
      </rPr>
      <t>Pass</t>
    </r>
  </si>
  <si>
    <r>
      <t xml:space="preserve">Score &lt; 60 → </t>
    </r>
    <r>
      <rPr>
        <b/>
        <sz val="11"/>
        <color theme="1"/>
        <rFont val="Calibri"/>
        <family val="2"/>
        <charset val="178"/>
        <scheme val="minor"/>
      </rPr>
      <t>Fail</t>
    </r>
  </si>
  <si>
    <t>📝 Tasks</t>
  </si>
  <si>
    <r>
      <t xml:space="preserve">1. Create a new column called </t>
    </r>
    <r>
      <rPr>
        <b/>
        <sz val="11"/>
        <color theme="1"/>
        <rFont val="Calibri"/>
        <family val="2"/>
        <charset val="178"/>
        <scheme val="minor"/>
      </rPr>
      <t>Grade</t>
    </r>
  </si>
  <si>
    <r>
      <t xml:space="preserve">2. Use a </t>
    </r>
    <r>
      <rPr>
        <b/>
        <sz val="11"/>
        <color theme="1"/>
        <rFont val="Calibri"/>
        <family val="2"/>
        <charset val="178"/>
        <scheme val="minor"/>
      </rPr>
      <t>Nested IF formula</t>
    </r>
    <r>
      <rPr>
        <sz val="11"/>
        <color theme="1"/>
        <rFont val="Calibri"/>
        <family val="2"/>
        <charset val="178"/>
        <scheme val="minor"/>
      </rPr>
      <t xml:space="preserve"> to assign grades based on the rules above.</t>
    </r>
  </si>
  <si>
    <r>
      <t xml:space="preserve">3. How many students got </t>
    </r>
    <r>
      <rPr>
        <b/>
        <sz val="11"/>
        <color theme="1"/>
        <rFont val="Calibri"/>
        <family val="2"/>
        <charset val="178"/>
        <scheme val="minor"/>
      </rPr>
      <t>Fail</t>
    </r>
    <r>
      <rPr>
        <sz val="11"/>
        <color theme="1"/>
        <rFont val="Calibri"/>
        <family val="2"/>
        <charset val="178"/>
        <scheme val="minor"/>
      </rPr>
      <t>?</t>
    </r>
  </si>
  <si>
    <t>SUMIF Exercise</t>
  </si>
  <si>
    <t>🎯 Tasks</t>
  </si>
  <si>
    <r>
      <t xml:space="preserve">1. Use </t>
    </r>
    <r>
      <rPr>
        <b/>
        <sz val="11"/>
        <color theme="1"/>
        <rFont val="Calibri"/>
        <family val="2"/>
        <charset val="178"/>
        <scheme val="minor"/>
      </rPr>
      <t>SUMIF</t>
    </r>
    <r>
      <rPr>
        <sz val="11"/>
        <color theme="1"/>
        <rFont val="Calibri"/>
        <family val="2"/>
        <charset val="178"/>
        <scheme val="minor"/>
      </rPr>
      <t xml:space="preserve"> to calculate:</t>
    </r>
  </si>
  <si>
    <r>
      <t xml:space="preserve">Total </t>
    </r>
    <r>
      <rPr>
        <b/>
        <sz val="11"/>
        <color theme="1"/>
        <rFont val="Calibri"/>
        <family val="2"/>
        <charset val="178"/>
        <scheme val="minor"/>
      </rPr>
      <t>Fees</t>
    </r>
    <r>
      <rPr>
        <sz val="11"/>
        <color theme="1"/>
        <rFont val="Calibri"/>
        <family val="2"/>
        <charset val="178"/>
        <scheme val="minor"/>
      </rPr>
      <t xml:space="preserve"> paid by students who study </t>
    </r>
    <r>
      <rPr>
        <b/>
        <sz val="11"/>
        <color theme="1"/>
        <rFont val="Calibri"/>
        <family val="2"/>
        <charset val="178"/>
        <scheme val="minor"/>
      </rPr>
      <t>Math</t>
    </r>
  </si>
  <si>
    <r>
      <t xml:space="preserve">Total </t>
    </r>
    <r>
      <rPr>
        <b/>
        <sz val="11"/>
        <color theme="1"/>
        <rFont val="Calibri"/>
        <family val="2"/>
        <charset val="178"/>
        <scheme val="minor"/>
      </rPr>
      <t>Fees</t>
    </r>
    <r>
      <rPr>
        <sz val="11"/>
        <color theme="1"/>
        <rFont val="Calibri"/>
        <family val="2"/>
        <charset val="178"/>
        <scheme val="minor"/>
      </rPr>
      <t xml:space="preserve"> paid by students who study </t>
    </r>
    <r>
      <rPr>
        <b/>
        <sz val="11"/>
        <color theme="1"/>
        <rFont val="Calibri"/>
        <family val="2"/>
        <charset val="178"/>
        <scheme val="minor"/>
      </rPr>
      <t>IT</t>
    </r>
  </si>
  <si>
    <r>
      <t xml:space="preserve">2. Calculate the </t>
    </r>
    <r>
      <rPr>
        <b/>
        <sz val="11"/>
        <color theme="1"/>
        <rFont val="Calibri"/>
        <family val="2"/>
        <charset val="178"/>
        <scheme val="minor"/>
      </rPr>
      <t>total Score</t>
    </r>
    <r>
      <rPr>
        <sz val="11"/>
        <color theme="1"/>
        <rFont val="Calibri"/>
        <family val="2"/>
        <charset val="178"/>
        <scheme val="minor"/>
      </rPr>
      <t xml:space="preserve"> for:</t>
    </r>
  </si>
  <si>
    <t>Math students only</t>
  </si>
  <si>
    <t>IT students only</t>
  </si>
  <si>
    <r>
      <t xml:space="preserve">3. What is the </t>
    </r>
    <r>
      <rPr>
        <b/>
        <sz val="11"/>
        <color theme="1"/>
        <rFont val="Calibri"/>
        <family val="2"/>
        <charset val="178"/>
        <scheme val="minor"/>
      </rPr>
      <t>difference</t>
    </r>
    <r>
      <rPr>
        <sz val="11"/>
        <color theme="1"/>
        <rFont val="Calibri"/>
        <family val="2"/>
        <charset val="178"/>
        <scheme val="minor"/>
      </rPr>
      <t xml:space="preserve"> between SUM and SUMIF?</t>
    </r>
  </si>
  <si>
    <t>Date Functions Exercise</t>
  </si>
  <si>
    <r>
      <t xml:space="preserve">1. Create a new column called </t>
    </r>
    <r>
      <rPr>
        <b/>
        <sz val="11"/>
        <color theme="1"/>
        <rFont val="Calibri"/>
        <family val="2"/>
        <charset val="178"/>
        <scheme val="minor"/>
      </rPr>
      <t>Days Since Exam</t>
    </r>
  </si>
  <si>
    <r>
      <t xml:space="preserve">Calculate how many days passed from </t>
    </r>
    <r>
      <rPr>
        <b/>
        <sz val="11"/>
        <color theme="1"/>
        <rFont val="Calibri"/>
        <family val="2"/>
        <charset val="178"/>
        <scheme val="minor"/>
      </rPr>
      <t>Exam Date</t>
    </r>
    <r>
      <rPr>
        <sz val="11"/>
        <color theme="1"/>
        <rFont val="Calibri"/>
        <family val="2"/>
        <charset val="178"/>
        <scheme val="minor"/>
      </rPr>
      <t xml:space="preserve"> until </t>
    </r>
    <r>
      <rPr>
        <b/>
        <sz val="11"/>
        <color theme="1"/>
        <rFont val="Calibri"/>
        <family val="2"/>
        <charset val="178"/>
        <scheme val="minor"/>
      </rPr>
      <t>31/01/2025</t>
    </r>
  </si>
  <si>
    <t>2. Extract:</t>
  </si>
  <si>
    <r>
      <t>Month</t>
    </r>
    <r>
      <rPr>
        <sz val="11"/>
        <color theme="1"/>
        <rFont val="Calibri"/>
        <family val="2"/>
        <charset val="178"/>
        <scheme val="minor"/>
      </rPr>
      <t xml:space="preserve"> from Exam Date</t>
    </r>
  </si>
  <si>
    <r>
      <t>Year</t>
    </r>
    <r>
      <rPr>
        <sz val="11"/>
        <color theme="1"/>
        <rFont val="Calibri"/>
        <family val="2"/>
        <charset val="178"/>
        <scheme val="minor"/>
      </rPr>
      <t xml:space="preserve"> from Exam Date</t>
    </r>
  </si>
  <si>
    <r>
      <t xml:space="preserve">3. Count how many exams happened in </t>
    </r>
    <r>
      <rPr>
        <b/>
        <sz val="11"/>
        <color theme="1"/>
        <rFont val="Calibri"/>
        <family val="2"/>
        <charset val="178"/>
        <scheme val="minor"/>
      </rPr>
      <t>January</t>
    </r>
    <r>
      <rPr>
        <sz val="11"/>
        <color theme="1"/>
        <rFont val="Calibri"/>
        <family val="2"/>
        <charset val="178"/>
        <scheme val="minor"/>
      </rPr>
      <t>.</t>
    </r>
  </si>
  <si>
    <t>4. Use a formula to display Exam Date as:</t>
  </si>
  <si>
    <t>Friday, 10 January 2025</t>
  </si>
  <si>
    <r>
      <t xml:space="preserve">Use </t>
    </r>
    <r>
      <rPr>
        <b/>
        <sz val="11"/>
        <color theme="1"/>
        <rFont val="Calibri"/>
        <family val="2"/>
        <charset val="178"/>
        <scheme val="minor"/>
      </rPr>
      <t>INDEX-MATCH</t>
    </r>
    <r>
      <rPr>
        <sz val="11"/>
        <color theme="1"/>
        <rFont val="Calibri"/>
        <family val="2"/>
        <charset val="178"/>
        <scheme val="minor"/>
      </rPr>
      <t xml:space="preserve"> to return both </t>
    </r>
    <r>
      <rPr>
        <b/>
        <sz val="11"/>
        <color theme="1"/>
        <rFont val="Calibri"/>
        <family val="2"/>
        <charset val="178"/>
        <scheme val="minor"/>
      </rPr>
      <t>Name and Subject</t>
    </r>
    <r>
      <rPr>
        <sz val="11"/>
        <color theme="1"/>
        <rFont val="Calibri"/>
        <family val="2"/>
        <charset val="178"/>
        <scheme val="minor"/>
      </rPr>
      <t xml:space="preserve"> for Student ID </t>
    </r>
    <r>
      <rPr>
        <sz val="10"/>
        <color theme="1"/>
        <rFont val="Arial Unicode MS"/>
        <family val="2"/>
      </rPr>
      <t>S005</t>
    </r>
    <r>
      <rPr>
        <sz val="11"/>
        <color theme="1"/>
        <rFont val="Calibri"/>
        <family val="2"/>
        <charset val="178"/>
        <scheme val="minor"/>
      </rPr>
      <t>.</t>
    </r>
  </si>
  <si>
    <t xml:space="preserve">vlookup  right to lift </t>
  </si>
  <si>
    <t>grade</t>
  </si>
  <si>
    <t xml:space="preserve">sum calculate any numeric values without condition  sum if with condition </t>
  </si>
  <si>
    <t>Day since exam</t>
  </si>
  <si>
    <t>month of exam date</t>
  </si>
  <si>
    <t xml:space="preserve">year from exam 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</si>
</sst>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0"/>
      <color theme="1"/>
      <name val="Arial Unicode MS"/>
      <family val="2"/>
    </font>
    <font>
      <i/>
      <sz val="11"/>
      <color theme="1"/>
      <name val="Calibri"/>
      <family val="2"/>
      <charset val="178"/>
      <scheme val="minor"/>
    </font>
    <font>
      <b/>
      <sz val="18"/>
      <color theme="1"/>
      <name val="Calibri"/>
      <family val="2"/>
      <charset val="178"/>
      <scheme val="minor"/>
    </font>
    <font>
      <b/>
      <sz val="13.5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charset val="178"/>
      <scheme val="minor"/>
    </font>
    <font>
      <b/>
      <sz val="11"/>
      <color rgb="FFFF0000"/>
      <name val="Calibri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0" fillId="2" borderId="0" xfId="0" applyFill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14" fontId="0" fillId="0" borderId="0" xfId="0" applyNumberFormat="1"/>
    <xf numFmtId="0" fontId="1" fillId="3" borderId="0" xfId="0" applyNumberFormat="1" applyFont="1" applyFill="1" applyAlignment="1">
      <alignment horizontal="center" vertical="center" wrapText="1"/>
    </xf>
    <xf numFmtId="0" fontId="6" fillId="3" borderId="0" xfId="0" applyFont="1" applyFill="1" applyAlignment="1">
      <alignment vertical="center"/>
    </xf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"/>
  <sheetViews>
    <sheetView tabSelected="1" topLeftCell="A50" workbookViewId="0">
      <selection activeCell="F80" sqref="F80"/>
    </sheetView>
  </sheetViews>
  <sheetFormatPr defaultRowHeight="14.4"/>
  <cols>
    <col min="5" max="5" width="26.21875" customWidth="1"/>
    <col min="6" max="6" width="17.21875" customWidth="1"/>
    <col min="7" max="7" width="9.5546875" bestFit="1" customWidth="1"/>
    <col min="8" max="8" width="17.5546875" customWidth="1"/>
    <col min="9" max="9" width="17.77734375" bestFit="1" customWidth="1"/>
    <col min="10" max="10" width="18.6640625" bestFit="1" customWidth="1"/>
    <col min="11" max="11" width="17.33203125" customWidth="1"/>
  </cols>
  <sheetData>
    <row r="1" spans="1:10" ht="28.8">
      <c r="A1" s="1" t="s">
        <v>0</v>
      </c>
      <c r="B1" s="1" t="s">
        <v>1</v>
      </c>
      <c r="C1" s="1" t="s">
        <v>2</v>
      </c>
      <c r="D1" s="1" t="s">
        <v>3</v>
      </c>
      <c r="E1" s="12" t="s">
        <v>4</v>
      </c>
      <c r="F1" s="11" t="s">
        <v>54</v>
      </c>
      <c r="H1" s="14" t="s">
        <v>56</v>
      </c>
      <c r="I1" s="15" t="s">
        <v>57</v>
      </c>
      <c r="J1" s="15" t="s">
        <v>58</v>
      </c>
    </row>
    <row r="2" spans="1:10">
      <c r="A2" s="2" t="s">
        <v>5</v>
      </c>
      <c r="B2" s="2" t="s">
        <v>6</v>
      </c>
      <c r="C2" s="2" t="s">
        <v>7</v>
      </c>
      <c r="D2" s="2">
        <v>85</v>
      </c>
      <c r="E2" s="16">
        <v>45667</v>
      </c>
      <c r="F2" s="9" t="str">
        <f>IF(D2&gt;=85,"Excellent",IF(D2&gt;=60,"Pass",IF(D2&lt;60,"Fail")))</f>
        <v>Excellent</v>
      </c>
      <c r="G2" s="13">
        <f>DATE(2025,1,31)-E2</f>
        <v>21</v>
      </c>
      <c r="H2" s="9">
        <f>DAY(G2)</f>
        <v>21</v>
      </c>
      <c r="I2" s="9">
        <f>MONTH(G2)</f>
        <v>1</v>
      </c>
      <c r="J2" s="9">
        <f>YEAR(E2)</f>
        <v>2025</v>
      </c>
    </row>
    <row r="3" spans="1:10">
      <c r="A3" s="2" t="s">
        <v>8</v>
      </c>
      <c r="B3" s="2" t="s">
        <v>9</v>
      </c>
      <c r="C3" s="2" t="s">
        <v>7</v>
      </c>
      <c r="D3" s="2">
        <v>45</v>
      </c>
      <c r="E3" s="16">
        <v>45669</v>
      </c>
      <c r="F3" s="9" t="str">
        <f t="shared" ref="F3:F7" si="0">IF(D3&gt;=85,"Excellent",IF(D3&gt;=60,"Pass",IF(D3&lt;60,"Fail")))</f>
        <v>Fail</v>
      </c>
      <c r="G3" s="13">
        <f>DATE(2025,1,31)-E3</f>
        <v>19</v>
      </c>
      <c r="H3" s="9">
        <f>DAY(G3)</f>
        <v>19</v>
      </c>
      <c r="I3" s="9">
        <f t="shared" ref="I3:I7" si="1">MONTH(G3)</f>
        <v>1</v>
      </c>
      <c r="J3" s="9">
        <f t="shared" ref="J3:J7" si="2">YEAR(E3)</f>
        <v>2025</v>
      </c>
    </row>
    <row r="4" spans="1:10">
      <c r="A4" s="2" t="s">
        <v>10</v>
      </c>
      <c r="B4" s="2" t="s">
        <v>11</v>
      </c>
      <c r="C4" s="2" t="s">
        <v>12</v>
      </c>
      <c r="D4" s="2">
        <v>72</v>
      </c>
      <c r="E4" s="16">
        <v>45672</v>
      </c>
      <c r="F4" s="9" t="str">
        <f t="shared" si="0"/>
        <v>Pass</v>
      </c>
      <c r="G4" s="13">
        <f>DATE(2025,1,31)-E4</f>
        <v>16</v>
      </c>
      <c r="H4" s="9">
        <f>DAY(G4)</f>
        <v>16</v>
      </c>
      <c r="I4" s="9">
        <f t="shared" si="1"/>
        <v>1</v>
      </c>
      <c r="J4" s="9">
        <f t="shared" si="2"/>
        <v>2025</v>
      </c>
    </row>
    <row r="5" spans="1:10">
      <c r="A5" s="2" t="s">
        <v>13</v>
      </c>
      <c r="B5" s="2" t="s">
        <v>14</v>
      </c>
      <c r="C5" s="2" t="s">
        <v>12</v>
      </c>
      <c r="D5" s="2">
        <v>90</v>
      </c>
      <c r="E5" s="16">
        <v>45675</v>
      </c>
      <c r="F5" s="9" t="str">
        <f t="shared" si="0"/>
        <v>Excellent</v>
      </c>
      <c r="G5" s="13">
        <f>DATE(2025,1,31)-E5</f>
        <v>13</v>
      </c>
      <c r="H5" s="9">
        <f>DAY(G5)</f>
        <v>13</v>
      </c>
      <c r="I5" s="9">
        <f t="shared" si="1"/>
        <v>1</v>
      </c>
      <c r="J5" s="9">
        <f t="shared" si="2"/>
        <v>2025</v>
      </c>
    </row>
    <row r="6" spans="1:10">
      <c r="A6" s="2" t="s">
        <v>15</v>
      </c>
      <c r="B6" s="2" t="s">
        <v>16</v>
      </c>
      <c r="C6" s="2" t="s">
        <v>7</v>
      </c>
      <c r="D6" s="2">
        <v>60</v>
      </c>
      <c r="E6" s="16">
        <v>45677</v>
      </c>
      <c r="F6" s="9" t="str">
        <f t="shared" si="0"/>
        <v>Pass</v>
      </c>
      <c r="G6" s="13">
        <f>DATE(2025,1,31)-E6</f>
        <v>11</v>
      </c>
      <c r="H6" s="9">
        <f>DAY(G6)</f>
        <v>11</v>
      </c>
      <c r="I6" s="9">
        <f t="shared" si="1"/>
        <v>1</v>
      </c>
      <c r="J6" s="9">
        <f t="shared" si="2"/>
        <v>2025</v>
      </c>
    </row>
    <row r="7" spans="1:10">
      <c r="A7" s="2" t="s">
        <v>17</v>
      </c>
      <c r="B7" s="2" t="s">
        <v>18</v>
      </c>
      <c r="C7" s="2" t="s">
        <v>12</v>
      </c>
      <c r="D7" s="2">
        <v>30</v>
      </c>
      <c r="E7" s="16">
        <v>45682</v>
      </c>
      <c r="F7" s="9" t="str">
        <f t="shared" si="0"/>
        <v>Fail</v>
      </c>
      <c r="G7" s="13">
        <f>DATE(2025,1,31)-E7</f>
        <v>6</v>
      </c>
      <c r="H7" s="9">
        <f>DAY(G7)</f>
        <v>6</v>
      </c>
      <c r="I7" s="9">
        <f t="shared" si="1"/>
        <v>1</v>
      </c>
      <c r="J7" s="9">
        <f t="shared" si="2"/>
        <v>2025</v>
      </c>
    </row>
    <row r="12" spans="1:10">
      <c r="C12" t="s">
        <v>23</v>
      </c>
      <c r="G12" s="9">
        <f>INDEX(D2:D7,MATCH(B5,B2:B7,0))</f>
        <v>90</v>
      </c>
    </row>
    <row r="14" spans="1:10">
      <c r="C14" t="s">
        <v>24</v>
      </c>
      <c r="H14" s="10" t="s">
        <v>53</v>
      </c>
      <c r="I14" s="10"/>
    </row>
    <row r="17" spans="3:9">
      <c r="C17" t="s">
        <v>52</v>
      </c>
      <c r="H17" s="9" t="str">
        <f>INDEX(B2:B7,MATCH(A6,A2:A7,0))</f>
        <v>Ali</v>
      </c>
      <c r="I17" s="9" t="str">
        <f>INDEX(C2:C7,MATCH(A6,A2:A7,0))</f>
        <v>Math</v>
      </c>
    </row>
    <row r="20" spans="3:9" ht="23.4">
      <c r="C20" s="4" t="s">
        <v>25</v>
      </c>
    </row>
    <row r="22" spans="3:9" ht="18">
      <c r="C22" s="5" t="s">
        <v>26</v>
      </c>
    </row>
    <row r="23" spans="3:9">
      <c r="C23" s="3"/>
    </row>
    <row r="24" spans="3:9">
      <c r="C24" s="3" t="s">
        <v>27</v>
      </c>
    </row>
    <row r="25" spans="3:9">
      <c r="C25" s="3"/>
    </row>
    <row r="26" spans="3:9">
      <c r="C26" s="3" t="s">
        <v>28</v>
      </c>
    </row>
    <row r="27" spans="3:9">
      <c r="C27" s="3"/>
    </row>
    <row r="28" spans="3:9">
      <c r="C28" s="3" t="s">
        <v>29</v>
      </c>
    </row>
    <row r="30" spans="3:9" ht="18">
      <c r="C30" s="5" t="s">
        <v>30</v>
      </c>
    </row>
    <row r="31" spans="3:9">
      <c r="C31" s="3"/>
    </row>
    <row r="32" spans="3:9">
      <c r="C32" s="3" t="s">
        <v>31</v>
      </c>
    </row>
    <row r="33" spans="3:6">
      <c r="C33" s="3"/>
    </row>
    <row r="34" spans="3:6">
      <c r="C34" s="3" t="s">
        <v>32</v>
      </c>
    </row>
    <row r="35" spans="3:6">
      <c r="C35" s="3"/>
    </row>
    <row r="36" spans="3:6">
      <c r="C36" s="3" t="s">
        <v>33</v>
      </c>
      <c r="F36" s="9">
        <f>COUNTIF(F2:F7,"Fail")</f>
        <v>2</v>
      </c>
    </row>
    <row r="39" spans="3:6" ht="23.4">
      <c r="C39" s="4" t="s">
        <v>34</v>
      </c>
    </row>
    <row r="41" spans="3:6" ht="18">
      <c r="C41" s="5" t="s">
        <v>35</v>
      </c>
    </row>
    <row r="42" spans="3:6">
      <c r="C42" s="3"/>
    </row>
    <row r="43" spans="3:6">
      <c r="C43" s="3" t="s">
        <v>36</v>
      </c>
    </row>
    <row r="44" spans="3:6">
      <c r="C44" s="3"/>
    </row>
    <row r="45" spans="3:6">
      <c r="C45" s="3"/>
    </row>
    <row r="46" spans="3:6">
      <c r="C46" s="6"/>
    </row>
    <row r="47" spans="3:6">
      <c r="C47" s="6" t="s">
        <v>37</v>
      </c>
      <c r="F47" s="9">
        <f>SUMIF(C2:C7,"Math",Sheet2!B2:B7)</f>
        <v>5800</v>
      </c>
    </row>
    <row r="48" spans="3:6">
      <c r="C48" s="6"/>
    </row>
    <row r="49" spans="3:6">
      <c r="C49" s="6" t="s">
        <v>38</v>
      </c>
      <c r="F49" s="9">
        <f>SUMIF(C2:C7,"IT",Sheet2!B2:B7)</f>
        <v>6200</v>
      </c>
    </row>
    <row r="50" spans="3:6">
      <c r="C50" s="3"/>
    </row>
    <row r="51" spans="3:6">
      <c r="C51" s="3" t="s">
        <v>39</v>
      </c>
    </row>
    <row r="52" spans="3:6">
      <c r="C52" s="3"/>
    </row>
    <row r="53" spans="3:6">
      <c r="C53" s="3"/>
    </row>
    <row r="54" spans="3:6">
      <c r="C54" s="6"/>
    </row>
    <row r="55" spans="3:6">
      <c r="C55" s="6" t="s">
        <v>40</v>
      </c>
      <c r="F55" s="9">
        <f>SUMIF(C2:C7,"Math",D2:D7)</f>
        <v>190</v>
      </c>
    </row>
    <row r="56" spans="3:6">
      <c r="C56" s="6"/>
    </row>
    <row r="57" spans="3:6">
      <c r="C57" s="6" t="s">
        <v>41</v>
      </c>
      <c r="F57" s="9">
        <f>SUMIF(C2:C7,"IT",D2:D7)</f>
        <v>192</v>
      </c>
    </row>
    <row r="58" spans="3:6">
      <c r="C58" s="3"/>
    </row>
    <row r="59" spans="3:6">
      <c r="C59" s="3" t="s">
        <v>42</v>
      </c>
      <c r="F59" t="s">
        <v>55</v>
      </c>
    </row>
    <row r="62" spans="3:6" ht="23.4">
      <c r="C62" s="4" t="s">
        <v>43</v>
      </c>
    </row>
    <row r="64" spans="3:6" ht="18">
      <c r="C64" s="5" t="s">
        <v>35</v>
      </c>
    </row>
    <row r="65" spans="3:9">
      <c r="C65" s="3"/>
    </row>
    <row r="66" spans="3:9">
      <c r="C66" s="3" t="s">
        <v>44</v>
      </c>
    </row>
    <row r="67" spans="3:9">
      <c r="C67" s="3"/>
    </row>
    <row r="68" spans="3:9">
      <c r="C68" s="3"/>
    </row>
    <row r="69" spans="3:9">
      <c r="C69" s="6"/>
    </row>
    <row r="70" spans="3:9">
      <c r="C70" s="6" t="s">
        <v>45</v>
      </c>
      <c r="H70" s="13">
        <f>DATE(2025,1,31)</f>
        <v>45688</v>
      </c>
      <c r="I70">
        <f>H70-E2</f>
        <v>21</v>
      </c>
    </row>
    <row r="71" spans="3:9">
      <c r="C71" s="3"/>
    </row>
    <row r="72" spans="3:9">
      <c r="C72" s="3" t="s">
        <v>46</v>
      </c>
    </row>
    <row r="73" spans="3:9">
      <c r="C73" s="3"/>
    </row>
    <row r="74" spans="3:9">
      <c r="C74" s="3"/>
    </row>
    <row r="75" spans="3:9">
      <c r="C75" s="6"/>
    </row>
    <row r="76" spans="3:9">
      <c r="C76" s="7" t="s">
        <v>47</v>
      </c>
    </row>
    <row r="77" spans="3:9">
      <c r="C77" s="6"/>
    </row>
    <row r="78" spans="3:9">
      <c r="C78" s="7" t="s">
        <v>48</v>
      </c>
    </row>
    <row r="79" spans="3:9">
      <c r="C79" s="3"/>
    </row>
    <row r="80" spans="3:9">
      <c r="C80" s="3" t="s">
        <v>49</v>
      </c>
      <c r="F80" s="9">
        <f>COUNTIFS(E2:E7,"&gt;="&amp;DATE(2025,1,1),E2:E7,"&lt;="&amp;DATE(2025,1,31))</f>
        <v>6</v>
      </c>
    </row>
    <row r="81" spans="3:6">
      <c r="C81" s="3"/>
    </row>
    <row r="82" spans="3:6">
      <c r="C82" s="3" t="s">
        <v>50</v>
      </c>
      <c r="F82" t="s">
        <v>51</v>
      </c>
    </row>
  </sheetData>
  <mergeCells count="1">
    <mergeCell ref="H14:I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selection activeCell="E17" sqref="E17"/>
    </sheetView>
  </sheetViews>
  <sheetFormatPr defaultRowHeight="14.4"/>
  <sheetData>
    <row r="1" spans="1:5" ht="28.8">
      <c r="A1" s="1" t="s">
        <v>0</v>
      </c>
      <c r="B1" s="1" t="s">
        <v>22</v>
      </c>
    </row>
    <row r="2" spans="1:5">
      <c r="A2" s="2" t="s">
        <v>5</v>
      </c>
      <c r="B2" s="2">
        <v>2000</v>
      </c>
    </row>
    <row r="3" spans="1:5">
      <c r="A3" s="2" t="s">
        <v>8</v>
      </c>
      <c r="B3" s="2">
        <v>1800</v>
      </c>
    </row>
    <row r="4" spans="1:5">
      <c r="A4" s="2" t="s">
        <v>10</v>
      </c>
      <c r="B4" s="2">
        <v>2200</v>
      </c>
    </row>
    <row r="5" spans="1:5">
      <c r="A5" s="2" t="s">
        <v>13</v>
      </c>
      <c r="B5" s="2">
        <v>2500</v>
      </c>
    </row>
    <row r="6" spans="1:5">
      <c r="A6" s="2" t="s">
        <v>15</v>
      </c>
      <c r="B6" s="2">
        <v>2000</v>
      </c>
    </row>
    <row r="7" spans="1:5">
      <c r="A7" s="2" t="s">
        <v>17</v>
      </c>
      <c r="B7" s="2">
        <v>1500</v>
      </c>
    </row>
    <row r="13" spans="1:5">
      <c r="B13" t="s">
        <v>19</v>
      </c>
    </row>
    <row r="14" spans="1:5">
      <c r="B14" s="3"/>
    </row>
    <row r="15" spans="1:5">
      <c r="B15" s="3" t="s">
        <v>20</v>
      </c>
      <c r="E15" s="8">
        <f>INDEX(B2:B7,MATCH(A6,A2:A7,0))</f>
        <v>2000</v>
      </c>
    </row>
    <row r="16" spans="1:5">
      <c r="B16" s="3"/>
    </row>
    <row r="17" spans="2:5">
      <c r="B17" s="3" t="s">
        <v>21</v>
      </c>
      <c r="E17" s="8">
        <f>INDEX(B2:B7,MATCH(A3,A2:A7,0))</f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Aio</dc:creator>
  <cp:lastModifiedBy>20912023200243@fci.zu.edu.eg</cp:lastModifiedBy>
  <dcterms:created xsi:type="dcterms:W3CDTF">2025-12-20T19:27:05Z</dcterms:created>
  <dcterms:modified xsi:type="dcterms:W3CDTF">2025-12-20T23:35:27Z</dcterms:modified>
</cp:coreProperties>
</file>