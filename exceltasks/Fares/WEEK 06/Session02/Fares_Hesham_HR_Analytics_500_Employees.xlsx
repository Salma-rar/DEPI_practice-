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2.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self development\linkedin files\DEPI+ others\ROUND 4 materials\YAT646B_SHR4_DAT1_S2_DEPI4\Week06\Session02\"/>
    </mc:Choice>
  </mc:AlternateContent>
  <xr:revisionPtr revIDLastSave="0" documentId="13_ncr:1_{22528091-2ECF-41ED-A260-AC5AB5E95489}" xr6:coauthVersionLast="47" xr6:coauthVersionMax="47" xr10:uidLastSave="{00000000-0000-0000-0000-000000000000}"/>
  <bookViews>
    <workbookView xWindow="-120" yWindow="-120" windowWidth="29040" windowHeight="15840" xr2:uid="{00000000-000D-0000-FFFF-FFFF00000000}"/>
  </bookViews>
  <sheets>
    <sheet name="DashBoard" sheetId="10" r:id="rId1"/>
    <sheet name="KPI" sheetId="4" r:id="rId2"/>
    <sheet name="count_Dept" sheetId="5" r:id="rId3"/>
    <sheet name="Avg_Salary_Dept." sheetId="6" r:id="rId4"/>
    <sheet name="Performance_Dist" sheetId="7" r:id="rId5"/>
    <sheet name="Employees_location" sheetId="8" r:id="rId6"/>
    <sheet name="Overtime Analysis" sheetId="9" r:id="rId7"/>
    <sheet name="Processed_Data" sheetId="3" r:id="rId8"/>
    <sheet name="HR_Analytics" sheetId="1" r:id="rId9"/>
  </sheets>
  <externalReferences>
    <externalReference r:id="rId10"/>
  </externalReferences>
  <definedNames>
    <definedName name="_xlcn.WorksheetConnection_HR_Analytics_500_Employees.xlsxProcessed_Data1" hidden="1">Processed_Data[]</definedName>
    <definedName name="_xlcn.WorksheetConnection_HR_Assignment_DataCopy.xlsxProcessed_Data1" hidden="1">[1]!Processed_Data</definedName>
    <definedName name="ExternalData_1" localSheetId="7" hidden="1">Processed_Data!$A$1:$R$501</definedName>
    <definedName name="Slicer_Department">#N/A</definedName>
    <definedName name="Slicer_Experience_Level">#N/A</definedName>
  </definedNames>
  <calcPr calcId="191029"/>
  <pivotCaches>
    <pivotCache cacheId="996" r:id="rId11"/>
    <pivotCache cacheId="999" r:id="rId12"/>
    <pivotCache cacheId="1002" r:id="rId13"/>
    <pivotCache cacheId="1005" r:id="rId14"/>
    <pivotCache cacheId="1008" r:id="rId15"/>
    <pivotCache cacheId="1011" r:id="rId16"/>
    <pivotCache cacheId="1014" r:id="rId17"/>
    <pivotCache cacheId="1017" r:id="rId18"/>
    <pivotCache cacheId="1020" r:id="rId19"/>
    <pivotCache cacheId="1023" r:id="rId20"/>
    <pivotCache cacheId="1026" r:id="rId21"/>
    <pivotCache cacheId="1029" r:id="rId22"/>
    <pivotCache cacheId="1032" r:id="rId23"/>
    <pivotCache cacheId="1035" r:id="rId24"/>
  </pivotCaches>
  <extLst>
    <ext xmlns:x14="http://schemas.microsoft.com/office/spreadsheetml/2009/9/main" uri="{876F7934-8845-4945-9796-88D515C7AA90}">
      <x14:pivotCaches>
        <pivotCache cacheId="24" r:id="rId25"/>
      </x14:pivotCaches>
    </ext>
    <ext xmlns:x14="http://schemas.microsoft.com/office/spreadsheetml/2009/9/main" uri="{BBE1A952-AA13-448e-AADC-164F8A28A991}">
      <x14:slicerCaches>
        <x14:slicerCache r:id="rId26"/>
        <x14:slicerCache r:id="rId2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6a12ef94-5a19-4d8a-9147-db522dc0cefe" name="Table1" connection="Query - Table1"/>
          <x15:modelTable id="Processed_Data-e6338806-1fbd-4c68-97ff-1f6971bd8fd9" name="Processed_Data" connection="WorksheetConnection_HR_Assignment_Data - Copy.xlsx!Processed_Data"/>
          <x15:modelTable id="Processed_Data 1" name="Processed_Data 1" connection="WorksheetConnection_HR_Analytics_500_Employees.xlsx!Processed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4" l="1"/>
  <c r="B8" i="4"/>
  <c r="B6" i="4"/>
  <c r="B5" i="4"/>
  <c r="B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9F3403-8D46-4EB5-A8F1-3EB4537DAC4C}" keepAlive="1" name="ModelConnection_ExternalData_1" description="Data Model" type="5" refreshedVersion="8" minRefreshableVersion="5" saveData="1">
    <dbPr connection="Data Model Connection" command="Table1" commandType="3"/>
    <extLst>
      <ext xmlns:x15="http://schemas.microsoft.com/office/spreadsheetml/2010/11/main" uri="{DE250136-89BD-433C-8126-D09CA5730AF9}">
        <x15:connection id="" model="1"/>
      </ext>
    </extLst>
  </connection>
  <connection id="2" xr16:uid="{C8F05EF5-1963-4770-86CA-133542DCDCD8}" name="Query - Table1" description="Connection to the 'Table1' query in the workbook." type="100" refreshedVersion="8" minRefreshableVersion="5">
    <extLst>
      <ext xmlns:x15="http://schemas.microsoft.com/office/spreadsheetml/2010/11/main" uri="{DE250136-89BD-433C-8126-D09CA5730AF9}">
        <x15:connection id="0a81adfb-34b5-4e47-81e2-8ea6b4f32b80"/>
      </ext>
    </extLst>
  </connection>
  <connection id="3" xr16:uid="{B5F79C43-B3E3-4903-9F84-E17D7FF38BF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E69BE811-5AF8-46B9-B898-80E2BDB7C428}" name="WorksheetConnection_HR_Analytics_500_Employees.xlsx!Processed_Data" type="102" refreshedVersion="8" minRefreshableVersion="5">
    <extLst>
      <ext xmlns:x15="http://schemas.microsoft.com/office/spreadsheetml/2010/11/main" uri="{DE250136-89BD-433C-8126-D09CA5730AF9}">
        <x15:connection id="Processed_Data 1" autoDelete="1">
          <x15:rangePr sourceName="_xlcn.WorksheetConnection_HR_Analytics_500_Employees.xlsxProcessed_Data1"/>
        </x15:connection>
      </ext>
    </extLst>
  </connection>
  <connection id="5" xr16:uid="{16F2C243-8D43-4FE0-A32E-74E32A223289}" name="WorksheetConnection_HR_Assignment_Data - Copy.xlsx!Processed_Data" type="102" refreshedVersion="8" minRefreshableVersion="5">
    <extLst>
      <ext xmlns:x15="http://schemas.microsoft.com/office/spreadsheetml/2010/11/main" uri="{DE250136-89BD-433C-8126-D09CA5730AF9}">
        <x15:connection id="Processed_Data-e6338806-1fbd-4c68-97ff-1f6971bd8fd9">
          <x15:rangePr sourceName="_xlcn.WorksheetConnection_HR_Assignment_DataCopy.xlsxProcessed_Data1"/>
        </x15:connection>
      </ext>
    </extLst>
  </connection>
</connections>
</file>

<file path=xl/sharedStrings.xml><?xml version="1.0" encoding="utf-8"?>
<sst xmlns="http://schemas.openxmlformats.org/spreadsheetml/2006/main" count="7658" uniqueCount="77">
  <si>
    <t>EmployeeID</t>
  </si>
  <si>
    <t>HireDate</t>
  </si>
  <si>
    <t>Department</t>
  </si>
  <si>
    <t>JobRole</t>
  </si>
  <si>
    <t>Gender</t>
  </si>
  <si>
    <t>Age</t>
  </si>
  <si>
    <t>MonthlySalary</t>
  </si>
  <si>
    <t>YearsAtCompany</t>
  </si>
  <si>
    <t>PerformanceRating</t>
  </si>
  <si>
    <t>Overtime</t>
  </si>
  <si>
    <t>WorkLocation</t>
  </si>
  <si>
    <t>Manager</t>
  </si>
  <si>
    <t>Sales</t>
  </si>
  <si>
    <t>Sales Executive</t>
  </si>
  <si>
    <t>Male</t>
  </si>
  <si>
    <t>Yes</t>
  </si>
  <si>
    <t>Remote</t>
  </si>
  <si>
    <t>Khaled Samir</t>
  </si>
  <si>
    <t>Finance</t>
  </si>
  <si>
    <t>Financial Analyst</t>
  </si>
  <si>
    <t>No</t>
  </si>
  <si>
    <t>Mona Ali</t>
  </si>
  <si>
    <t>Operations</t>
  </si>
  <si>
    <t>Operations Officer</t>
  </si>
  <si>
    <t>Female</t>
  </si>
  <si>
    <t>Sara Adel</t>
  </si>
  <si>
    <t>Accountant</t>
  </si>
  <si>
    <t>Hybrid</t>
  </si>
  <si>
    <t>Marketing</t>
  </si>
  <si>
    <t>Marketing Specialist</t>
  </si>
  <si>
    <t>HR</t>
  </si>
  <si>
    <t>HR Executive</t>
  </si>
  <si>
    <t>Onsite</t>
  </si>
  <si>
    <t>Content Creator</t>
  </si>
  <si>
    <t>Ahmed Hassan</t>
  </si>
  <si>
    <t>Supply Chain Analyst</t>
  </si>
  <si>
    <t>IT</t>
  </si>
  <si>
    <t>Software Engineer</t>
  </si>
  <si>
    <t>Recruiter</t>
  </si>
  <si>
    <t>Youssef Mahmoud</t>
  </si>
  <si>
    <t>IT Support</t>
  </si>
  <si>
    <t>Sales Manager</t>
  </si>
  <si>
    <t>Data Analyst</t>
  </si>
  <si>
    <t>Month</t>
  </si>
  <si>
    <t>Year</t>
  </si>
  <si>
    <t>Age_Group</t>
  </si>
  <si>
    <t>Annual_Salary</t>
  </si>
  <si>
    <t>Experience_Level</t>
  </si>
  <si>
    <t>Performance_Category</t>
  </si>
  <si>
    <t>30-45</t>
  </si>
  <si>
    <t>Senior</t>
  </si>
  <si>
    <t>Low</t>
  </si>
  <si>
    <t>Above 45</t>
  </si>
  <si>
    <t>Under 30</t>
  </si>
  <si>
    <t>High</t>
  </si>
  <si>
    <t>Medium</t>
  </si>
  <si>
    <t>Mid</t>
  </si>
  <si>
    <t>Junior</t>
  </si>
  <si>
    <t>Count of EmployeeID</t>
  </si>
  <si>
    <t>Average of Annual_Salary</t>
  </si>
  <si>
    <t>Average of PerformanceRating</t>
  </si>
  <si>
    <t>Row Labels</t>
  </si>
  <si>
    <t>Grand Total</t>
  </si>
  <si>
    <t>Total Employees</t>
  </si>
  <si>
    <t>Average Salary</t>
  </si>
  <si>
    <t>Avg Performance Rating</t>
  </si>
  <si>
    <t>Senior Employees %</t>
  </si>
  <si>
    <t xml:space="preserve">Overtime Employees % </t>
  </si>
  <si>
    <t>1. Which department has the highest average salary?</t>
  </si>
  <si>
    <t>2. Which department has the most employees?</t>
  </si>
  <si>
    <t>3. What percentage of employees work remotely?</t>
  </si>
  <si>
    <t>4. Is overtime more common in specific departments?</t>
  </si>
  <si>
    <t>5. Which experience level dominates the company?</t>
  </si>
  <si>
    <t>Column Labels</t>
  </si>
  <si>
    <t>The majority of employees fall within the 30–45 age group, indicating a mature and experienced workforce capable</t>
  </si>
  <si>
    <t>The highest perfoming employess are ones above 45 years old, indicating experience-driven excellence</t>
  </si>
  <si>
    <t>overtime is more common among 30+ years old employees, may require workload redistribution or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</si>
</sst>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mm:ss"/>
    <numFmt numFmtId="165" formatCode="_(&quot;$&quot;* #,##0.0_);_(&quot;$&quot;* \(#,##0.0\);_(&quot;$&quot;* &quot;-&quot;??_);_(@_)"/>
  </numFmts>
  <fonts count="4" x14ac:knownFonts="1">
    <font>
      <sz val="11"/>
      <color theme="1"/>
      <name val="Calibri"/>
      <family val="2"/>
      <scheme val="minor"/>
    </font>
    <font>
      <b/>
      <sz val="16"/>
      <color theme="1"/>
      <name val="Calibri"/>
      <family val="2"/>
      <scheme val="minor"/>
    </font>
    <font>
      <sz val="12"/>
      <color theme="1"/>
      <name val="Times New Roman"/>
      <family val="1"/>
    </font>
    <font>
      <b/>
      <sz val="16"/>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3" fillId="0" borderId="0" xfId="0" applyFont="1" applyAlignment="1">
      <alignment vertical="center" wrapText="1"/>
    </xf>
    <xf numFmtId="0" fontId="1" fillId="0" borderId="0" xfId="0" applyFont="1"/>
    <xf numFmtId="165" fontId="1" fillId="0" borderId="0" xfId="0" applyNumberFormat="1" applyFont="1"/>
    <xf numFmtId="10" fontId="1" fillId="0" borderId="0" xfId="0" applyNumberFormat="1" applyFont="1"/>
    <xf numFmtId="0" fontId="2" fillId="0" borderId="0" xfId="0" applyFont="1" applyAlignment="1">
      <alignment horizontal="left" vertical="center" indent="1"/>
    </xf>
    <xf numFmtId="0" fontId="0" fillId="0" borderId="0" xfId="0" applyAlignment="1">
      <alignment vertical="top" wrapText="1"/>
    </xf>
    <xf numFmtId="0" fontId="0" fillId="0" borderId="0" xfId="0" applyNumberFormat="1"/>
  </cellXfs>
  <cellStyles count="1">
    <cellStyle name="Normal" xfId="0" builtinId="0"/>
  </cellStyles>
  <dxfs count="87">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4" formatCode="yyyy\-mm\-dd\ h:mm:ss"/>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65" formatCode="_(&quot;$&quot;* #,##0.0_);_(&quot;$&quot;* \(#,##0.0\);_(&quot;$&quot;* &quot;-&quot;??_);_(@_)"/>
    </dxf>
    <dxf>
      <numFmt numFmtId="165" formatCode="_(&quot;$&quot;* #,##0.0_);_(&quot;$&quot;* \(#,##0.0\);_(&quot;$&quot;* &quot;-&quot;??_);_(@_)"/>
    </dxf>
    <dxf>
      <numFmt numFmtId="165" formatCode="_(&quot;$&quot;* #,##0.0_);_(&quot;$&quot;* \(#,##0.0\);_(&quot;$&quot;*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pivotCacheDefinition" Target="pivotCache/pivotCacheDefinition1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pivotCacheDefinition" Target="pivotCache/pivotCacheDefinition10.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theme" Target="theme/theme1.xml"/><Relationship Id="rId10" Type="http://schemas.openxmlformats.org/officeDocument/2006/relationships/externalLink" Target="externalLinks/externalLink1.xml"/><Relationship Id="rId19" Type="http://schemas.openxmlformats.org/officeDocument/2006/relationships/pivotCacheDefinition" Target="pivotCache/pivotCacheDefinition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microsoft.com/office/2007/relationships/slicerCache" Target="slicerCaches/slicerCache2.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[HR_Analytics_500_Employees.xlsx]count_Dept!PivotTable2</c:name>
    <c:fmtId val="6"/>
  </c:pivotSource>
  <c:chart>
    <c:title>
      <c:tx>
        <c:rich>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rPr>
              <a:t>Headcount by Department</a:t>
            </a:r>
            <a:endPar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count_Dept!$B$1</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count_Dept!$A$2:$A$8</c:f>
              <c:strCache>
                <c:ptCount val="6"/>
                <c:pt idx="0">
                  <c:v>Finance</c:v>
                </c:pt>
                <c:pt idx="1">
                  <c:v>HR</c:v>
                </c:pt>
                <c:pt idx="2">
                  <c:v>IT</c:v>
                </c:pt>
                <c:pt idx="3">
                  <c:v>Marketing</c:v>
                </c:pt>
                <c:pt idx="4">
                  <c:v>Operations</c:v>
                </c:pt>
                <c:pt idx="5">
                  <c:v>Sales</c:v>
                </c:pt>
              </c:strCache>
            </c:strRef>
          </c:cat>
          <c:val>
            <c:numRef>
              <c:f>count_Dept!$B$2:$B$8</c:f>
              <c:numCache>
                <c:formatCode>General</c:formatCode>
                <c:ptCount val="6"/>
                <c:pt idx="0">
                  <c:v>93</c:v>
                </c:pt>
                <c:pt idx="1">
                  <c:v>84</c:v>
                </c:pt>
                <c:pt idx="2">
                  <c:v>79</c:v>
                </c:pt>
                <c:pt idx="3">
                  <c:v>81</c:v>
                </c:pt>
                <c:pt idx="4">
                  <c:v>72</c:v>
                </c:pt>
                <c:pt idx="5">
                  <c:v>91</c:v>
                </c:pt>
              </c:numCache>
            </c:numRef>
          </c:val>
          <c:extLst>
            <c:ext xmlns:c16="http://schemas.microsoft.com/office/drawing/2014/chart" uri="{C3380CC4-5D6E-409C-BE32-E72D297353CC}">
              <c16:uniqueId val="{00000000-8D0B-49E2-B21F-A450FE5045AB}"/>
            </c:ext>
          </c:extLst>
        </c:ser>
        <c:dLbls>
          <c:dLblPos val="outEnd"/>
          <c:showLegendKey val="0"/>
          <c:showVal val="1"/>
          <c:showCatName val="0"/>
          <c:showSerName val="0"/>
          <c:showPercent val="0"/>
          <c:showBubbleSize val="0"/>
        </c:dLbls>
        <c:gapWidth val="100"/>
        <c:overlap val="-24"/>
        <c:axId val="829313632"/>
        <c:axId val="829297792"/>
      </c:barChart>
      <c:catAx>
        <c:axId val="8293136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29297792"/>
        <c:crosses val="autoZero"/>
        <c:auto val="1"/>
        <c:lblAlgn val="ctr"/>
        <c:lblOffset val="100"/>
        <c:noMultiLvlLbl val="0"/>
      </c:catAx>
      <c:valAx>
        <c:axId val="8292977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29313632"/>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[HR_Analytics_500_Employees.xlsx]Avg_Salary_Dept.!PivotTable3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rPr>
              <a:t>Average Salary by Department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Avg_Salary_Dept.!$B$1</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Avg_Salary_Dept.!$A$2:$A$8</c:f>
              <c:strCache>
                <c:ptCount val="6"/>
                <c:pt idx="0">
                  <c:v>Operations</c:v>
                </c:pt>
                <c:pt idx="1">
                  <c:v>Finance</c:v>
                </c:pt>
                <c:pt idx="2">
                  <c:v>IT</c:v>
                </c:pt>
                <c:pt idx="3">
                  <c:v>Sales</c:v>
                </c:pt>
                <c:pt idx="4">
                  <c:v>HR</c:v>
                </c:pt>
                <c:pt idx="5">
                  <c:v>Marketing</c:v>
                </c:pt>
              </c:strCache>
            </c:strRef>
          </c:cat>
          <c:val>
            <c:numRef>
              <c:f>Avg_Salary_Dept.!$B$2:$B$8</c:f>
              <c:numCache>
                <c:formatCode>_("$"* #,##0.0_);_("$"* \(#,##0.0\);_("$"* "-"??_);_(@_)</c:formatCode>
                <c:ptCount val="6"/>
                <c:pt idx="0">
                  <c:v>150629.33333333334</c:v>
                </c:pt>
                <c:pt idx="1">
                  <c:v>147421.93548387097</c:v>
                </c:pt>
                <c:pt idx="2">
                  <c:v>146147.54430379748</c:v>
                </c:pt>
                <c:pt idx="3">
                  <c:v>141845.8021978022</c:v>
                </c:pt>
                <c:pt idx="4">
                  <c:v>141493.42857142858</c:v>
                </c:pt>
                <c:pt idx="5">
                  <c:v>140156</c:v>
                </c:pt>
              </c:numCache>
            </c:numRef>
          </c:val>
          <c:extLst>
            <c:ext xmlns:c16="http://schemas.microsoft.com/office/drawing/2014/chart" uri="{C3380CC4-5D6E-409C-BE32-E72D297353CC}">
              <c16:uniqueId val="{00000000-0C6E-460C-91A3-4395ECA7323B}"/>
            </c:ext>
          </c:extLst>
        </c:ser>
        <c:dLbls>
          <c:showLegendKey val="0"/>
          <c:showVal val="1"/>
          <c:showCatName val="0"/>
          <c:showSerName val="0"/>
          <c:showPercent val="0"/>
          <c:showBubbleSize val="0"/>
        </c:dLbls>
        <c:gapWidth val="150"/>
        <c:shape val="box"/>
        <c:axId val="1788053168"/>
        <c:axId val="1788056528"/>
        <c:axId val="0"/>
      </c:bar3DChart>
      <c:catAx>
        <c:axId val="1788053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788056528"/>
        <c:crosses val="autoZero"/>
        <c:auto val="1"/>
        <c:lblAlgn val="ctr"/>
        <c:lblOffset val="100"/>
        <c:noMultiLvlLbl val="0"/>
      </c:catAx>
      <c:valAx>
        <c:axId val="1788056528"/>
        <c:scaling>
          <c:orientation val="minMax"/>
        </c:scaling>
        <c:delete val="0"/>
        <c:axPos val="b"/>
        <c:numFmt formatCode="_(&quot;$&quot;* #,##0.0_);_(&quot;$&quot;* \(#,##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788053168"/>
        <c:crosses val="autoZero"/>
        <c:crossBetween val="between"/>
        <c:dispUnits>
          <c:builtInUnit val="thousands"/>
          <c:dispUnitsLbl>
            <c:spPr>
              <a:noFill/>
              <a:ln>
                <a:noFill/>
              </a:ln>
              <a:effectLst/>
            </c:spPr>
            <c:txPr>
              <a:bodyPr rot="0" spcFirstLastPara="1" vertOverflow="ellipsis" vert="horz" wrap="square" anchor="ctr" anchorCtr="1"/>
              <a:lstStyle/>
              <a:p>
                <a:pPr>
                  <a:defRPr sz="1000" b="1" i="0" u="none" strike="noStrike" kern="1200" cap="all" baseline="0">
                    <a:solidFill>
                      <a:schemeClr val="bg1"/>
                    </a:solidFill>
                    <a:latin typeface="+mn-lt"/>
                    <a:ea typeface="+mn-ea"/>
                    <a:cs typeface="+mn-cs"/>
                  </a:defRPr>
                </a:pPr>
                <a:endParaRPr lang="en-US"/>
              </a:p>
            </c:txPr>
          </c:dispUnitsLbl>
        </c:dispUnits>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[HR_Analytics_500_Employees.xlsx]Employees_location!PivotTable5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rPr>
              <a:t>Employees by Work Location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overflow" horzOverflow="overflow" vert="horz" wrap="square" lIns="38100" tIns="18288" rIns="38100" bIns="19050" spcCol="1645920" anchor="ctr" anchorCtr="0">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overflow" horzOverflow="overflow" vert="horz" wrap="square" lIns="38100" tIns="18288" rIns="38100" bIns="19050" spcCol="1645920" anchor="ctr" anchorCtr="0">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overflow" horzOverflow="overflow" vert="horz" wrap="square" lIns="38100" tIns="18288" rIns="38100" bIns="19050" spcCol="1645920" anchor="ctr" anchorCtr="0">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overflow" horzOverflow="overflow" vert="horz" wrap="square" lIns="38100" tIns="18288" rIns="38100" bIns="19050" spcCol="1645920" anchor="ctr" anchorCtr="0">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overflow" horzOverflow="overflow" vert="horz" wrap="square" lIns="38100" tIns="18288" rIns="38100" bIns="19050" spcCol="1645920" anchor="ctr" anchorCtr="0">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overflow" horzOverflow="overflow" vert="horz" wrap="square" lIns="38100" tIns="18288" rIns="38100" bIns="19050" spcCol="1645920" anchor="ctr" anchorCtr="0">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6"/>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Employees_location!$B$1</c:f>
              <c:strCache>
                <c:ptCount val="1"/>
                <c:pt idx="0">
                  <c:v>Total</c:v>
                </c:pt>
              </c:strCache>
            </c:strRef>
          </c:tx>
          <c:dPt>
            <c:idx val="0"/>
            <c:bubble3D val="0"/>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64D-4B33-BE44-5DB27A5BB4A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64D-4B33-BE44-5DB27A5BB4A2}"/>
              </c:ext>
            </c:extLst>
          </c:dPt>
          <c:dPt>
            <c:idx val="2"/>
            <c:bubble3D val="0"/>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64D-4B33-BE44-5DB27A5BB4A2}"/>
              </c:ext>
            </c:extLst>
          </c:dPt>
          <c:dLbls>
            <c:spPr>
              <a:noFill/>
              <a:ln>
                <a:noFill/>
              </a:ln>
              <a:effectLst/>
            </c:spPr>
            <c:txPr>
              <a:bodyPr rot="0" spcFirstLastPara="1" vertOverflow="overflow" horzOverflow="overflow" vert="horz" wrap="square" lIns="38100" tIns="18288" rIns="38100" bIns="19050" spcCol="1645920" anchor="ctr" anchorCtr="0">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Employees_location!$A$2:$A$5</c:f>
              <c:strCache>
                <c:ptCount val="3"/>
                <c:pt idx="0">
                  <c:v>Hybrid</c:v>
                </c:pt>
                <c:pt idx="1">
                  <c:v>Onsite</c:v>
                </c:pt>
                <c:pt idx="2">
                  <c:v>Remote</c:v>
                </c:pt>
              </c:strCache>
            </c:strRef>
          </c:cat>
          <c:val>
            <c:numRef>
              <c:f>Employees_location!$B$2:$B$5</c:f>
              <c:numCache>
                <c:formatCode>General</c:formatCode>
                <c:ptCount val="3"/>
                <c:pt idx="0">
                  <c:v>157</c:v>
                </c:pt>
                <c:pt idx="1">
                  <c:v>176</c:v>
                </c:pt>
                <c:pt idx="2">
                  <c:v>167</c:v>
                </c:pt>
              </c:numCache>
            </c:numRef>
          </c:val>
          <c:extLst>
            <c:ext xmlns:c16="http://schemas.microsoft.com/office/drawing/2014/chart" uri="{C3380CC4-5D6E-409C-BE32-E72D297353CC}">
              <c16:uniqueId val="{00000006-B64D-4B33-BE44-5DB27A5BB4A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[HR_Analytics_500_Employees.xlsx]Performance_Dist!PivotTable4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rPr>
              <a:t>Performance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68"/>
              <c:y val="-6.944444444444444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33333333333332"/>
              <c:y val="-5.5555555555555601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3.7037037037036952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44444444444445"/>
              <c:y val="-1.388888888888888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68"/>
              <c:y val="-6.944444444444444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44444444444445"/>
              <c:y val="-1.388888888888888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3.7037037037036952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33333333333332"/>
              <c:y val="-5.5555555555555601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68"/>
              <c:y val="-6.944444444444444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44444444444445"/>
              <c:y val="-1.388888888888888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3.7037037037036952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33333333333332"/>
              <c:y val="-5.5555555555555601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68"/>
              <c:y val="-6.944444444444444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44444444444445"/>
              <c:y val="-1.388888888888888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3.7037037037036952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33333333333332"/>
              <c:y val="-5.5555555555555601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68"/>
              <c:y val="-6.944444444444444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44444444444445"/>
              <c:y val="-1.388888888888888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3.7037037037036952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33333333333332"/>
              <c:y val="-5.5555555555555601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593346106154974"/>
              <c:y val="-0.1388888888888889"/>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General"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gradFill rotWithShape="1">
            <a:gsLst>
              <a:gs pos="0">
                <a:schemeClr val="accent2">
                  <a:shade val="53000"/>
                  <a:shade val="51000"/>
                  <a:satMod val="130000"/>
                </a:schemeClr>
              </a:gs>
              <a:gs pos="80000">
                <a:schemeClr val="accent2">
                  <a:shade val="53000"/>
                  <a:shade val="93000"/>
                  <a:satMod val="130000"/>
                </a:schemeClr>
              </a:gs>
              <a:gs pos="100000">
                <a:schemeClr val="accent2">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68"/>
              <c:y val="-6.9444444444444448E-2"/>
            </c:manualLayout>
          </c:layout>
          <c:numFmt formatCode="General"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722222222222225"/>
              <c:y val="0.1111111111111111"/>
            </c:manualLayout>
          </c:layout>
          <c:numFmt formatCode="General"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1944444444444444"/>
              <c:y val="-3.4722222222222265E-2"/>
            </c:manualLayout>
          </c:layout>
          <c:numFmt formatCode="General"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341076115485567"/>
                  <c:h val="0.11424832312627588"/>
                </c:manualLayout>
              </c15:layout>
            </c:ext>
          </c:extLst>
        </c:dLbl>
      </c:pivotFmt>
      <c:pivotFmt>
        <c:idx val="3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General"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gradFill rotWithShape="1">
            <a:gsLst>
              <a:gs pos="0">
                <a:schemeClr val="accent2">
                  <a:shade val="53000"/>
                  <a:shade val="51000"/>
                  <a:satMod val="130000"/>
                </a:schemeClr>
              </a:gs>
              <a:gs pos="80000">
                <a:schemeClr val="accent2">
                  <a:shade val="53000"/>
                  <a:shade val="93000"/>
                  <a:satMod val="130000"/>
                </a:schemeClr>
              </a:gs>
              <a:gs pos="100000">
                <a:schemeClr val="accent2">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68"/>
              <c:y val="-6.9444444444444448E-2"/>
            </c:manualLayout>
          </c:layout>
          <c:numFmt formatCode="General"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722222222222225"/>
              <c:y val="0.1111111111111111"/>
            </c:manualLayout>
          </c:layout>
          <c:numFmt formatCode="General"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1944444444444444"/>
              <c:y val="-3.4722222222222265E-2"/>
            </c:manualLayout>
          </c:layout>
          <c:numFmt formatCode="General"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341076115485567"/>
                  <c:h val="0.11424832312627588"/>
                </c:manualLayout>
              </c15:layout>
            </c:ext>
          </c:extLst>
        </c:dLbl>
      </c:pivotFmt>
      <c:pivotFmt>
        <c:idx val="3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General"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gradFill rotWithShape="1">
            <a:gsLst>
              <a:gs pos="0">
                <a:schemeClr val="accent2">
                  <a:shade val="53000"/>
                  <a:shade val="51000"/>
                  <a:satMod val="130000"/>
                </a:schemeClr>
              </a:gs>
              <a:gs pos="80000">
                <a:schemeClr val="accent2">
                  <a:shade val="53000"/>
                  <a:shade val="93000"/>
                  <a:satMod val="130000"/>
                </a:schemeClr>
              </a:gs>
              <a:gs pos="100000">
                <a:schemeClr val="accent2">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68"/>
              <c:y val="-6.9444444444444448E-2"/>
            </c:manualLayout>
          </c:layout>
          <c:numFmt formatCode="General"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722222222222225"/>
              <c:y val="0.1111111111111111"/>
            </c:manualLayout>
          </c:layout>
          <c:numFmt formatCode="General"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1944444444444444"/>
              <c:y val="-3.4722222222222265E-2"/>
            </c:manualLayout>
          </c:layout>
          <c:numFmt formatCode="General"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341076115485567"/>
                  <c:h val="0.11424832312627588"/>
                </c:manualLayout>
              </c15:layout>
            </c:ext>
          </c:extLst>
        </c:dLbl>
      </c:pivotFmt>
    </c:pivotFmts>
    <c:plotArea>
      <c:layout/>
      <c:doughnutChart>
        <c:varyColors val="1"/>
        <c:ser>
          <c:idx val="0"/>
          <c:order val="0"/>
          <c:tx>
            <c:strRef>
              <c:f>Performance_Dist!$B$1</c:f>
              <c:strCache>
                <c:ptCount val="1"/>
                <c:pt idx="0">
                  <c:v>Total</c:v>
                </c:pt>
              </c:strCache>
            </c:strRef>
          </c:tx>
          <c:explosion val="10"/>
          <c:dPt>
            <c:idx val="0"/>
            <c:bubble3D val="0"/>
            <c:spPr>
              <a:gradFill rotWithShape="1">
                <a:gsLst>
                  <a:gs pos="0">
                    <a:schemeClr val="accent2">
                      <a:shade val="53000"/>
                      <a:shade val="51000"/>
                      <a:satMod val="130000"/>
                    </a:schemeClr>
                  </a:gs>
                  <a:gs pos="80000">
                    <a:schemeClr val="accent2">
                      <a:shade val="53000"/>
                      <a:shade val="93000"/>
                      <a:satMod val="130000"/>
                    </a:schemeClr>
                  </a:gs>
                  <a:gs pos="100000">
                    <a:schemeClr val="accent2">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823-4B1D-BDA7-40B67C0B52AF}"/>
              </c:ext>
            </c:extLst>
          </c:dPt>
          <c:dPt>
            <c:idx val="1"/>
            <c:bubble3D val="0"/>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823-4B1D-BDA7-40B67C0B52AF}"/>
              </c:ext>
            </c:extLst>
          </c:dPt>
          <c:dPt>
            <c:idx val="2"/>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823-4B1D-BDA7-40B67C0B52AF}"/>
              </c:ext>
            </c:extLst>
          </c:dPt>
          <c:dPt>
            <c:idx val="3"/>
            <c:bubble3D val="0"/>
            <c:spPr>
              <a:gradFill rotWithShape="1">
                <a:gsLst>
                  <a:gs pos="0">
                    <a:schemeClr val="accent2">
                      <a:tint val="30000"/>
                      <a:shade val="51000"/>
                      <a:satMod val="130000"/>
                    </a:schemeClr>
                  </a:gs>
                  <a:gs pos="80000">
                    <a:schemeClr val="accent2">
                      <a:tint val="30000"/>
                      <a:shade val="93000"/>
                      <a:satMod val="130000"/>
                    </a:schemeClr>
                  </a:gs>
                  <a:gs pos="100000">
                    <a:schemeClr val="accent2">
                      <a:tint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823-4B1D-BDA7-40B67C0B52AF}"/>
              </c:ext>
            </c:extLst>
          </c:dPt>
          <c:dPt>
            <c:idx val="4"/>
            <c:bubble3D val="0"/>
            <c:spPr>
              <a:gradFill rotWithShape="1">
                <a:gsLst>
                  <a:gs pos="0">
                    <a:schemeClr val="accent2">
                      <a:tint val="95000"/>
                      <a:shade val="51000"/>
                      <a:satMod val="130000"/>
                    </a:schemeClr>
                  </a:gs>
                  <a:gs pos="80000">
                    <a:schemeClr val="accent2">
                      <a:tint val="95000"/>
                      <a:shade val="93000"/>
                      <a:satMod val="130000"/>
                    </a:schemeClr>
                  </a:gs>
                  <a:gs pos="100000">
                    <a:schemeClr val="accent2">
                      <a:tint val="9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2823-4B1D-BDA7-40B67C0B52AF}"/>
              </c:ext>
            </c:extLst>
          </c:dPt>
          <c:dLbls>
            <c:dLbl>
              <c:idx val="0"/>
              <c:layout>
                <c:manualLayout>
                  <c:x val="0.15277777777777768"/>
                  <c:y val="-6.9444444444444448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823-4B1D-BDA7-40B67C0B52AF}"/>
                </c:ext>
              </c:extLst>
            </c:dLbl>
            <c:dLbl>
              <c:idx val="1"/>
              <c:layout>
                <c:manualLayout>
                  <c:x val="-0.14722222222222225"/>
                  <c:y val="0.1111111111111111"/>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823-4B1D-BDA7-40B67C0B52AF}"/>
                </c:ext>
              </c:extLst>
            </c:dLbl>
            <c:dLbl>
              <c:idx val="2"/>
              <c:layout>
                <c:manualLayout>
                  <c:x val="-0.21944444444444444"/>
                  <c:y val="-3.4722222222222265E-2"/>
                </c:manualLayout>
              </c:layout>
              <c:showLegendKey val="0"/>
              <c:showVal val="1"/>
              <c:showCatName val="1"/>
              <c:showSerName val="0"/>
              <c:showPercent val="1"/>
              <c:showBubbleSize val="0"/>
              <c:extLst>
                <c:ext xmlns:c15="http://schemas.microsoft.com/office/drawing/2012/chart" uri="{CE6537A1-D6FC-4f65-9D91-7224C49458BB}">
                  <c15:layout>
                    <c:manualLayout>
                      <c:w val="0.25341076115485567"/>
                      <c:h val="0.11424832312627588"/>
                    </c:manualLayout>
                  </c15:layout>
                </c:ext>
                <c:ext xmlns:c16="http://schemas.microsoft.com/office/drawing/2014/chart" uri="{C3380CC4-5D6E-409C-BE32-E72D297353CC}">
                  <c16:uniqueId val="{00000005-2823-4B1D-BDA7-40B67C0B52AF}"/>
                </c:ext>
              </c:extLst>
            </c:dLbl>
            <c:numFmt formatCode="General"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Performance_Dist!$A$2:$A$5</c:f>
              <c:strCache>
                <c:ptCount val="3"/>
                <c:pt idx="0">
                  <c:v>High</c:v>
                </c:pt>
                <c:pt idx="1">
                  <c:v>Low</c:v>
                </c:pt>
                <c:pt idx="2">
                  <c:v>Medium</c:v>
                </c:pt>
              </c:strCache>
            </c:strRef>
          </c:cat>
          <c:val>
            <c:numRef>
              <c:f>Performance_Dist!$B$2:$B$5</c:f>
              <c:numCache>
                <c:formatCode>General</c:formatCode>
                <c:ptCount val="3"/>
                <c:pt idx="0">
                  <c:v>207</c:v>
                </c:pt>
                <c:pt idx="1">
                  <c:v>213</c:v>
                </c:pt>
                <c:pt idx="2">
                  <c:v>80</c:v>
                </c:pt>
              </c:numCache>
            </c:numRef>
          </c:val>
          <c:extLst>
            <c:ext xmlns:c16="http://schemas.microsoft.com/office/drawing/2014/chart" uri="{C3380CC4-5D6E-409C-BE32-E72D297353CC}">
              <c16:uniqueId val="{0000000A-2823-4B1D-BDA7-40B67C0B52AF}"/>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[HR_Analytics_500_Employees.xlsx]Overtime Analysis!PivotTable6</c:name>
    <c:fmtId val="11"/>
  </c:pivotSource>
  <c:chart>
    <c:title>
      <c:tx>
        <c:rich>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rPr>
              <a:t>Overtime Analysis</a:t>
            </a:r>
            <a:endPar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'Overtime Analysis'!$B$1:$B$2</c:f>
              <c:strCache>
                <c:ptCount val="1"/>
                <c:pt idx="0">
                  <c:v>No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'Overtime Analysis'!$A$3:$A$9</c:f>
              <c:strCache>
                <c:ptCount val="6"/>
                <c:pt idx="0">
                  <c:v>Finance</c:v>
                </c:pt>
                <c:pt idx="1">
                  <c:v>HR</c:v>
                </c:pt>
                <c:pt idx="2">
                  <c:v>IT</c:v>
                </c:pt>
                <c:pt idx="3">
                  <c:v>Marketing</c:v>
                </c:pt>
                <c:pt idx="4">
                  <c:v>Operations</c:v>
                </c:pt>
                <c:pt idx="5">
                  <c:v>Sales</c:v>
                </c:pt>
              </c:strCache>
            </c:strRef>
          </c:cat>
          <c:val>
            <c:numRef>
              <c:f>'Overtime Analysis'!$B$3:$B$9</c:f>
              <c:numCache>
                <c:formatCode>General</c:formatCode>
                <c:ptCount val="6"/>
                <c:pt idx="0">
                  <c:v>49</c:v>
                </c:pt>
                <c:pt idx="1">
                  <c:v>41</c:v>
                </c:pt>
                <c:pt idx="2">
                  <c:v>38</c:v>
                </c:pt>
                <c:pt idx="3">
                  <c:v>37</c:v>
                </c:pt>
                <c:pt idx="4">
                  <c:v>43</c:v>
                </c:pt>
                <c:pt idx="5">
                  <c:v>43</c:v>
                </c:pt>
              </c:numCache>
            </c:numRef>
          </c:val>
          <c:extLst>
            <c:ext xmlns:c16="http://schemas.microsoft.com/office/drawing/2014/chart" uri="{C3380CC4-5D6E-409C-BE32-E72D297353CC}">
              <c16:uniqueId val="{00000000-4975-42B8-AAFE-CF499BB378C9}"/>
            </c:ext>
          </c:extLst>
        </c:ser>
        <c:ser>
          <c:idx val="1"/>
          <c:order val="1"/>
          <c:tx>
            <c:strRef>
              <c:f>'Overtime Analysis'!$C$1:$C$2</c:f>
              <c:strCache>
                <c:ptCount val="1"/>
                <c:pt idx="0">
                  <c:v>Yes</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'Overtime Analysis'!$A$3:$A$9</c:f>
              <c:strCache>
                <c:ptCount val="6"/>
                <c:pt idx="0">
                  <c:v>Finance</c:v>
                </c:pt>
                <c:pt idx="1">
                  <c:v>HR</c:v>
                </c:pt>
                <c:pt idx="2">
                  <c:v>IT</c:v>
                </c:pt>
                <c:pt idx="3">
                  <c:v>Marketing</c:v>
                </c:pt>
                <c:pt idx="4">
                  <c:v>Operations</c:v>
                </c:pt>
                <c:pt idx="5">
                  <c:v>Sales</c:v>
                </c:pt>
              </c:strCache>
            </c:strRef>
          </c:cat>
          <c:val>
            <c:numRef>
              <c:f>'Overtime Analysis'!$C$3:$C$9</c:f>
              <c:numCache>
                <c:formatCode>General</c:formatCode>
                <c:ptCount val="6"/>
                <c:pt idx="0">
                  <c:v>44</c:v>
                </c:pt>
                <c:pt idx="1">
                  <c:v>43</c:v>
                </c:pt>
                <c:pt idx="2">
                  <c:v>41</c:v>
                </c:pt>
                <c:pt idx="3">
                  <c:v>44</c:v>
                </c:pt>
                <c:pt idx="4">
                  <c:v>29</c:v>
                </c:pt>
                <c:pt idx="5">
                  <c:v>48</c:v>
                </c:pt>
              </c:numCache>
            </c:numRef>
          </c:val>
          <c:extLst>
            <c:ext xmlns:c16="http://schemas.microsoft.com/office/drawing/2014/chart" uri="{C3380CC4-5D6E-409C-BE32-E72D297353CC}">
              <c16:uniqueId val="{00000001-4975-42B8-AAFE-CF499BB378C9}"/>
            </c:ext>
          </c:extLst>
        </c:ser>
        <c:dLbls>
          <c:showLegendKey val="0"/>
          <c:showVal val="0"/>
          <c:showCatName val="0"/>
          <c:showSerName val="0"/>
          <c:showPercent val="0"/>
          <c:showBubbleSize val="0"/>
        </c:dLbls>
        <c:gapWidth val="100"/>
        <c:overlap val="100"/>
        <c:axId val="829313632"/>
        <c:axId val="829297792"/>
      </c:barChart>
      <c:catAx>
        <c:axId val="8293136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29297792"/>
        <c:crosses val="autoZero"/>
        <c:auto val="1"/>
        <c:lblAlgn val="ctr"/>
        <c:lblOffset val="100"/>
        <c:noMultiLvlLbl val="0"/>
      </c:catAx>
      <c:valAx>
        <c:axId val="829297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29313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[HR_Analytics_500_Employees.xlsx]count_Dept!PivotTable2</c:name>
    <c:fmtId val="1"/>
  </c:pivotSource>
  <c:chart>
    <c:title>
      <c:tx>
        <c:rich>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rPr>
              <a:t>Headcount by Department</a:t>
            </a:r>
            <a:endPar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count_Dept!$B$1</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count_Dept!$A$2:$A$8</c:f>
              <c:strCache>
                <c:ptCount val="6"/>
                <c:pt idx="0">
                  <c:v>Finance</c:v>
                </c:pt>
                <c:pt idx="1">
                  <c:v>HR</c:v>
                </c:pt>
                <c:pt idx="2">
                  <c:v>IT</c:v>
                </c:pt>
                <c:pt idx="3">
                  <c:v>Marketing</c:v>
                </c:pt>
                <c:pt idx="4">
                  <c:v>Operations</c:v>
                </c:pt>
                <c:pt idx="5">
                  <c:v>Sales</c:v>
                </c:pt>
              </c:strCache>
            </c:strRef>
          </c:cat>
          <c:val>
            <c:numRef>
              <c:f>count_Dept!$B$2:$B$8</c:f>
              <c:numCache>
                <c:formatCode>General</c:formatCode>
                <c:ptCount val="6"/>
                <c:pt idx="0">
                  <c:v>93</c:v>
                </c:pt>
                <c:pt idx="1">
                  <c:v>84</c:v>
                </c:pt>
                <c:pt idx="2">
                  <c:v>79</c:v>
                </c:pt>
                <c:pt idx="3">
                  <c:v>81</c:v>
                </c:pt>
                <c:pt idx="4">
                  <c:v>72</c:v>
                </c:pt>
                <c:pt idx="5">
                  <c:v>91</c:v>
                </c:pt>
              </c:numCache>
            </c:numRef>
          </c:val>
          <c:extLst>
            <c:ext xmlns:c16="http://schemas.microsoft.com/office/drawing/2014/chart" uri="{C3380CC4-5D6E-409C-BE32-E72D297353CC}">
              <c16:uniqueId val="{00000003-4BA8-4FA9-AB43-62AB0F91085A}"/>
            </c:ext>
          </c:extLst>
        </c:ser>
        <c:dLbls>
          <c:dLblPos val="outEnd"/>
          <c:showLegendKey val="0"/>
          <c:showVal val="1"/>
          <c:showCatName val="0"/>
          <c:showSerName val="0"/>
          <c:showPercent val="0"/>
          <c:showBubbleSize val="0"/>
        </c:dLbls>
        <c:gapWidth val="100"/>
        <c:overlap val="-24"/>
        <c:axId val="829313632"/>
        <c:axId val="829297792"/>
      </c:barChart>
      <c:catAx>
        <c:axId val="8293136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29297792"/>
        <c:crosses val="autoZero"/>
        <c:auto val="1"/>
        <c:lblAlgn val="ctr"/>
        <c:lblOffset val="100"/>
        <c:noMultiLvlLbl val="0"/>
      </c:catAx>
      <c:valAx>
        <c:axId val="8292977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29313632"/>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[HR_Analytics_500_Employees.xlsx]Avg_Salary_Dept.!PivotTable3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rPr>
              <a:t>Average Salary by Department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Avg_Salary_Dept.!$B$1</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Avg_Salary_Dept.!$A$2:$A$8</c:f>
              <c:strCache>
                <c:ptCount val="6"/>
                <c:pt idx="0">
                  <c:v>Operations</c:v>
                </c:pt>
                <c:pt idx="1">
                  <c:v>Finance</c:v>
                </c:pt>
                <c:pt idx="2">
                  <c:v>IT</c:v>
                </c:pt>
                <c:pt idx="3">
                  <c:v>Sales</c:v>
                </c:pt>
                <c:pt idx="4">
                  <c:v>HR</c:v>
                </c:pt>
                <c:pt idx="5">
                  <c:v>Marketing</c:v>
                </c:pt>
              </c:strCache>
            </c:strRef>
          </c:cat>
          <c:val>
            <c:numRef>
              <c:f>Avg_Salary_Dept.!$B$2:$B$8</c:f>
              <c:numCache>
                <c:formatCode>_("$"* #,##0.0_);_("$"* \(#,##0.0\);_("$"* "-"??_);_(@_)</c:formatCode>
                <c:ptCount val="6"/>
                <c:pt idx="0">
                  <c:v>150629.33333333334</c:v>
                </c:pt>
                <c:pt idx="1">
                  <c:v>147421.93548387097</c:v>
                </c:pt>
                <c:pt idx="2">
                  <c:v>146147.54430379748</c:v>
                </c:pt>
                <c:pt idx="3">
                  <c:v>141845.8021978022</c:v>
                </c:pt>
                <c:pt idx="4">
                  <c:v>141493.42857142858</c:v>
                </c:pt>
                <c:pt idx="5">
                  <c:v>140156</c:v>
                </c:pt>
              </c:numCache>
            </c:numRef>
          </c:val>
          <c:extLst>
            <c:ext xmlns:c16="http://schemas.microsoft.com/office/drawing/2014/chart" uri="{C3380CC4-5D6E-409C-BE32-E72D297353CC}">
              <c16:uniqueId val="{00000003-18ED-4F0A-97CB-EF8E5FF93C08}"/>
            </c:ext>
          </c:extLst>
        </c:ser>
        <c:dLbls>
          <c:showLegendKey val="0"/>
          <c:showVal val="1"/>
          <c:showCatName val="0"/>
          <c:showSerName val="0"/>
          <c:showPercent val="0"/>
          <c:showBubbleSize val="0"/>
        </c:dLbls>
        <c:gapWidth val="150"/>
        <c:shape val="box"/>
        <c:axId val="1788053168"/>
        <c:axId val="1788056528"/>
        <c:axId val="0"/>
      </c:bar3DChart>
      <c:catAx>
        <c:axId val="1788053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788056528"/>
        <c:crosses val="autoZero"/>
        <c:auto val="1"/>
        <c:lblAlgn val="ctr"/>
        <c:lblOffset val="100"/>
        <c:noMultiLvlLbl val="0"/>
      </c:catAx>
      <c:valAx>
        <c:axId val="1788056528"/>
        <c:scaling>
          <c:orientation val="minMax"/>
        </c:scaling>
        <c:delete val="0"/>
        <c:axPos val="b"/>
        <c:numFmt formatCode="_(&quot;$&quot;* #,##0.0_);_(&quot;$&quot;* \(#,##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788053168"/>
        <c:crosses val="autoZero"/>
        <c:crossBetween val="between"/>
        <c:dispUnits>
          <c:builtInUnit val="thousands"/>
          <c:dispUnitsLbl>
            <c:spPr>
              <a:noFill/>
              <a:ln>
                <a:noFill/>
              </a:ln>
              <a:effectLst/>
            </c:spPr>
            <c:txPr>
              <a:bodyPr rot="0" spcFirstLastPara="1" vertOverflow="ellipsis" vert="horz" wrap="square" anchor="ctr" anchorCtr="1"/>
              <a:lstStyle/>
              <a:p>
                <a:pPr>
                  <a:defRPr sz="1000" b="1" i="0" u="none" strike="noStrike" kern="1200" cap="all" baseline="0">
                    <a:solidFill>
                      <a:schemeClr val="bg1"/>
                    </a:solidFill>
                    <a:latin typeface="+mn-lt"/>
                    <a:ea typeface="+mn-ea"/>
                    <a:cs typeface="+mn-cs"/>
                  </a:defRPr>
                </a:pPr>
                <a:endParaRPr lang="en-US"/>
              </a:p>
            </c:txPr>
          </c:dispUnitsLbl>
        </c:dispUnits>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[HR_Analytics_500_Employees.xlsx]Performance_Dist!PivotTable4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rPr>
              <a:t>Performance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68"/>
              <c:y val="-6.944444444444444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33333333333332"/>
              <c:y val="-5.5555555555555601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3.7037037037036952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44444444444445"/>
              <c:y val="-1.388888888888888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68"/>
              <c:y val="-6.944444444444444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44444444444445"/>
              <c:y val="-1.388888888888888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3.7037037037036952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33333333333332"/>
              <c:y val="-5.5555555555555601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68"/>
              <c:y val="-6.944444444444444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44444444444445"/>
              <c:y val="-1.388888888888888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3.7037037037036952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33333333333332"/>
              <c:y val="-5.5555555555555601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68"/>
              <c:y val="-6.944444444444444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44444444444445"/>
              <c:y val="-1.388888888888888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3.7037037037036952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33333333333332"/>
              <c:y val="-5.5555555555555601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68"/>
              <c:y val="-6.944444444444444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944444444444445"/>
              <c:y val="-1.3888888888888888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3.7037037037036952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333333333333332"/>
              <c:y val="-5.5555555555555601E-2"/>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593346106154974"/>
              <c:y val="-0.1388888888888889"/>
            </c:manualLayout>
          </c:layout>
          <c:numFmt formatCode="&quot;$&quot;#,##0.00"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General"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gradFill rotWithShape="1">
            <a:gsLst>
              <a:gs pos="0">
                <a:schemeClr val="accent2">
                  <a:shade val="53000"/>
                  <a:shade val="51000"/>
                  <a:satMod val="130000"/>
                </a:schemeClr>
              </a:gs>
              <a:gs pos="80000">
                <a:schemeClr val="accent2">
                  <a:shade val="53000"/>
                  <a:shade val="93000"/>
                  <a:satMod val="130000"/>
                </a:schemeClr>
              </a:gs>
              <a:gs pos="100000">
                <a:schemeClr val="accent2">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277777777777768"/>
              <c:y val="-6.9444444444444448E-2"/>
            </c:manualLayout>
          </c:layout>
          <c:numFmt formatCode="General"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722222222222225"/>
              <c:y val="0.1111111111111111"/>
            </c:manualLayout>
          </c:layout>
          <c:numFmt formatCode="General"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1944444444444444"/>
              <c:y val="-3.4722222222222265E-2"/>
            </c:manualLayout>
          </c:layout>
          <c:numFmt formatCode="General"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341076115485567"/>
                  <c:h val="0.11424832312627588"/>
                </c:manualLayout>
              </c15:layout>
            </c:ext>
          </c:extLst>
        </c:dLbl>
      </c:pivotFmt>
    </c:pivotFmts>
    <c:plotArea>
      <c:layout/>
      <c:doughnutChart>
        <c:varyColors val="1"/>
        <c:ser>
          <c:idx val="0"/>
          <c:order val="0"/>
          <c:tx>
            <c:strRef>
              <c:f>Performance_Dist!$B$1</c:f>
              <c:strCache>
                <c:ptCount val="1"/>
                <c:pt idx="0">
                  <c:v>Total</c:v>
                </c:pt>
              </c:strCache>
            </c:strRef>
          </c:tx>
          <c:explosion val="10"/>
          <c:dPt>
            <c:idx val="0"/>
            <c:bubble3D val="0"/>
            <c:spPr>
              <a:gradFill rotWithShape="1">
                <a:gsLst>
                  <a:gs pos="0">
                    <a:schemeClr val="accent2">
                      <a:shade val="53000"/>
                      <a:shade val="51000"/>
                      <a:satMod val="130000"/>
                    </a:schemeClr>
                  </a:gs>
                  <a:gs pos="80000">
                    <a:schemeClr val="accent2">
                      <a:shade val="53000"/>
                      <a:shade val="93000"/>
                      <a:satMod val="130000"/>
                    </a:schemeClr>
                  </a:gs>
                  <a:gs pos="100000">
                    <a:schemeClr val="accent2">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CA17-4C9E-928F-04E01E0C768E}"/>
              </c:ext>
            </c:extLst>
          </c:dPt>
          <c:dPt>
            <c:idx val="1"/>
            <c:bubble3D val="0"/>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CA17-4C9E-928F-04E01E0C768E}"/>
              </c:ext>
            </c:extLst>
          </c:dPt>
          <c:dPt>
            <c:idx val="2"/>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CA17-4C9E-928F-04E01E0C768E}"/>
              </c:ext>
            </c:extLst>
          </c:dPt>
          <c:dPt>
            <c:idx val="3"/>
            <c:bubble3D val="0"/>
            <c:spPr>
              <a:gradFill rotWithShape="1">
                <a:gsLst>
                  <a:gs pos="0">
                    <a:schemeClr val="accent2">
                      <a:tint val="30000"/>
                      <a:shade val="51000"/>
                      <a:satMod val="130000"/>
                    </a:schemeClr>
                  </a:gs>
                  <a:gs pos="80000">
                    <a:schemeClr val="accent2">
                      <a:tint val="30000"/>
                      <a:shade val="93000"/>
                      <a:satMod val="130000"/>
                    </a:schemeClr>
                  </a:gs>
                  <a:gs pos="100000">
                    <a:schemeClr val="accent2">
                      <a:tint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CA17-4C9E-928F-04E01E0C768E}"/>
              </c:ext>
            </c:extLst>
          </c:dPt>
          <c:dPt>
            <c:idx val="4"/>
            <c:bubble3D val="0"/>
            <c:spPr>
              <a:gradFill rotWithShape="1">
                <a:gsLst>
                  <a:gs pos="0">
                    <a:schemeClr val="accent2">
                      <a:tint val="95000"/>
                      <a:shade val="51000"/>
                      <a:satMod val="130000"/>
                    </a:schemeClr>
                  </a:gs>
                  <a:gs pos="80000">
                    <a:schemeClr val="accent2">
                      <a:tint val="95000"/>
                      <a:shade val="93000"/>
                      <a:satMod val="130000"/>
                    </a:schemeClr>
                  </a:gs>
                  <a:gs pos="100000">
                    <a:schemeClr val="accent2">
                      <a:tint val="9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CA17-4C9E-928F-04E01E0C768E}"/>
              </c:ext>
            </c:extLst>
          </c:dPt>
          <c:dLbls>
            <c:dLbl>
              <c:idx val="0"/>
              <c:layout>
                <c:manualLayout>
                  <c:x val="0.15277777777777768"/>
                  <c:y val="-6.9444444444444448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CA17-4C9E-928F-04E01E0C768E}"/>
                </c:ext>
              </c:extLst>
            </c:dLbl>
            <c:dLbl>
              <c:idx val="1"/>
              <c:layout>
                <c:manualLayout>
                  <c:x val="-0.14722222222222225"/>
                  <c:y val="0.1111111111111111"/>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CA17-4C9E-928F-04E01E0C768E}"/>
                </c:ext>
              </c:extLst>
            </c:dLbl>
            <c:dLbl>
              <c:idx val="2"/>
              <c:layout>
                <c:manualLayout>
                  <c:x val="-0.21944444444444444"/>
                  <c:y val="-3.4722222222222265E-2"/>
                </c:manualLayout>
              </c:layout>
              <c:showLegendKey val="0"/>
              <c:showVal val="1"/>
              <c:showCatName val="1"/>
              <c:showSerName val="0"/>
              <c:showPercent val="1"/>
              <c:showBubbleSize val="0"/>
              <c:extLst>
                <c:ext xmlns:c15="http://schemas.microsoft.com/office/drawing/2012/chart" uri="{CE6537A1-D6FC-4f65-9D91-7224C49458BB}">
                  <c15:layout>
                    <c:manualLayout>
                      <c:w val="0.25341076115485567"/>
                      <c:h val="0.11424832312627588"/>
                    </c:manualLayout>
                  </c15:layout>
                </c:ext>
                <c:ext xmlns:c16="http://schemas.microsoft.com/office/drawing/2014/chart" uri="{C3380CC4-5D6E-409C-BE32-E72D297353CC}">
                  <c16:uniqueId val="{00000008-CA17-4C9E-928F-04E01E0C768E}"/>
                </c:ext>
              </c:extLst>
            </c:dLbl>
            <c:numFmt formatCode="General" sourceLinked="0"/>
            <c:spPr>
              <a:noFill/>
              <a:ln w="6350">
                <a:solidFill>
                  <a:sysClr val="windowText" lastClr="000000"/>
                </a:solidFill>
              </a:ln>
              <a:effectLst/>
            </c:spPr>
            <c:txPr>
              <a:bodyPr rot="0" spcFirstLastPara="1" vertOverflow="ellipsis" horzOverflow="clip" vert="horz" wrap="square" lIns="38100" tIns="19050" rIns="38100" bIns="19050" anchor="ctr" anchorCtr="0">
                <a:spAutoFit/>
              </a:bodyPr>
              <a:lstStyle/>
              <a:p>
                <a:pPr algn="ct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Performance_Dist!$A$2:$A$5</c:f>
              <c:strCache>
                <c:ptCount val="3"/>
                <c:pt idx="0">
                  <c:v>High</c:v>
                </c:pt>
                <c:pt idx="1">
                  <c:v>Low</c:v>
                </c:pt>
                <c:pt idx="2">
                  <c:v>Medium</c:v>
                </c:pt>
              </c:strCache>
            </c:strRef>
          </c:cat>
          <c:val>
            <c:numRef>
              <c:f>Performance_Dist!$B$2:$B$5</c:f>
              <c:numCache>
                <c:formatCode>General</c:formatCode>
                <c:ptCount val="3"/>
                <c:pt idx="0">
                  <c:v>207</c:v>
                </c:pt>
                <c:pt idx="1">
                  <c:v>213</c:v>
                </c:pt>
                <c:pt idx="2">
                  <c:v>80</c:v>
                </c:pt>
              </c:numCache>
            </c:numRef>
          </c:val>
          <c:extLst>
            <c:ext xmlns:c16="http://schemas.microsoft.com/office/drawing/2014/chart" uri="{C3380CC4-5D6E-409C-BE32-E72D297353CC}">
              <c16:uniqueId val="{0000000D-CA17-4C9E-928F-04E01E0C768E}"/>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[HR_Analytics_500_Employees.xlsx]Employees_location!PivotTable5</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rPr>
              <a:t>Employees by Work Location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overflow" horzOverflow="overflow" vert="horz" wrap="square" lIns="38100" tIns="18288" rIns="38100" bIns="19050" spcCol="1645920" anchor="ctr" anchorCtr="0">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overflow" horzOverflow="overflow" vert="horz" wrap="square" lIns="38100" tIns="18288" rIns="38100" bIns="19050" spcCol="1645920" anchor="ctr" anchorCtr="0">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overflow" horzOverflow="overflow" vert="horz" wrap="square" lIns="38100" tIns="18288" rIns="38100" bIns="19050" spcCol="1645920" anchor="ctr" anchorCtr="0">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overflow" horzOverflow="overflow" vert="horz" wrap="square" lIns="38100" tIns="18288" rIns="38100" bIns="19050" spcCol="1645920" anchor="ctr" anchorCtr="0">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Employees_location!$B$1</c:f>
              <c:strCache>
                <c:ptCount val="1"/>
                <c:pt idx="0">
                  <c:v>Total</c:v>
                </c:pt>
              </c:strCache>
            </c:strRef>
          </c:tx>
          <c:dPt>
            <c:idx val="0"/>
            <c:bubble3D val="0"/>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A1AD-4ACA-A263-3C888DCD41A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A1AD-4ACA-A263-3C888DCD41A0}"/>
              </c:ext>
            </c:extLst>
          </c:dPt>
          <c:dPt>
            <c:idx val="2"/>
            <c:bubble3D val="0"/>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A1AD-4ACA-A263-3C888DCD41A0}"/>
              </c:ext>
            </c:extLst>
          </c:dPt>
          <c:dLbls>
            <c:spPr>
              <a:noFill/>
              <a:ln>
                <a:noFill/>
              </a:ln>
              <a:effectLst/>
            </c:spPr>
            <c:txPr>
              <a:bodyPr rot="0" spcFirstLastPara="1" vertOverflow="overflow" horzOverflow="overflow" vert="horz" wrap="square" lIns="38100" tIns="18288" rIns="38100" bIns="19050" spcCol="1645920" anchor="ctr" anchorCtr="0">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Employees_location!$A$2:$A$5</c:f>
              <c:strCache>
                <c:ptCount val="3"/>
                <c:pt idx="0">
                  <c:v>Hybrid</c:v>
                </c:pt>
                <c:pt idx="1">
                  <c:v>Onsite</c:v>
                </c:pt>
                <c:pt idx="2">
                  <c:v>Remote</c:v>
                </c:pt>
              </c:strCache>
            </c:strRef>
          </c:cat>
          <c:val>
            <c:numRef>
              <c:f>Employees_location!$B$2:$B$5</c:f>
              <c:numCache>
                <c:formatCode>General</c:formatCode>
                <c:ptCount val="3"/>
                <c:pt idx="0">
                  <c:v>157</c:v>
                </c:pt>
                <c:pt idx="1">
                  <c:v>176</c:v>
                </c:pt>
                <c:pt idx="2">
                  <c:v>167</c:v>
                </c:pt>
              </c:numCache>
            </c:numRef>
          </c:val>
          <c:extLst>
            <c:ext xmlns:c16="http://schemas.microsoft.com/office/drawing/2014/chart" uri="{C3380CC4-5D6E-409C-BE32-E72D297353CC}">
              <c16:uniqueId val="{00000009-A1AD-4ACA-A263-3C888DCD41A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[HR_Analytics_500_Employees.xlsx]Overtime Analysis!PivotTable6</c:name>
    <c:fmtId val="0"/>
  </c:pivotSource>
  <c:chart>
    <c:title>
      <c:tx>
        <c:rich>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rPr>
              <a:t>Overtime Analysis</a:t>
            </a:r>
            <a:endPar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'Overtime Analysis'!$B$1:$B$2</c:f>
              <c:strCache>
                <c:ptCount val="1"/>
                <c:pt idx="0">
                  <c:v>No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'Overtime Analysis'!$A$3:$A$9</c:f>
              <c:strCache>
                <c:ptCount val="6"/>
                <c:pt idx="0">
                  <c:v>Finance</c:v>
                </c:pt>
                <c:pt idx="1">
                  <c:v>HR</c:v>
                </c:pt>
                <c:pt idx="2">
                  <c:v>IT</c:v>
                </c:pt>
                <c:pt idx="3">
                  <c:v>Marketing</c:v>
                </c:pt>
                <c:pt idx="4">
                  <c:v>Operations</c:v>
                </c:pt>
                <c:pt idx="5">
                  <c:v>Sales</c:v>
                </c:pt>
              </c:strCache>
            </c:strRef>
          </c:cat>
          <c:val>
            <c:numRef>
              <c:f>'Overtime Analysis'!$B$3:$B$9</c:f>
              <c:numCache>
                <c:formatCode>General</c:formatCode>
                <c:ptCount val="6"/>
                <c:pt idx="0">
                  <c:v>49</c:v>
                </c:pt>
                <c:pt idx="1">
                  <c:v>41</c:v>
                </c:pt>
                <c:pt idx="2">
                  <c:v>38</c:v>
                </c:pt>
                <c:pt idx="3">
                  <c:v>37</c:v>
                </c:pt>
                <c:pt idx="4">
                  <c:v>43</c:v>
                </c:pt>
                <c:pt idx="5">
                  <c:v>43</c:v>
                </c:pt>
              </c:numCache>
            </c:numRef>
          </c:val>
          <c:extLst>
            <c:ext xmlns:c16="http://schemas.microsoft.com/office/drawing/2014/chart" uri="{C3380CC4-5D6E-409C-BE32-E72D297353CC}">
              <c16:uniqueId val="{00000004-123D-421C-96ED-C76F845C20F2}"/>
            </c:ext>
          </c:extLst>
        </c:ser>
        <c:ser>
          <c:idx val="1"/>
          <c:order val="1"/>
          <c:tx>
            <c:strRef>
              <c:f>'Overtime Analysis'!$C$1:$C$2</c:f>
              <c:strCache>
                <c:ptCount val="1"/>
                <c:pt idx="0">
                  <c:v>Yes</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'Overtime Analysis'!$A$3:$A$9</c:f>
              <c:strCache>
                <c:ptCount val="6"/>
                <c:pt idx="0">
                  <c:v>Finance</c:v>
                </c:pt>
                <c:pt idx="1">
                  <c:v>HR</c:v>
                </c:pt>
                <c:pt idx="2">
                  <c:v>IT</c:v>
                </c:pt>
                <c:pt idx="3">
                  <c:v>Marketing</c:v>
                </c:pt>
                <c:pt idx="4">
                  <c:v>Operations</c:v>
                </c:pt>
                <c:pt idx="5">
                  <c:v>Sales</c:v>
                </c:pt>
              </c:strCache>
            </c:strRef>
          </c:cat>
          <c:val>
            <c:numRef>
              <c:f>'Overtime Analysis'!$C$3:$C$9</c:f>
              <c:numCache>
                <c:formatCode>General</c:formatCode>
                <c:ptCount val="6"/>
                <c:pt idx="0">
                  <c:v>44</c:v>
                </c:pt>
                <c:pt idx="1">
                  <c:v>43</c:v>
                </c:pt>
                <c:pt idx="2">
                  <c:v>41</c:v>
                </c:pt>
                <c:pt idx="3">
                  <c:v>44</c:v>
                </c:pt>
                <c:pt idx="4">
                  <c:v>29</c:v>
                </c:pt>
                <c:pt idx="5">
                  <c:v>48</c:v>
                </c:pt>
              </c:numCache>
            </c:numRef>
          </c:val>
          <c:extLst>
            <c:ext xmlns:c16="http://schemas.microsoft.com/office/drawing/2014/chart" uri="{C3380CC4-5D6E-409C-BE32-E72D297353CC}">
              <c16:uniqueId val="{00000005-123D-421C-96ED-C76F845C20F2}"/>
            </c:ext>
          </c:extLst>
        </c:ser>
        <c:dLbls>
          <c:showLegendKey val="0"/>
          <c:showVal val="0"/>
          <c:showCatName val="0"/>
          <c:showSerName val="0"/>
          <c:showPercent val="0"/>
          <c:showBubbleSize val="0"/>
        </c:dLbls>
        <c:gapWidth val="100"/>
        <c:overlap val="100"/>
        <c:axId val="829313632"/>
        <c:axId val="829297792"/>
      </c:barChart>
      <c:catAx>
        <c:axId val="8293136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29297792"/>
        <c:crosses val="autoZero"/>
        <c:auto val="1"/>
        <c:lblAlgn val="ctr"/>
        <c:lblOffset val="100"/>
        <c:noMultiLvlLbl val="0"/>
      </c:catAx>
      <c:valAx>
        <c:axId val="829297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29313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pivotOptions>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212274</xdr:colOff>
      <xdr:row>2</xdr:row>
      <xdr:rowOff>131990</xdr:rowOff>
    </xdr:from>
    <xdr:to>
      <xdr:col>26</xdr:col>
      <xdr:colOff>379977</xdr:colOff>
      <xdr:row>58</xdr:row>
      <xdr:rowOff>123825</xdr:rowOff>
    </xdr:to>
    <xdr:sp macro="" textlink="">
      <xdr:nvSpPr>
        <xdr:cNvPr id="2" name="Rectangle 1">
          <a:extLst>
            <a:ext uri="{FF2B5EF4-FFF2-40B4-BE49-F238E27FC236}">
              <a16:creationId xmlns:a16="http://schemas.microsoft.com/office/drawing/2014/main" id="{F47A2822-9F60-40AA-B603-A37BE7A556E1}"/>
            </a:ext>
          </a:extLst>
        </xdr:cNvPr>
        <xdr:cNvSpPr/>
      </xdr:nvSpPr>
      <xdr:spPr>
        <a:xfrm>
          <a:off x="212274" y="512990"/>
          <a:ext cx="16017303" cy="1070746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138520</xdr:colOff>
      <xdr:row>4</xdr:row>
      <xdr:rowOff>186410</xdr:rowOff>
    </xdr:from>
    <xdr:to>
      <xdr:col>17</xdr:col>
      <xdr:colOff>397680</xdr:colOff>
      <xdr:row>8</xdr:row>
      <xdr:rowOff>110210</xdr:rowOff>
    </xdr:to>
    <xdr:grpSp>
      <xdr:nvGrpSpPr>
        <xdr:cNvPr id="3" name="Group 2">
          <a:extLst>
            <a:ext uri="{FF2B5EF4-FFF2-40B4-BE49-F238E27FC236}">
              <a16:creationId xmlns:a16="http://schemas.microsoft.com/office/drawing/2014/main" id="{EC56644C-7DCC-4DBA-85F5-4BC903AF8B8E}"/>
            </a:ext>
          </a:extLst>
        </xdr:cNvPr>
        <xdr:cNvGrpSpPr/>
      </xdr:nvGrpSpPr>
      <xdr:grpSpPr>
        <a:xfrm>
          <a:off x="5584579" y="948410"/>
          <a:ext cx="5100101" cy="685800"/>
          <a:chOff x="3071494" y="352424"/>
          <a:chExt cx="5096513" cy="685800"/>
        </a:xfrm>
      </xdr:grpSpPr>
      <xdr:sp macro="" textlink="">
        <xdr:nvSpPr>
          <xdr:cNvPr id="4" name="Rectangle: Rounded Corners 3">
            <a:extLst>
              <a:ext uri="{FF2B5EF4-FFF2-40B4-BE49-F238E27FC236}">
                <a16:creationId xmlns:a16="http://schemas.microsoft.com/office/drawing/2014/main" id="{E63C361B-65E7-307B-6356-5CA2FCAE0497}"/>
              </a:ext>
            </a:extLst>
          </xdr:cNvPr>
          <xdr:cNvSpPr/>
        </xdr:nvSpPr>
        <xdr:spPr>
          <a:xfrm>
            <a:off x="3071494" y="352424"/>
            <a:ext cx="5096513" cy="68580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US" sz="1100"/>
          </a:p>
        </xdr:txBody>
      </xdr:sp>
      <xdr:sp macro="" textlink="">
        <xdr:nvSpPr>
          <xdr:cNvPr id="5" name="TextBox 4">
            <a:extLst>
              <a:ext uri="{FF2B5EF4-FFF2-40B4-BE49-F238E27FC236}">
                <a16:creationId xmlns:a16="http://schemas.microsoft.com/office/drawing/2014/main" id="{2CBF4631-9F34-EC07-D174-29B3DEF94526}"/>
              </a:ext>
            </a:extLst>
          </xdr:cNvPr>
          <xdr:cNvSpPr txBox="1"/>
        </xdr:nvSpPr>
        <xdr:spPr>
          <a:xfrm>
            <a:off x="3605213" y="490537"/>
            <a:ext cx="4029075" cy="4095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bg1"/>
                </a:solidFill>
              </a:rPr>
              <a:t>Sales Analysis Dashboard</a:t>
            </a:r>
          </a:p>
        </xdr:txBody>
      </xdr:sp>
    </xdr:grpSp>
    <xdr:clientData/>
  </xdr:twoCellAnchor>
  <xdr:twoCellAnchor>
    <xdr:from>
      <xdr:col>0</xdr:col>
      <xdr:colOff>404538</xdr:colOff>
      <xdr:row>11</xdr:row>
      <xdr:rowOff>45915</xdr:rowOff>
    </xdr:from>
    <xdr:to>
      <xdr:col>4</xdr:col>
      <xdr:colOff>587434</xdr:colOff>
      <xdr:row>18</xdr:row>
      <xdr:rowOff>75265</xdr:rowOff>
    </xdr:to>
    <xdr:sp macro="" textlink="">
      <xdr:nvSpPr>
        <xdr:cNvPr id="6" name="Rectangle: Rounded Corners 5">
          <a:extLst>
            <a:ext uri="{FF2B5EF4-FFF2-40B4-BE49-F238E27FC236}">
              <a16:creationId xmlns:a16="http://schemas.microsoft.com/office/drawing/2014/main" id="{352269EA-B657-46D9-AD4B-1AB4CBE9A108}"/>
            </a:ext>
          </a:extLst>
        </xdr:cNvPr>
        <xdr:cNvSpPr/>
      </xdr:nvSpPr>
      <xdr:spPr>
        <a:xfrm>
          <a:off x="404538" y="2175033"/>
          <a:ext cx="2603367" cy="1385261"/>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483643</xdr:colOff>
      <xdr:row>12</xdr:row>
      <xdr:rowOff>17460</xdr:rowOff>
    </xdr:from>
    <xdr:to>
      <xdr:col>4</xdr:col>
      <xdr:colOff>496522</xdr:colOff>
      <xdr:row>13</xdr:row>
      <xdr:rowOff>101280</xdr:rowOff>
    </xdr:to>
    <xdr:sp macro="" textlink="KPI!A4">
      <xdr:nvSpPr>
        <xdr:cNvPr id="7" name="TextBox 6">
          <a:extLst>
            <a:ext uri="{FF2B5EF4-FFF2-40B4-BE49-F238E27FC236}">
              <a16:creationId xmlns:a16="http://schemas.microsoft.com/office/drawing/2014/main" id="{7C61DDAA-F3BB-4C3F-906B-76179048A5C4}"/>
            </a:ext>
          </a:extLst>
        </xdr:cNvPr>
        <xdr:cNvSpPr txBox="1"/>
      </xdr:nvSpPr>
      <xdr:spPr>
        <a:xfrm>
          <a:off x="483643" y="2303460"/>
          <a:ext cx="2451279" cy="2743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386079-35CB-4243-837B-D2A2D5A7CB3D}" type="TxLink">
            <a:rPr lang="en-US" sz="1600" b="1" i="0" u="none" strike="noStrike">
              <a:solidFill>
                <a:srgbClr val="000000"/>
              </a:solidFill>
              <a:latin typeface="Times New Roman"/>
              <a:ea typeface="Cambria"/>
              <a:cs typeface="Times New Roman"/>
            </a:rPr>
            <a:pPr algn="ctr"/>
            <a:t>Total Employees</a:t>
          </a:fld>
          <a:endParaRPr lang="en-US" sz="2000" b="1"/>
        </a:p>
      </xdr:txBody>
    </xdr:sp>
    <xdr:clientData/>
  </xdr:twoCellAnchor>
  <xdr:twoCellAnchor>
    <xdr:from>
      <xdr:col>1</xdr:col>
      <xdr:colOff>98496</xdr:colOff>
      <xdr:row>14</xdr:row>
      <xdr:rowOff>179385</xdr:rowOff>
    </xdr:from>
    <xdr:to>
      <xdr:col>4</xdr:col>
      <xdr:colOff>281155</xdr:colOff>
      <xdr:row>17</xdr:row>
      <xdr:rowOff>65085</xdr:rowOff>
    </xdr:to>
    <xdr:sp macro="" textlink="KPI!B4">
      <xdr:nvSpPr>
        <xdr:cNvPr id="8" name="Rectangle: Rounded Corners 7">
          <a:extLst>
            <a:ext uri="{FF2B5EF4-FFF2-40B4-BE49-F238E27FC236}">
              <a16:creationId xmlns:a16="http://schemas.microsoft.com/office/drawing/2014/main" id="{09C18DF8-80EC-4341-BCC1-FBBA97D2A5B1}"/>
            </a:ext>
          </a:extLst>
        </xdr:cNvPr>
        <xdr:cNvSpPr/>
      </xdr:nvSpPr>
      <xdr:spPr>
        <a:xfrm>
          <a:off x="708096" y="2846385"/>
          <a:ext cx="2011459" cy="4572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AE3CD844-7B8A-4A4A-AAA5-AACD16674246}" type="TxLink">
            <a:rPr lang="en-US" sz="1600" b="1" i="0" u="none" strike="noStrike">
              <a:solidFill>
                <a:srgbClr val="000000"/>
              </a:solidFill>
              <a:latin typeface="Calibri"/>
              <a:cs typeface="Calibri"/>
            </a:rPr>
            <a:pPr algn="ctr"/>
            <a:t>500</a:t>
          </a:fld>
          <a:endParaRPr lang="en-US" sz="2400" b="1"/>
        </a:p>
      </xdr:txBody>
    </xdr:sp>
    <xdr:clientData/>
  </xdr:twoCellAnchor>
  <xdr:twoCellAnchor>
    <xdr:from>
      <xdr:col>5</xdr:col>
      <xdr:colOff>590421</xdr:colOff>
      <xdr:row>11</xdr:row>
      <xdr:rowOff>45915</xdr:rowOff>
    </xdr:from>
    <xdr:to>
      <xdr:col>10</xdr:col>
      <xdr:colOff>169442</xdr:colOff>
      <xdr:row>18</xdr:row>
      <xdr:rowOff>75265</xdr:rowOff>
    </xdr:to>
    <xdr:sp macro="" textlink="">
      <xdr:nvSpPr>
        <xdr:cNvPr id="9" name="Rectangle: Rounded Corners 8">
          <a:extLst>
            <a:ext uri="{FF2B5EF4-FFF2-40B4-BE49-F238E27FC236}">
              <a16:creationId xmlns:a16="http://schemas.microsoft.com/office/drawing/2014/main" id="{322753B6-9ACE-4214-9D49-3E8C6080784F}"/>
            </a:ext>
          </a:extLst>
        </xdr:cNvPr>
        <xdr:cNvSpPr/>
      </xdr:nvSpPr>
      <xdr:spPr>
        <a:xfrm>
          <a:off x="3638421" y="2141415"/>
          <a:ext cx="2627021" cy="136285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67391</xdr:colOff>
      <xdr:row>12</xdr:row>
      <xdr:rowOff>17460</xdr:rowOff>
    </xdr:from>
    <xdr:to>
      <xdr:col>10</xdr:col>
      <xdr:colOff>80150</xdr:colOff>
      <xdr:row>13</xdr:row>
      <xdr:rowOff>101280</xdr:rowOff>
    </xdr:to>
    <xdr:sp macro="" textlink="KPI!A5">
      <xdr:nvSpPr>
        <xdr:cNvPr id="10" name="TextBox 9">
          <a:extLst>
            <a:ext uri="{FF2B5EF4-FFF2-40B4-BE49-F238E27FC236}">
              <a16:creationId xmlns:a16="http://schemas.microsoft.com/office/drawing/2014/main" id="{72F49EC1-8F24-4FBA-A26A-0A7632792805}"/>
            </a:ext>
          </a:extLst>
        </xdr:cNvPr>
        <xdr:cNvSpPr txBox="1"/>
      </xdr:nvSpPr>
      <xdr:spPr>
        <a:xfrm>
          <a:off x="3724991" y="2303460"/>
          <a:ext cx="2451159" cy="2743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72BBC1B-E064-49A6-A781-127198E58045}" type="TxLink">
            <a:rPr lang="en-US" sz="1600" b="1" i="0" u="none" strike="noStrike">
              <a:solidFill>
                <a:srgbClr val="000000"/>
              </a:solidFill>
              <a:latin typeface="Times New Roman"/>
              <a:ea typeface="Cambria"/>
              <a:cs typeface="Times New Roman"/>
            </a:rPr>
            <a:pPr marL="0" indent="0" algn="ctr"/>
            <a:t>Average Salary</a:t>
          </a:fld>
          <a:endParaRPr lang="en-US" sz="2000" b="1" i="0" u="none" strike="noStrike">
            <a:solidFill>
              <a:srgbClr val="000000"/>
            </a:solidFill>
            <a:latin typeface="Calibri"/>
            <a:ea typeface="+mn-ea"/>
            <a:cs typeface="Calibri"/>
          </a:endParaRPr>
        </a:p>
      </xdr:txBody>
    </xdr:sp>
    <xdr:clientData/>
  </xdr:twoCellAnchor>
  <xdr:twoCellAnchor>
    <xdr:from>
      <xdr:col>6</xdr:col>
      <xdr:colOff>333986</xdr:colOff>
      <xdr:row>14</xdr:row>
      <xdr:rowOff>179385</xdr:rowOff>
    </xdr:from>
    <xdr:to>
      <xdr:col>9</xdr:col>
      <xdr:colOff>516547</xdr:colOff>
      <xdr:row>17</xdr:row>
      <xdr:rowOff>65085</xdr:rowOff>
    </xdr:to>
    <xdr:sp macro="" textlink="KPI!B5">
      <xdr:nvSpPr>
        <xdr:cNvPr id="11" name="Rectangle: Rounded Corners 10">
          <a:extLst>
            <a:ext uri="{FF2B5EF4-FFF2-40B4-BE49-F238E27FC236}">
              <a16:creationId xmlns:a16="http://schemas.microsoft.com/office/drawing/2014/main" id="{5C089777-BBAF-4801-B5BD-E1EC59E7A0E1}"/>
            </a:ext>
          </a:extLst>
        </xdr:cNvPr>
        <xdr:cNvSpPr/>
      </xdr:nvSpPr>
      <xdr:spPr>
        <a:xfrm>
          <a:off x="3991586" y="2846385"/>
          <a:ext cx="2011361" cy="4572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CC182DEC-7F81-41B6-9635-6904D1C031CC}" type="TxLink">
            <a:rPr lang="en-US" sz="1600" b="1" i="0" u="none" strike="noStrike">
              <a:solidFill>
                <a:srgbClr val="000000"/>
              </a:solidFill>
              <a:latin typeface="Calibri"/>
              <a:cs typeface="Calibri"/>
            </a:rPr>
            <a:pPr algn="ctr"/>
            <a:t> $144,494.5 </a:t>
          </a:fld>
          <a:endParaRPr lang="en-US"/>
        </a:p>
      </xdr:txBody>
    </xdr:sp>
    <xdr:clientData/>
  </xdr:twoCellAnchor>
  <xdr:twoCellAnchor>
    <xdr:from>
      <xdr:col>11</xdr:col>
      <xdr:colOff>172428</xdr:colOff>
      <xdr:row>11</xdr:row>
      <xdr:rowOff>45914</xdr:rowOff>
    </xdr:from>
    <xdr:to>
      <xdr:col>15</xdr:col>
      <xdr:colOff>355325</xdr:colOff>
      <xdr:row>18</xdr:row>
      <xdr:rowOff>75265</xdr:rowOff>
    </xdr:to>
    <xdr:sp macro="" textlink="">
      <xdr:nvSpPr>
        <xdr:cNvPr id="12" name="Rectangle: Rounded Corners 11">
          <a:extLst>
            <a:ext uri="{FF2B5EF4-FFF2-40B4-BE49-F238E27FC236}">
              <a16:creationId xmlns:a16="http://schemas.microsoft.com/office/drawing/2014/main" id="{25D39CFE-E814-4206-90E9-6FAE2A6D1BBC}"/>
            </a:ext>
          </a:extLst>
        </xdr:cNvPr>
        <xdr:cNvSpPr/>
      </xdr:nvSpPr>
      <xdr:spPr>
        <a:xfrm>
          <a:off x="6878028" y="2141414"/>
          <a:ext cx="2621297" cy="1362851"/>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255624</xdr:colOff>
      <xdr:row>12</xdr:row>
      <xdr:rowOff>18027</xdr:rowOff>
    </xdr:from>
    <xdr:to>
      <xdr:col>15</xdr:col>
      <xdr:colOff>272129</xdr:colOff>
      <xdr:row>13</xdr:row>
      <xdr:rowOff>101847</xdr:rowOff>
    </xdr:to>
    <xdr:sp macro="" textlink="KPI!A6">
      <xdr:nvSpPr>
        <xdr:cNvPr id="13" name="TextBox 12">
          <a:extLst>
            <a:ext uri="{FF2B5EF4-FFF2-40B4-BE49-F238E27FC236}">
              <a16:creationId xmlns:a16="http://schemas.microsoft.com/office/drawing/2014/main" id="{A080FE45-FED8-46E0-B821-BD145F218A46}"/>
            </a:ext>
          </a:extLst>
        </xdr:cNvPr>
        <xdr:cNvSpPr txBox="1"/>
      </xdr:nvSpPr>
      <xdr:spPr>
        <a:xfrm>
          <a:off x="6961224" y="2304027"/>
          <a:ext cx="2454905" cy="2743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F7511BE-465D-4AAE-9A5A-43275588A630}" type="TxLink">
            <a:rPr lang="en-US" sz="1600" b="1" i="0" u="none" strike="noStrike">
              <a:solidFill>
                <a:srgbClr val="000000"/>
              </a:solidFill>
              <a:latin typeface="Times New Roman"/>
              <a:ea typeface="Cambria"/>
              <a:cs typeface="Times New Roman"/>
            </a:rPr>
            <a:pPr marL="0" indent="0" algn="ctr"/>
            <a:t>Avg Performance Rating</a:t>
          </a:fld>
          <a:endParaRPr lang="en-US" sz="2000" b="1" i="0" u="none" strike="noStrike">
            <a:solidFill>
              <a:srgbClr val="000000"/>
            </a:solidFill>
            <a:latin typeface="Calibri"/>
            <a:ea typeface="+mn-ea"/>
            <a:cs typeface="Calibri"/>
          </a:endParaRPr>
        </a:p>
      </xdr:txBody>
    </xdr:sp>
    <xdr:clientData/>
  </xdr:twoCellAnchor>
  <xdr:twoCellAnchor>
    <xdr:from>
      <xdr:col>11</xdr:col>
      <xdr:colOff>478707</xdr:colOff>
      <xdr:row>14</xdr:row>
      <xdr:rowOff>179952</xdr:rowOff>
    </xdr:from>
    <xdr:to>
      <xdr:col>15</xdr:col>
      <xdr:colOff>49046</xdr:colOff>
      <xdr:row>17</xdr:row>
      <xdr:rowOff>65652</xdr:rowOff>
    </xdr:to>
    <xdr:sp macro="" textlink="KPI!B6">
      <xdr:nvSpPr>
        <xdr:cNvPr id="14" name="Rectangle: Rounded Corners 13">
          <a:extLst>
            <a:ext uri="{FF2B5EF4-FFF2-40B4-BE49-F238E27FC236}">
              <a16:creationId xmlns:a16="http://schemas.microsoft.com/office/drawing/2014/main" id="{DFBA9C51-3183-4341-8199-E8EFB73AF418}"/>
            </a:ext>
          </a:extLst>
        </xdr:cNvPr>
        <xdr:cNvSpPr/>
      </xdr:nvSpPr>
      <xdr:spPr>
        <a:xfrm>
          <a:off x="7184307" y="2846952"/>
          <a:ext cx="2008739" cy="4572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6A16BBB0-A875-437F-BCFF-76867787A355}" type="TxLink">
            <a:rPr lang="en-US" sz="1600" b="1" i="0" u="none" strike="noStrike">
              <a:solidFill>
                <a:srgbClr val="000000"/>
              </a:solidFill>
              <a:latin typeface="Calibri"/>
              <a:cs typeface="Calibri"/>
            </a:rPr>
            <a:pPr algn="ctr"/>
            <a:t>2.978</a:t>
          </a:fld>
          <a:endParaRPr lang="en-US" sz="1600" b="1"/>
        </a:p>
      </xdr:txBody>
    </xdr:sp>
    <xdr:clientData/>
  </xdr:twoCellAnchor>
  <xdr:twoCellAnchor>
    <xdr:from>
      <xdr:col>16</xdr:col>
      <xdr:colOff>358311</xdr:colOff>
      <xdr:row>11</xdr:row>
      <xdr:rowOff>45914</xdr:rowOff>
    </xdr:from>
    <xdr:to>
      <xdr:col>20</xdr:col>
      <xdr:colOff>549653</xdr:colOff>
      <xdr:row>18</xdr:row>
      <xdr:rowOff>75265</xdr:rowOff>
    </xdr:to>
    <xdr:sp macro="" textlink="">
      <xdr:nvSpPr>
        <xdr:cNvPr id="15" name="Rectangle: Rounded Corners 14">
          <a:extLst>
            <a:ext uri="{FF2B5EF4-FFF2-40B4-BE49-F238E27FC236}">
              <a16:creationId xmlns:a16="http://schemas.microsoft.com/office/drawing/2014/main" id="{FF915037-5B78-4BEF-9027-6C6788A955B1}"/>
            </a:ext>
          </a:extLst>
        </xdr:cNvPr>
        <xdr:cNvSpPr/>
      </xdr:nvSpPr>
      <xdr:spPr>
        <a:xfrm>
          <a:off x="10111911" y="2141414"/>
          <a:ext cx="2629742" cy="1362851"/>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445791</xdr:colOff>
      <xdr:row>12</xdr:row>
      <xdr:rowOff>13607</xdr:rowOff>
    </xdr:from>
    <xdr:to>
      <xdr:col>20</xdr:col>
      <xdr:colOff>462173</xdr:colOff>
      <xdr:row>13</xdr:row>
      <xdr:rowOff>97427</xdr:rowOff>
    </xdr:to>
    <xdr:sp macro="" textlink="KPI!A7">
      <xdr:nvSpPr>
        <xdr:cNvPr id="16" name="TextBox 15">
          <a:extLst>
            <a:ext uri="{FF2B5EF4-FFF2-40B4-BE49-F238E27FC236}">
              <a16:creationId xmlns:a16="http://schemas.microsoft.com/office/drawing/2014/main" id="{BF64E0EA-57B3-4AB5-B0A4-BFB6DDDCA2AF}"/>
            </a:ext>
          </a:extLst>
        </xdr:cNvPr>
        <xdr:cNvSpPr txBox="1"/>
      </xdr:nvSpPr>
      <xdr:spPr>
        <a:xfrm>
          <a:off x="10242934" y="2299607"/>
          <a:ext cx="2465668" cy="2743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9004FC8-694A-4AAC-B7BF-1A1CDD36FF6A}" type="TxLink">
            <a:rPr lang="en-US" sz="1600" b="1" i="0" u="none" strike="noStrike">
              <a:solidFill>
                <a:srgbClr val="000000"/>
              </a:solidFill>
              <a:latin typeface="Times New Roman"/>
              <a:ea typeface="Cambria"/>
              <a:cs typeface="Times New Roman"/>
            </a:rPr>
            <a:pPr marL="0" indent="0" algn="ctr"/>
            <a:t>Overtime Employees % </a:t>
          </a:fld>
          <a:endParaRPr lang="en-US" sz="2000" b="1" i="0" u="none" strike="noStrike">
            <a:solidFill>
              <a:srgbClr val="000000"/>
            </a:solidFill>
            <a:latin typeface="Calibri"/>
            <a:ea typeface="+mn-ea"/>
            <a:cs typeface="Calibri"/>
          </a:endParaRPr>
        </a:p>
      </xdr:txBody>
    </xdr:sp>
    <xdr:clientData/>
  </xdr:twoCellAnchor>
  <xdr:twoCellAnchor>
    <xdr:from>
      <xdr:col>17</xdr:col>
      <xdr:colOff>101877</xdr:colOff>
      <xdr:row>14</xdr:row>
      <xdr:rowOff>179952</xdr:rowOff>
    </xdr:from>
    <xdr:to>
      <xdr:col>20</xdr:col>
      <xdr:colOff>284437</xdr:colOff>
      <xdr:row>17</xdr:row>
      <xdr:rowOff>65652</xdr:rowOff>
    </xdr:to>
    <xdr:sp macro="" textlink="KPI!B7">
      <xdr:nvSpPr>
        <xdr:cNvPr id="17" name="Rectangle: Rounded Corners 16">
          <a:extLst>
            <a:ext uri="{FF2B5EF4-FFF2-40B4-BE49-F238E27FC236}">
              <a16:creationId xmlns:a16="http://schemas.microsoft.com/office/drawing/2014/main" id="{22D5ECC5-C2CF-4186-A273-29430BF3136B}"/>
            </a:ext>
          </a:extLst>
        </xdr:cNvPr>
        <xdr:cNvSpPr/>
      </xdr:nvSpPr>
      <xdr:spPr>
        <a:xfrm>
          <a:off x="10465077" y="2846952"/>
          <a:ext cx="2011360" cy="4572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934E1833-9543-444C-BEF2-A279F9BA9FA4}" type="TxLink">
            <a:rPr lang="en-US" sz="1600" b="1" i="0" u="none" strike="noStrike">
              <a:solidFill>
                <a:srgbClr val="000000"/>
              </a:solidFill>
              <a:latin typeface="Calibri"/>
              <a:cs typeface="Calibri"/>
            </a:rPr>
            <a:pPr algn="ctr"/>
            <a:t>49.80%</a:t>
          </a:fld>
          <a:endParaRPr lang="en-US" sz="1600" b="1"/>
        </a:p>
      </xdr:txBody>
    </xdr:sp>
    <xdr:clientData/>
  </xdr:twoCellAnchor>
  <xdr:twoCellAnchor>
    <xdr:from>
      <xdr:col>21</xdr:col>
      <xdr:colOff>552640</xdr:colOff>
      <xdr:row>11</xdr:row>
      <xdr:rowOff>45914</xdr:rowOff>
    </xdr:from>
    <xdr:to>
      <xdr:col>26</xdr:col>
      <xdr:colOff>131661</xdr:colOff>
      <xdr:row>18</xdr:row>
      <xdr:rowOff>75265</xdr:rowOff>
    </xdr:to>
    <xdr:sp macro="" textlink="">
      <xdr:nvSpPr>
        <xdr:cNvPr id="24" name="Rectangle: Rounded Corners 23">
          <a:extLst>
            <a:ext uri="{FF2B5EF4-FFF2-40B4-BE49-F238E27FC236}">
              <a16:creationId xmlns:a16="http://schemas.microsoft.com/office/drawing/2014/main" id="{07161941-F12D-4085-A6E2-BFA628191FE0}"/>
            </a:ext>
          </a:extLst>
        </xdr:cNvPr>
        <xdr:cNvSpPr/>
      </xdr:nvSpPr>
      <xdr:spPr>
        <a:xfrm>
          <a:off x="13260111" y="2175032"/>
          <a:ext cx="2604609" cy="1385262"/>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22</xdr:col>
      <xdr:colOff>27799</xdr:colOff>
      <xdr:row>12</xdr:row>
      <xdr:rowOff>13607</xdr:rowOff>
    </xdr:from>
    <xdr:to>
      <xdr:col>26</xdr:col>
      <xdr:colOff>44181</xdr:colOff>
      <xdr:row>13</xdr:row>
      <xdr:rowOff>154101</xdr:rowOff>
    </xdr:to>
    <xdr:sp macro="" textlink="KPI!A8">
      <xdr:nvSpPr>
        <xdr:cNvPr id="25" name="TextBox 24">
          <a:extLst>
            <a:ext uri="{FF2B5EF4-FFF2-40B4-BE49-F238E27FC236}">
              <a16:creationId xmlns:a16="http://schemas.microsoft.com/office/drawing/2014/main" id="{B90A9B0B-7EB4-4B7A-A3BD-79748A1873EE}"/>
            </a:ext>
          </a:extLst>
        </xdr:cNvPr>
        <xdr:cNvSpPr txBox="1"/>
      </xdr:nvSpPr>
      <xdr:spPr>
        <a:xfrm>
          <a:off x="13498870" y="2299607"/>
          <a:ext cx="2465668" cy="33099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097C368-56AB-4F5A-93EF-1B6722DC438B}" type="TxLink">
            <a:rPr lang="en-US" sz="1600" b="1" i="0" u="none" strike="noStrike">
              <a:solidFill>
                <a:srgbClr val="000000"/>
              </a:solidFill>
              <a:latin typeface="Times New Roman"/>
              <a:ea typeface="Cambria"/>
              <a:cs typeface="Times New Roman"/>
            </a:rPr>
            <a:pPr marL="0" indent="0" algn="ctr"/>
            <a:t>Senior Employees %</a:t>
          </a:fld>
          <a:endParaRPr lang="en-US" sz="1600" b="1" i="0" u="none" strike="noStrike">
            <a:solidFill>
              <a:srgbClr val="000000"/>
            </a:solidFill>
            <a:latin typeface="Times New Roman"/>
            <a:ea typeface="Cambria"/>
            <a:cs typeface="Times New Roman"/>
          </a:endParaRPr>
        </a:p>
      </xdr:txBody>
    </xdr:sp>
    <xdr:clientData/>
  </xdr:twoCellAnchor>
  <xdr:twoCellAnchor>
    <xdr:from>
      <xdr:col>22</xdr:col>
      <xdr:colOff>296206</xdr:colOff>
      <xdr:row>14</xdr:row>
      <xdr:rowOff>179952</xdr:rowOff>
    </xdr:from>
    <xdr:to>
      <xdr:col>25</xdr:col>
      <xdr:colOff>478766</xdr:colOff>
      <xdr:row>17</xdr:row>
      <xdr:rowOff>65652</xdr:rowOff>
    </xdr:to>
    <xdr:sp macro="" textlink="KPI!B8">
      <xdr:nvSpPr>
        <xdr:cNvPr id="26" name="Rectangle: Rounded Corners 25">
          <a:extLst>
            <a:ext uri="{FF2B5EF4-FFF2-40B4-BE49-F238E27FC236}">
              <a16:creationId xmlns:a16="http://schemas.microsoft.com/office/drawing/2014/main" id="{903B0DD6-18DF-4A55-BB32-0989495C6739}"/>
            </a:ext>
          </a:extLst>
        </xdr:cNvPr>
        <xdr:cNvSpPr/>
      </xdr:nvSpPr>
      <xdr:spPr>
        <a:xfrm>
          <a:off x="13707406" y="2846952"/>
          <a:ext cx="2011360" cy="4572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26ACDEA4-3E29-4EA1-A6E0-DF1CBCC45A18}" type="TxLink">
            <a:rPr lang="en-US" sz="1600" b="1" i="0" u="none" strike="noStrike">
              <a:solidFill>
                <a:srgbClr val="000000"/>
              </a:solidFill>
              <a:latin typeface="Calibri"/>
              <a:cs typeface="Calibri"/>
            </a:rPr>
            <a:t>45.60%</a:t>
          </a:fld>
          <a:endParaRPr lang="en-US" sz="1600" b="1"/>
        </a:p>
      </xdr:txBody>
    </xdr:sp>
    <xdr:clientData/>
  </xdr:twoCellAnchor>
  <xdr:twoCellAnchor>
    <xdr:from>
      <xdr:col>0</xdr:col>
      <xdr:colOff>404538</xdr:colOff>
      <xdr:row>19</xdr:row>
      <xdr:rowOff>144665</xdr:rowOff>
    </xdr:from>
    <xdr:to>
      <xdr:col>9</xdr:col>
      <xdr:colOff>29911</xdr:colOff>
      <xdr:row>36</xdr:row>
      <xdr:rowOff>106565</xdr:rowOff>
    </xdr:to>
    <xdr:graphicFrame macro="">
      <xdr:nvGraphicFramePr>
        <xdr:cNvPr id="31" name="Chart 30">
          <a:extLst>
            <a:ext uri="{FF2B5EF4-FFF2-40B4-BE49-F238E27FC236}">
              <a16:creationId xmlns:a16="http://schemas.microsoft.com/office/drawing/2014/main" id="{09992EC7-0D8B-4871-95CD-6FAA10CA9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125873</xdr:colOff>
      <xdr:row>19</xdr:row>
      <xdr:rowOff>144665</xdr:rowOff>
    </xdr:from>
    <xdr:to>
      <xdr:col>17</xdr:col>
      <xdr:colOff>360846</xdr:colOff>
      <xdr:row>36</xdr:row>
      <xdr:rowOff>106565</xdr:rowOff>
    </xdr:to>
    <xdr:graphicFrame macro="">
      <xdr:nvGraphicFramePr>
        <xdr:cNvPr id="32" name="Chart 31">
          <a:extLst>
            <a:ext uri="{FF2B5EF4-FFF2-40B4-BE49-F238E27FC236}">
              <a16:creationId xmlns:a16="http://schemas.microsoft.com/office/drawing/2014/main" id="{AAEFC181-0644-4196-BE90-DB855B830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502824</xdr:colOff>
      <xdr:row>19</xdr:row>
      <xdr:rowOff>144665</xdr:rowOff>
    </xdr:from>
    <xdr:to>
      <xdr:col>26</xdr:col>
      <xdr:colOff>131661</xdr:colOff>
      <xdr:row>36</xdr:row>
      <xdr:rowOff>106565</xdr:rowOff>
    </xdr:to>
    <xdr:graphicFrame macro="">
      <xdr:nvGraphicFramePr>
        <xdr:cNvPr id="34" name="Chart 33">
          <a:extLst>
            <a:ext uri="{FF2B5EF4-FFF2-40B4-BE49-F238E27FC236}">
              <a16:creationId xmlns:a16="http://schemas.microsoft.com/office/drawing/2014/main" id="{674DB69C-1C7C-41C2-8827-669892911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404538</xdr:colOff>
      <xdr:row>37</xdr:row>
      <xdr:rowOff>175964</xdr:rowOff>
    </xdr:from>
    <xdr:to>
      <xdr:col>9</xdr:col>
      <xdr:colOff>40579</xdr:colOff>
      <xdr:row>54</xdr:row>
      <xdr:rowOff>137864</xdr:rowOff>
    </xdr:to>
    <xdr:graphicFrame macro="">
      <xdr:nvGraphicFramePr>
        <xdr:cNvPr id="33" name="Chart 32">
          <a:extLst>
            <a:ext uri="{FF2B5EF4-FFF2-40B4-BE49-F238E27FC236}">
              <a16:creationId xmlns:a16="http://schemas.microsoft.com/office/drawing/2014/main" id="{0E5853C8-C1D6-4512-8553-A56567318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179834</xdr:colOff>
      <xdr:row>37</xdr:row>
      <xdr:rowOff>175964</xdr:rowOff>
    </xdr:from>
    <xdr:to>
      <xdr:col>17</xdr:col>
      <xdr:colOff>410326</xdr:colOff>
      <xdr:row>54</xdr:row>
      <xdr:rowOff>137864</xdr:rowOff>
    </xdr:to>
    <xdr:graphicFrame macro="">
      <xdr:nvGraphicFramePr>
        <xdr:cNvPr id="35" name="Chart 34" descr="Overtime is concentrated among senior and high-responsibility roles, indicating reliance on experienced employees.&#10;">
          <a:extLst>
            <a:ext uri="{FF2B5EF4-FFF2-40B4-BE49-F238E27FC236}">
              <a16:creationId xmlns:a16="http://schemas.microsoft.com/office/drawing/2014/main" id="{17BF8E11-4DAC-402C-B26F-B9F447C4D527}"/>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179834</xdr:colOff>
      <xdr:row>54</xdr:row>
      <xdr:rowOff>171450</xdr:rowOff>
    </xdr:from>
    <xdr:to>
      <xdr:col>17</xdr:col>
      <xdr:colOff>422957</xdr:colOff>
      <xdr:row>57</xdr:row>
      <xdr:rowOff>102870</xdr:rowOff>
    </xdr:to>
    <xdr:sp macro="" textlink="">
      <xdr:nvSpPr>
        <xdr:cNvPr id="36" name="TextBox 35">
          <a:extLst>
            <a:ext uri="{FF2B5EF4-FFF2-40B4-BE49-F238E27FC236}">
              <a16:creationId xmlns:a16="http://schemas.microsoft.com/office/drawing/2014/main" id="{329C66F3-5306-0E1B-BFA7-70BA17CB369F}"/>
            </a:ext>
          </a:extLst>
        </xdr:cNvPr>
        <xdr:cNvSpPr txBox="1"/>
      </xdr:nvSpPr>
      <xdr:spPr>
        <a:xfrm>
          <a:off x="5625893" y="10514479"/>
          <a:ext cx="5084064" cy="502920"/>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ysClr val="windowText" lastClr="000000"/>
              </a:solidFill>
              <a:effectLst/>
              <a:latin typeface="+mn-lt"/>
              <a:ea typeface="+mn-ea"/>
              <a:cs typeface="+mn-cs"/>
            </a:rPr>
            <a:t>Overtime is concentrated among senior and high-responsibility roles, indicating reliance on experienced employees.</a:t>
          </a:r>
          <a:endParaRPr lang="en-US" sz="1200">
            <a:solidFill>
              <a:sysClr val="windowText" lastClr="000000"/>
            </a:solidFill>
            <a:effectLst/>
          </a:endParaRPr>
        </a:p>
      </xdr:txBody>
    </xdr:sp>
    <xdr:clientData/>
  </xdr:twoCellAnchor>
  <xdr:twoCellAnchor>
    <xdr:from>
      <xdr:col>0</xdr:col>
      <xdr:colOff>404538</xdr:colOff>
      <xdr:row>54</xdr:row>
      <xdr:rowOff>171450</xdr:rowOff>
    </xdr:from>
    <xdr:to>
      <xdr:col>9</xdr:col>
      <xdr:colOff>42543</xdr:colOff>
      <xdr:row>57</xdr:row>
      <xdr:rowOff>102870</xdr:rowOff>
    </xdr:to>
    <xdr:sp macro="" textlink="">
      <xdr:nvSpPr>
        <xdr:cNvPr id="39" name="TextBox 38">
          <a:extLst>
            <a:ext uri="{FF2B5EF4-FFF2-40B4-BE49-F238E27FC236}">
              <a16:creationId xmlns:a16="http://schemas.microsoft.com/office/drawing/2014/main" id="{77E7925F-FB84-4B71-6DFF-4E7B716D3078}"/>
            </a:ext>
          </a:extLst>
        </xdr:cNvPr>
        <xdr:cNvSpPr txBox="1"/>
      </xdr:nvSpPr>
      <xdr:spPr>
        <a:xfrm>
          <a:off x="404538" y="10514479"/>
          <a:ext cx="5084064" cy="502920"/>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ysClr val="windowText" lastClr="000000"/>
              </a:solidFill>
            </a:rPr>
            <a:t>High performers represent a significant portion of the workforce, supporting overall productivity stability.</a:t>
          </a:r>
          <a:endParaRPr lang="en-US" sz="1200" b="1">
            <a:solidFill>
              <a:sysClr val="windowText" lastClr="000000"/>
            </a:solidFill>
            <a:effectLst/>
          </a:endParaRPr>
        </a:p>
      </xdr:txBody>
    </xdr:sp>
    <xdr:clientData/>
  </xdr:twoCellAnchor>
  <xdr:twoCellAnchor>
    <xdr:from>
      <xdr:col>17</xdr:col>
      <xdr:colOff>493656</xdr:colOff>
      <xdr:row>37</xdr:row>
      <xdr:rowOff>175964</xdr:rowOff>
    </xdr:from>
    <xdr:to>
      <xdr:col>26</xdr:col>
      <xdr:colOff>131661</xdr:colOff>
      <xdr:row>57</xdr:row>
      <xdr:rowOff>115004</xdr:rowOff>
    </xdr:to>
    <xdr:sp macro="" textlink="">
      <xdr:nvSpPr>
        <xdr:cNvPr id="41" name="TextBox 40">
          <a:extLst>
            <a:ext uri="{FF2B5EF4-FFF2-40B4-BE49-F238E27FC236}">
              <a16:creationId xmlns:a16="http://schemas.microsoft.com/office/drawing/2014/main" id="{1203C394-AC84-54F9-0F60-ACF75C0B3F74}"/>
            </a:ext>
          </a:extLst>
        </xdr:cNvPr>
        <xdr:cNvSpPr txBox="1"/>
      </xdr:nvSpPr>
      <xdr:spPr>
        <a:xfrm>
          <a:off x="10780656" y="7280493"/>
          <a:ext cx="5084064" cy="374904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l">
            <a:lnSpc>
              <a:spcPts val="1800"/>
            </a:lnSpc>
            <a:spcBef>
              <a:spcPts val="0"/>
            </a:spcBef>
          </a:pPr>
          <a:r>
            <a:rPr lang="en-US" sz="1400" b="1">
              <a:solidFill>
                <a:sysClr val="windowText" lastClr="000000"/>
              </a:solidFill>
            </a:rPr>
            <a:t>• The workforce is dominated by mid-career professionals, providing operational stability.</a:t>
          </a:r>
        </a:p>
        <a:p>
          <a:pPr algn="l">
            <a:lnSpc>
              <a:spcPts val="1800"/>
            </a:lnSpc>
            <a:spcBef>
              <a:spcPts val="0"/>
            </a:spcBef>
          </a:pPr>
          <a:br>
            <a:rPr lang="en-US" sz="1400" b="1">
              <a:solidFill>
                <a:sysClr val="windowText" lastClr="000000"/>
              </a:solidFill>
            </a:rPr>
          </a:br>
          <a:r>
            <a:rPr lang="en-US" sz="1400" b="1">
              <a:solidFill>
                <a:sysClr val="windowText" lastClr="000000"/>
              </a:solidFill>
            </a:rPr>
            <a:t>• Senior employees deliver the highest performance but also carry a higher overtime burden.</a:t>
          </a:r>
        </a:p>
        <a:p>
          <a:pPr algn="l">
            <a:lnSpc>
              <a:spcPts val="1800"/>
            </a:lnSpc>
            <a:spcBef>
              <a:spcPts val="0"/>
            </a:spcBef>
          </a:pPr>
          <a:br>
            <a:rPr lang="en-US" sz="1400" b="1">
              <a:solidFill>
                <a:sysClr val="windowText" lastClr="000000"/>
              </a:solidFill>
            </a:rPr>
          </a:br>
          <a:r>
            <a:rPr lang="en-US" sz="1400" b="1">
              <a:solidFill>
                <a:sysClr val="windowText" lastClr="000000"/>
              </a:solidFill>
            </a:rPr>
            <a:t>• Salary progression aligns with experience, indicating structured compensation policies.</a:t>
          </a:r>
        </a:p>
        <a:p>
          <a:pPr algn="l">
            <a:lnSpc>
              <a:spcPts val="1800"/>
            </a:lnSpc>
            <a:spcBef>
              <a:spcPts val="0"/>
            </a:spcBef>
          </a:pPr>
          <a:br>
            <a:rPr lang="en-US" sz="1400" b="1">
              <a:solidFill>
                <a:sysClr val="windowText" lastClr="000000"/>
              </a:solidFill>
            </a:rPr>
          </a:br>
          <a:r>
            <a:rPr lang="en-US" sz="1400" b="1">
              <a:solidFill>
                <a:sysClr val="windowText" lastClr="000000"/>
              </a:solidFill>
            </a:rPr>
            <a:t>• Sustained reliance on senior staff highlights the need for succession planning.</a:t>
          </a:r>
        </a:p>
      </xdr:txBody>
    </xdr:sp>
    <xdr:clientData/>
  </xdr:twoCellAnchor>
  <xdr:twoCellAnchor editAs="oneCell">
    <xdr:from>
      <xdr:col>0</xdr:col>
      <xdr:colOff>404538</xdr:colOff>
      <xdr:row>3</xdr:row>
      <xdr:rowOff>171170</xdr:rowOff>
    </xdr:from>
    <xdr:to>
      <xdr:col>8</xdr:col>
      <xdr:colOff>135597</xdr:colOff>
      <xdr:row>9</xdr:row>
      <xdr:rowOff>114244</xdr:rowOff>
    </xdr:to>
    <mc:AlternateContent xmlns:mc="http://schemas.openxmlformats.org/markup-compatibility/2006">
      <mc:Choice xmlns:a14="http://schemas.microsoft.com/office/drawing/2010/main" Requires="a14">
        <xdr:graphicFrame macro="">
          <xdr:nvGraphicFramePr>
            <xdr:cNvPr id="18" name="Department">
              <a:extLst>
                <a:ext uri="{FF2B5EF4-FFF2-40B4-BE49-F238E27FC236}">
                  <a16:creationId xmlns:a16="http://schemas.microsoft.com/office/drawing/2014/main" id="{F7AE983F-024E-5C40-82CF-386D811225C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04538" y="742670"/>
              <a:ext cx="4572000"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400602</xdr:colOff>
      <xdr:row>3</xdr:row>
      <xdr:rowOff>171170</xdr:rowOff>
    </xdr:from>
    <xdr:to>
      <xdr:col>26</xdr:col>
      <xdr:colOff>131661</xdr:colOff>
      <xdr:row>9</xdr:row>
      <xdr:rowOff>114244</xdr:rowOff>
    </xdr:to>
    <mc:AlternateContent xmlns:mc="http://schemas.openxmlformats.org/markup-compatibility/2006">
      <mc:Choice xmlns:a14="http://schemas.microsoft.com/office/drawing/2010/main" Requires="a14">
        <xdr:graphicFrame macro="">
          <xdr:nvGraphicFramePr>
            <xdr:cNvPr id="20" name="Experience_Level">
              <a:extLst>
                <a:ext uri="{FF2B5EF4-FFF2-40B4-BE49-F238E27FC236}">
                  <a16:creationId xmlns:a16="http://schemas.microsoft.com/office/drawing/2014/main" id="{5ACC2E32-6B81-9778-50AB-69006521734D}"/>
                </a:ext>
              </a:extLst>
            </xdr:cNvPr>
            <xdr:cNvGraphicFramePr/>
          </xdr:nvGraphicFramePr>
          <xdr:xfrm>
            <a:off x="0" y="0"/>
            <a:ext cx="0" cy="0"/>
          </xdr:xfrm>
          <a:graphic>
            <a:graphicData uri="http://schemas.microsoft.com/office/drawing/2010/slicer">
              <sle:slicer xmlns:sle="http://schemas.microsoft.com/office/drawing/2010/slicer" name="Experience_Level"/>
            </a:graphicData>
          </a:graphic>
        </xdr:graphicFrame>
      </mc:Choice>
      <mc:Fallback>
        <xdr:sp macro="" textlink="">
          <xdr:nvSpPr>
            <xdr:cNvPr id="0" name=""/>
            <xdr:cNvSpPr>
              <a:spLocks noTextEdit="1"/>
            </xdr:cNvSpPr>
          </xdr:nvSpPr>
          <xdr:spPr>
            <a:xfrm>
              <a:off x="11292720" y="742670"/>
              <a:ext cx="4572000"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cdr:x>
      <cdr:y>0.93417</cdr:y>
    </cdr:from>
    <cdr:to>
      <cdr:x>0.99875</cdr:x>
      <cdr:y>1</cdr:y>
    </cdr:to>
    <cdr:sp macro="" textlink="">
      <cdr:nvSpPr>
        <cdr:cNvPr id="2" name="TextBox 1">
          <a:extLst xmlns:a="http://schemas.openxmlformats.org/drawingml/2006/main">
            <a:ext uri="{FF2B5EF4-FFF2-40B4-BE49-F238E27FC236}">
              <a16:creationId xmlns:a16="http://schemas.microsoft.com/office/drawing/2014/main" id="{AEB489C9-3D21-0B83-62B0-593A7AB8280A}"/>
            </a:ext>
          </a:extLst>
        </cdr:cNvPr>
        <cdr:cNvSpPr txBox="1"/>
      </cdr:nvSpPr>
      <cdr:spPr>
        <a:xfrm xmlns:a="http://schemas.openxmlformats.org/drawingml/2006/main">
          <a:off x="0" y="6217536"/>
          <a:ext cx="5105400" cy="438150"/>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l"/>
          <a:endParaRPr lang="en-US" sz="1100" b="1" kern="1200">
            <a:solidFill>
              <a:schemeClr val="bg1"/>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381000</xdr:colOff>
      <xdr:row>11</xdr:row>
      <xdr:rowOff>80962</xdr:rowOff>
    </xdr:from>
    <xdr:to>
      <xdr:col>6</xdr:col>
      <xdr:colOff>304800</xdr:colOff>
      <xdr:row>25</xdr:row>
      <xdr:rowOff>157162</xdr:rowOff>
    </xdr:to>
    <xdr:graphicFrame macro="">
      <xdr:nvGraphicFramePr>
        <xdr:cNvPr id="2" name="Chart 1">
          <a:extLst>
            <a:ext uri="{FF2B5EF4-FFF2-40B4-BE49-F238E27FC236}">
              <a16:creationId xmlns:a16="http://schemas.microsoft.com/office/drawing/2014/main" id="{FCA8E38F-4D6D-06A7-8513-509A778583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190500</xdr:colOff>
      <xdr:row>11</xdr:row>
      <xdr:rowOff>80962</xdr:rowOff>
    </xdr:from>
    <xdr:to>
      <xdr:col>5</xdr:col>
      <xdr:colOff>457200</xdr:colOff>
      <xdr:row>25</xdr:row>
      <xdr:rowOff>157162</xdr:rowOff>
    </xdr:to>
    <xdr:graphicFrame macro="">
      <xdr:nvGraphicFramePr>
        <xdr:cNvPr id="2" name="Chart 1">
          <a:extLst>
            <a:ext uri="{FF2B5EF4-FFF2-40B4-BE49-F238E27FC236}">
              <a16:creationId xmlns:a16="http://schemas.microsoft.com/office/drawing/2014/main" id="{1360C309-ABB3-F09D-8A72-3F2920373F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190500</xdr:colOff>
      <xdr:row>11</xdr:row>
      <xdr:rowOff>80962</xdr:rowOff>
    </xdr:from>
    <xdr:to>
      <xdr:col>6</xdr:col>
      <xdr:colOff>114300</xdr:colOff>
      <xdr:row>25</xdr:row>
      <xdr:rowOff>157162</xdr:rowOff>
    </xdr:to>
    <xdr:graphicFrame macro="">
      <xdr:nvGraphicFramePr>
        <xdr:cNvPr id="2" name="Chart 1">
          <a:extLst>
            <a:ext uri="{FF2B5EF4-FFF2-40B4-BE49-F238E27FC236}">
              <a16:creationId xmlns:a16="http://schemas.microsoft.com/office/drawing/2014/main" id="{46FA3022-59CE-AD6D-11C3-3A9903DC05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190500</xdr:colOff>
      <xdr:row>11</xdr:row>
      <xdr:rowOff>80962</xdr:rowOff>
    </xdr:from>
    <xdr:to>
      <xdr:col>6</xdr:col>
      <xdr:colOff>114300</xdr:colOff>
      <xdr:row>25</xdr:row>
      <xdr:rowOff>157162</xdr:rowOff>
    </xdr:to>
    <xdr:graphicFrame macro="">
      <xdr:nvGraphicFramePr>
        <xdr:cNvPr id="2" name="Chart 1">
          <a:extLst>
            <a:ext uri="{FF2B5EF4-FFF2-40B4-BE49-F238E27FC236}">
              <a16:creationId xmlns:a16="http://schemas.microsoft.com/office/drawing/2014/main" id="{4CEF6966-178A-0CD6-67B1-53A8C98667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219075</xdr:colOff>
      <xdr:row>11</xdr:row>
      <xdr:rowOff>80962</xdr:rowOff>
    </xdr:from>
    <xdr:to>
      <xdr:col>5</xdr:col>
      <xdr:colOff>733425</xdr:colOff>
      <xdr:row>25</xdr:row>
      <xdr:rowOff>157162</xdr:rowOff>
    </xdr:to>
    <xdr:graphicFrame macro="">
      <xdr:nvGraphicFramePr>
        <xdr:cNvPr id="2" name="Chart 1">
          <a:extLst>
            <a:ext uri="{FF2B5EF4-FFF2-40B4-BE49-F238E27FC236}">
              <a16:creationId xmlns:a16="http://schemas.microsoft.com/office/drawing/2014/main" id="{88ED5196-8F1C-F63D-9D5F-8B89FFE9B7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self%20development\linkedin%20files\DEPI+%20others\ROUND%204%20materials\YAT646B_SHR4_DAT1_S2_DEPI4\Week06\Session02\HR_Assignment_Data%20-%20Copy.xlsx" TargetMode="External"/><Relationship Id="rId1" Type="http://schemas.openxmlformats.org/officeDocument/2006/relationships/externalLinkPath" Target="HR_Assignment_Data%20-%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KPI"/>
      <sheetName val=" Total Sales by Region"/>
      <sheetName val="Total Sales by Product Category"/>
      <sheetName val="Orders Count by Sales Represent"/>
      <sheetName val="Monthly Sales Trend"/>
      <sheetName val="Sales Level Distribution"/>
      <sheetName val="Processed_Data"/>
      <sheetName val="Raw_Data"/>
      <sheetName val="HR_Assignment_Data - Copy"/>
    </sheetNames>
    <definedNames>
      <definedName name="Processed_Data"/>
    </defined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60.448878819443" backgroundQuery="1" createdVersion="8" refreshedVersion="8" minRefreshableVersion="3" recordCount="0" supportSubquery="1" supportAdvancedDrill="1" xr:uid="{7B176E86-28F6-476D-A3D8-331238888423}">
  <cacheSource type="external" connectionId="3"/>
  <cacheFields count="2">
    <cacheField name="[Processed_Data 1].[Department].[Department]" caption="Department" numFmtId="0" hierarchy="17" level="1">
      <sharedItems count="6">
        <s v="Finance"/>
        <s v="HR"/>
        <s v="IT"/>
        <s v="Marketing"/>
        <s v="Operations"/>
        <s v="Sales"/>
      </sharedItems>
    </cacheField>
    <cacheField name="[Measures].[Average of Annual_Salary]" caption="Average of Annual_Salary" numFmtId="0" hierarchy="63" level="32767"/>
  </cacheFields>
  <cacheHierarchies count="67">
    <cacheHierarchy uniqueName="[Processed_Data].[Order_ID]" caption="Order_ID" attribute="1" defaultMemberUniqueName="[Processed_Data].[Order_ID].[All]" allUniqueName="[Processed_Data].[Order_ID].[All]" dimensionUniqueName="[Processed_Data]" displayFolder="" count="2" memberValueDatatype="20" unbalanced="0"/>
    <cacheHierarchy uniqueName="[Processed_Data].[Order_Date]" caption="Order_Date" attribute="1" time="1" defaultMemberUniqueName="[Processed_Data].[Order_Date].[All]" allUniqueName="[Processed_Data].[Order_Date].[All]" dimensionUniqueName="[Processed_Data]" displayFolder="" count="2" memberValueDatatype="7" unbalanced="0"/>
    <cacheHierarchy uniqueName="[Processed_Data].[Month]" caption="Month" attribute="1" defaultMemberUniqueName="[Processed_Data].[Month].[All]" allUniqueName="[Processed_Data].[Month].[All]" dimensionUniqueName="[Processed_Data]" displayFolder="" count="2" memberValueDatatype="20" unbalanced="0"/>
    <cacheHierarchy uniqueName="[Processed_Data].[Year]" caption="Year" attribute="1" defaultMemberUniqueName="[Processed_Data].[Year].[All]" allUniqueName="[Processed_Data].[Year].[All]" dimensionUniqueName="[Processed_Data]" displayFolder="" count="2" memberValueDatatype="20" unbalanced="0"/>
    <cacheHierarchy uniqueName="[Processed_Data].[Customer_Name]" caption="Customer_Name" attribute="1" defaultMemberUniqueName="[Processed_Data].[Customer_Name].[All]" allUniqueName="[Processed_Data].[Customer_Name].[All]" dimensionUniqueName="[Processed_Data]" displayFolder="" count="2" memberValueDatatype="130" unbalanced="0"/>
    <cacheHierarchy uniqueName="[Processed_Data].[Region]" caption="Region" attribute="1" defaultMemberUniqueName="[Processed_Data].[Region].[All]" allUniqueName="[Processed_Data].[Region].[All]" dimensionUniqueName="[Processed_Data]" displayFolder="" count="2" memberValueDatatype="130" unbalanced="0"/>
    <cacheHierarchy uniqueName="[Processed_Data].[Product_Category]" caption="Product_Category" attribute="1" defaultMemberUniqueName="[Processed_Data].[Product_Category].[All]" allUniqueName="[Processed_Data].[Product_Category].[All]" dimensionUniqueName="[Processed_Data]" displayFolder="" count="2" memberValueDatatype="130" unbalanced="0"/>
    <cacheHierarchy uniqueName="[Processed_Data].[Product_Name]" caption="Product_Name" attribute="1" defaultMemberUniqueName="[Processed_Data].[Product_Name].[All]" allUniqueName="[Processed_Data].[Product_Name].[All]" dimensionUniqueName="[Processed_Data]" displayFolder="" count="2" memberValueDatatype="130" unbalanced="0"/>
    <cacheHierarchy uniqueName="[Processed_Data].[Quantity]" caption="Quantity" attribute="1" defaultMemberUniqueName="[Processed_Data].[Quantity].[All]" allUniqueName="[Processed_Data].[Quantity].[All]" dimensionUniqueName="[Processed_Data]" displayFolder="" count="2" memberValueDatatype="20" unbalanced="0"/>
    <cacheHierarchy uniqueName="[Processed_Data].[Unit_Price]" caption="Unit_Price" attribute="1" defaultMemberUniqueName="[Processed_Data].[Unit_Price].[All]" allUniqueName="[Processed_Data].[Unit_Price].[All]" dimensionUniqueName="[Processed_Data]" displayFolder="" count="2" memberValueDatatype="20" unbalanced="0"/>
    <cacheHierarchy uniqueName="[Processed_Data].[Total_Sales]" caption="Total_Sales" attribute="1" defaultMemberUniqueName="[Processed_Data].[Total_Sales].[All]" allUniqueName="[Processed_Data].[Total_Sales].[All]" dimensionUniqueName="[Processed_Data]" displayFolder="" count="2" memberValueDatatype="20" unbalanced="0"/>
    <cacheHierarchy uniqueName="[Processed_Data].[Sales_Rep]" caption="Sales_Rep" attribute="1" defaultMemberUniqueName="[Processed_Data].[Sales_Rep].[All]" allUniqueName="[Processed_Data].[Sales_Rep].[All]" dimensionUniqueName="[Processed_Data]" displayFolder="" count="2" memberValueDatatype="130" unbalanced="0"/>
    <cacheHierarchy uniqueName="[Processed_Data].[Sales_Level]" caption="Sales_Level" attribute="1" defaultMemberUniqueName="[Processed_Data].[Sales_Level].[All]" allUniqueName="[Processed_Data].[Sales_Level].[All]" dimensionUniqueName="[Processed_Data]" displayFolder="" count="2" memberValueDatatype="130" unbalanced="0"/>
    <cacheHierarchy uniqueName="[Processed_Data 1].[EmployeeID]" caption="EmployeeID" attribute="1" defaultMemberUniqueName="[Processed_Data 1].[EmployeeID].[All]" allUniqueName="[Processed_Data 1].[EmployeeID].[All]" dimensionUniqueName="[Processed_Data 1]" displayFolder="" count="2" memberValueDatatype="20" unbalanced="0"/>
    <cacheHierarchy uniqueName="[Processed_Data 1].[HireDate]" caption="HireDate" attribute="1" time="1" defaultMemberUniqueName="[Processed_Data 1].[HireDate].[All]" allUniqueName="[Processed_Data 1].[HireDate].[All]" dimensionUniqueName="[Processed_Data 1]" displayFolder="" count="2" memberValueDatatype="7" unbalanced="0"/>
    <cacheHierarchy uniqueName="[Processed_Data 1].[Month]" caption="Month" attribute="1" defaultMemberUniqueName="[Processed_Data 1].[Month].[All]" allUniqueName="[Processed_Data 1].[Month].[All]" dimensionUniqueName="[Processed_Data 1]" displayFolder="" count="2" memberValueDatatype="20" unbalanced="0"/>
    <cacheHierarchy uniqueName="[Processed_Data 1].[Year]" caption="Year" attribute="1" defaultMemberUniqueName="[Processed_Data 1].[Year].[All]" allUniqueName="[Processed_Data 1].[Year].[All]" dimensionUniqueName="[Processed_Data 1]" displayFolder="" count="2" memberValueDatatype="20" unbalanced="0"/>
    <cacheHierarchy uniqueName="[Processed_Data 1].[Department]" caption="Department" attribute="1" defaultMemberUniqueName="[Processed_Data 1].[Department].[All]" allUniqueName="[Processed_Data 1].[Department].[All]" dimensionUniqueName="[Processed_Data 1]" displayFolder="" count="2" memberValueDatatype="130" unbalanced="0">
      <fieldsUsage count="2">
        <fieldUsage x="-1"/>
        <fieldUsage x="0"/>
      </fieldsUsage>
    </cacheHierarchy>
    <cacheHierarchy uniqueName="[Processed_Data 1].[JobRole]" caption="JobRole" attribute="1" defaultMemberUniqueName="[Processed_Data 1].[JobRole].[All]" allUniqueName="[Processed_Data 1].[JobRole].[All]" dimensionUniqueName="[Processed_Data 1]" displayFolder="" count="2" memberValueDatatype="130" unbalanced="0"/>
    <cacheHierarchy uniqueName="[Processed_Data 1].[Gender]" caption="Gender" attribute="1" defaultMemberUniqueName="[Processed_Data 1].[Gender].[All]" allUniqueName="[Processed_Data 1].[Gender].[All]" dimensionUniqueName="[Processed_Data 1]" displayFolder="" count="2" memberValueDatatype="130" unbalanced="0"/>
    <cacheHierarchy uniqueName="[Processed_Data 1].[Age]" caption="Age" attribute="1" defaultMemberUniqueName="[Processed_Data 1].[Age].[All]" allUniqueName="[Processed_Data 1].[Age].[All]" dimensionUniqueName="[Processed_Data 1]" displayFolder="" count="2" memberValueDatatype="20" unbalanced="0"/>
    <cacheHierarchy uniqueName="[Processed_Data 1].[Age_Group]" caption="Age_Group" attribute="1" defaultMemberUniqueName="[Processed_Data 1].[Age_Group].[All]" allUniqueName="[Processed_Data 1].[Age_Group].[All]" dimensionUniqueName="[Processed_Data 1]" displayFolder="" count="2" memberValueDatatype="130" unbalanced="0"/>
    <cacheHierarchy uniqueName="[Processed_Data 1].[MonthlySalary]" caption="MonthlySalary" attribute="1" defaultMemberUniqueName="[Processed_Data 1].[MonthlySalary].[All]" allUniqueName="[Processed_Data 1].[MonthlySalary].[All]" dimensionUniqueName="[Processed_Data 1]" displayFolder="" count="2" memberValueDatatype="20" unbalanced="0"/>
    <cacheHierarchy uniqueName="[Processed_Data 1].[Annual_Salary]" caption="Annual_Salary" attribute="1" defaultMemberUniqueName="[Processed_Data 1].[Annual_Salary].[All]" allUniqueName="[Processed_Data 1].[Annual_Salary].[All]" dimensionUniqueName="[Processed_Data 1]" displayFolder="" count="2" memberValueDatatype="20" unbalanced="0"/>
    <cacheHierarchy uniqueName="[Processed_Data 1].[YearsAtCompany]" caption="YearsAtCompany" attribute="1" defaultMemberUniqueName="[Processed_Data 1].[YearsAtCompany].[All]" allUniqueName="[Processed_Data 1].[YearsAtCompany].[All]" dimensionUniqueName="[Processed_Data 1]" displayFolder="" count="2" memberValueDatatype="20" unbalanced="0"/>
    <cacheHierarchy uniqueName="[Processed_Data 1].[Experience_Level]" caption="Experience_Level" attribute="1" defaultMemberUniqueName="[Processed_Data 1].[Experience_Level].[All]" allUniqueName="[Processed_Data 1].[Experience_Level].[All]" dimensionUniqueName="[Processed_Data 1]" displayFolder="" count="2" memberValueDatatype="130" unbalanced="0"/>
    <cacheHierarchy uniqueName="[Processed_Data 1].[PerformanceRating]" caption="PerformanceRating" attribute="1" defaultMemberUniqueName="[Processed_Data 1].[PerformanceRating].[All]" allUniqueName="[Processed_Data 1].[PerformanceRating].[All]" dimensionUniqueName="[Processed_Data 1]" displayFolder="" count="2" memberValueDatatype="20" unbalanced="0"/>
    <cacheHierarchy uniqueName="[Processed_Data 1].[Performance_Category]" caption="Performance_Category" attribute="1" defaultMemberUniqueName="[Processed_Data 1].[Performance_Category].[All]" allUniqueName="[Processed_Data 1].[Performance_Category].[All]" dimensionUniqueName="[Processed_Data 1]" displayFolder="" count="2" memberValueDatatype="130" unbalanced="0"/>
    <cacheHierarchy uniqueName="[Processed_Data 1].[Overtime]" caption="Overtime" attribute="1" defaultMemberUniqueName="[Processed_Data 1].[Overtime].[All]" allUniqueName="[Processed_Data 1].[Overtime].[All]" dimensionUniqueName="[Processed_Data 1]" displayFolder="" count="2" memberValueDatatype="130" unbalanced="0"/>
    <cacheHierarchy uniqueName="[Processed_Data 1].[WorkLocation]" caption="WorkLocation" attribute="1" defaultMemberUniqueName="[Processed_Data 1].[WorkLocation].[All]" allUniqueName="[Processed_Data 1].[WorkLocation].[All]" dimensionUniqueName="[Processed_Data 1]" displayFolder="" count="2" memberValueDatatype="130" unbalanced="0"/>
    <cacheHierarchy uniqueName="[Processed_Data 1].[Manager]" caption="Manager" attribute="1" defaultMemberUniqueName="[Processed_Data 1].[Manager].[All]" allUniqueName="[Processed_Data 1].[Manager].[All]" dimensionUniqueName="[Processed_Data 1]" displayFolder="" count="2" memberValueDatatype="130" unbalanced="0"/>
    <cacheHierarchy uniqueName="[Table1].[EmployeeID]" caption="EmployeeID" attribute="1" defaultMemberUniqueName="[Table1].[EmployeeID].[All]" allUniqueName="[Table1].[EmployeeID].[All]" dimensionUniqueName="[Table1]" displayFolder="" count="2" memberValueDatatype="20" unbalanced="0"/>
    <cacheHierarchy uniqueName="[Table1].[HireDate]" caption="HireDate" attribute="1" time="1" defaultMemberUniqueName="[Table1].[HireDate].[All]" allUniqueName="[Table1].[HireDate].[All]" dimensionUniqueName="[Table1]" displayFolder="" count="2" memberValueDatatype="7" unbalanced="0"/>
    <cacheHierarchy uniqueName="[Table1].[Month]" caption="Month" attribute="1" defaultMemberUniqueName="[Table1].[Month].[All]" allUniqueName="[Table1].[Month].[All]" dimensionUniqueName="[Table1]" displayFolder="" count="2" memberValueDatatype="20" unbalanced="0"/>
    <cacheHierarchy uniqueName="[Table1].[Year]" caption="Year" attribute="1" defaultMemberUniqueName="[Table1].[Year].[All]" allUniqueName="[Table1].[Year].[All]" dimensionUniqueName="[Table1]" displayFolder="" count="2"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JobRole]" caption="JobRole" attribute="1" defaultMemberUniqueName="[Table1].[JobRole].[All]" allUniqueName="[Table1].[JobRol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MonthlySalary]" caption="MonthlySalary" attribute="1" defaultMemberUniqueName="[Table1].[MonthlySalary].[All]" allUniqueName="[Table1].[MonthlySalary].[All]" dimensionUniqueName="[Table1]" displayFolder="" count="2" memberValueDatatype="6" unbalanced="0"/>
    <cacheHierarchy uniqueName="[Table1].[Annual_Salary]" caption="Annual_Salary" attribute="1" defaultMemberUniqueName="[Table1].[Annual_Salary].[All]" allUniqueName="[Table1].[Annual_Salary].[All]" dimensionUniqueName="[Table1]" displayFolder="" count="2" memberValueDatatype="6" unbalanced="0"/>
    <cacheHierarchy uniqueName="[Table1].[YearsAtCompany]" caption="YearsAtCompany" attribute="1" defaultMemberUniqueName="[Table1].[YearsAtCompany].[All]" allUniqueName="[Table1].[YearsAtCompany].[All]" dimensionUniqueName="[Table1]" displayFolder="" count="2" memberValueDatatype="20" unbalanced="0"/>
    <cacheHierarchy uniqueName="[Table1].[Experience_Level]" caption="Experience_Level" attribute="1" defaultMemberUniqueName="[Table1].[Experience_Level].[All]" allUniqueName="[Table1].[Experience_Level].[All]" dimensionUniqueName="[Table1]" displayFolder="" count="2" memberValueDatatype="130" unbalanced="0"/>
    <cacheHierarchy uniqueName="[Table1].[PerformanceRating]" caption="PerformanceRating" attribute="1" defaultMemberUniqueName="[Table1].[PerformanceRating].[All]" allUniqueName="[Table1].[PerformanceRating].[All]" dimensionUniqueName="[Table1]" displayFolder="" count="2" memberValueDatatype="20" unbalanced="0"/>
    <cacheHierarchy uniqueName="[Table1].[Performance_Category]" caption="Performance_Category" attribute="1" defaultMemberUniqueName="[Table1].[Performance_Category].[All]" allUniqueName="[Table1].[Performance_Category].[All]" dimensionUniqueName="[Table1]" displayFolder="" count="2"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WorkLocation]" caption="WorkLocation" attribute="1" defaultMemberUniqueName="[Table1].[WorkLocation].[All]" allUniqueName="[Table1].[WorkLocation].[All]" dimensionUniqueName="[Table1]" displayFolder="" count="2" memberValueDatatype="130" unbalanced="0"/>
    <cacheHierarchy uniqueName="[Table1].[Manager]" caption="Manager" attribute="1" defaultMemberUniqueName="[Table1].[Manager].[All]" allUniqueName="[Table1].[Manager].[All]" dimensionUniqueName="[Table1]" displayFolder="" count="2" memberValueDatatype="130" unbalanced="0"/>
    <cacheHierarchy uniqueName="[Measures].[__XL_Count Table1]" caption="__XL_Count Table1" measure="1" displayFolder="" measureGroup="Table1" count="0" hidden="1"/>
    <cacheHierarchy uniqueName="[Measures].[__XL_Count Processed_Data]" caption="__XL_Count Processed_Data" measure="1" displayFolder="" measureGroup="Processed_Data" count="0" hidden="1"/>
    <cacheHierarchy uniqueName="[Measures].[__XL_Count Processed_Data 1]" caption="__XL_Count Processed_Data 1" measure="1" displayFolder="" measureGroup="Processed_Data 1" count="0" hidden="1"/>
    <cacheHierarchy uniqueName="[Measures].[__No measures defined]" caption="__No measures defined" measure="1" displayFolder="" count="0" hidden="1"/>
    <cacheHierarchy uniqueName="[Measures].[Sum of Total_Sales]" caption="Sum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Average of Total_Sales]" caption="Average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Count of Sales_Rep]" caption="Count of Sales_Rep" measure="1" displayFolder="" measureGroup="Processed_Data" count="0" hidden="1">
      <extLst>
        <ext xmlns:x15="http://schemas.microsoft.com/office/spreadsheetml/2010/11/main" uri="{B97F6D7D-B522-45F9-BDA1-12C45D357490}">
          <x15:cacheHierarchy aggregatedColumn="11"/>
        </ext>
      </extLst>
    </cacheHierarchy>
    <cacheHierarchy uniqueName="[Measures].[Count of Product_Category]" caption="Count of Product_Category" measure="1" displayFolder="" measureGroup="Processed_Data" count="0" hidden="1">
      <extLst>
        <ext xmlns:x15="http://schemas.microsoft.com/office/spreadsheetml/2010/11/main" uri="{B97F6D7D-B522-45F9-BDA1-12C45D357490}">
          <x15:cacheHierarchy aggregatedColumn="6"/>
        </ext>
      </extLst>
    </cacheHierarchy>
    <cacheHierarchy uniqueName="[Measures].[Sum of EmployeeID]" caption="Sum of EmployeeID" measure="1" displayFolder="" measureGroup="Processed_Data 1" count="0" hidden="1">
      <extLst>
        <ext xmlns:x15="http://schemas.microsoft.com/office/spreadsheetml/2010/11/main" uri="{B97F6D7D-B522-45F9-BDA1-12C45D357490}">
          <x15:cacheHierarchy aggregatedColumn="13"/>
        </ext>
      </extLst>
    </cacheHierarchy>
    <cacheHierarchy uniqueName="[Measures].[Sum of Annual_Salary]" caption="Sum of Annual_Salary" measure="1" displayFolder="" measureGroup="Processed_Data 1" count="0" hidden="1">
      <extLst>
        <ext xmlns:x15="http://schemas.microsoft.com/office/spreadsheetml/2010/11/main" uri="{B97F6D7D-B522-45F9-BDA1-12C45D357490}">
          <x15:cacheHierarchy aggregatedColumn="23"/>
        </ext>
      </extLst>
    </cacheHierarchy>
    <cacheHierarchy uniqueName="[Measures].[Sum of PerformanceRating]" caption="Sum of PerformanceRating" measure="1" displayFolder="" measureGroup="Processed_Data 1" count="0" hidden="1">
      <extLst>
        <ext xmlns:x15="http://schemas.microsoft.com/office/spreadsheetml/2010/11/main" uri="{B97F6D7D-B522-45F9-BDA1-12C45D357490}">
          <x15:cacheHierarchy aggregatedColumn="26"/>
        </ext>
      </extLst>
    </cacheHierarchy>
    <cacheHierarchy uniqueName="[Measures].[Count of EmployeeID]" caption="Count of EmployeeID" measure="1" displayFolder="" measureGroup="Processed_Data 1" count="0" hidden="1">
      <extLst>
        <ext xmlns:x15="http://schemas.microsoft.com/office/spreadsheetml/2010/11/main" uri="{B97F6D7D-B522-45F9-BDA1-12C45D357490}">
          <x15:cacheHierarchy aggregatedColumn="13"/>
        </ext>
      </extLst>
    </cacheHierarchy>
    <cacheHierarchy uniqueName="[Measures].[Average of Annual_Salary]" caption="Average of Annual_Salary" measure="1" displayFolder="" measureGroup="Processed_Data 1" count="0" oneField="1" hidden="1">
      <fieldsUsage count="1">
        <fieldUsage x="1"/>
      </fieldsUsage>
      <extLst>
        <ext xmlns:x15="http://schemas.microsoft.com/office/spreadsheetml/2010/11/main" uri="{B97F6D7D-B522-45F9-BDA1-12C45D357490}">
          <x15:cacheHierarchy aggregatedColumn="23"/>
        </ext>
      </extLst>
    </cacheHierarchy>
    <cacheHierarchy uniqueName="[Measures].[Average of PerformanceRating]" caption="Average of PerformanceRating" measure="1" displayFolder="" measureGroup="Processed_Data 1" count="0" hidden="1">
      <extLst>
        <ext xmlns:x15="http://schemas.microsoft.com/office/spreadsheetml/2010/11/main" uri="{B97F6D7D-B522-45F9-BDA1-12C45D357490}">
          <x15:cacheHierarchy aggregatedColumn="26"/>
        </ext>
      </extLst>
    </cacheHierarchy>
    <cacheHierarchy uniqueName="[Measures].[Count of Overtime]" caption="Count of Overtime" measure="1" displayFolder="" measureGroup="Processed_Data 1" count="0" hidden="1">
      <extLst>
        <ext xmlns:x15="http://schemas.microsoft.com/office/spreadsheetml/2010/11/main" uri="{B97F6D7D-B522-45F9-BDA1-12C45D357490}">
          <x15:cacheHierarchy aggregatedColumn="28"/>
        </ext>
      </extLst>
    </cacheHierarchy>
    <cacheHierarchy uniqueName="[Measures].[Count of Performance_Category]" caption="Count of Performance_Category" measure="1" displayFolder="" measureGroup="Processed_Data 1" count="0" hidden="1">
      <extLst>
        <ext xmlns:x15="http://schemas.microsoft.com/office/spreadsheetml/2010/11/main" uri="{B97F6D7D-B522-45F9-BDA1-12C45D357490}">
          <x15:cacheHierarchy aggregatedColumn="27"/>
        </ext>
      </extLst>
    </cacheHierarchy>
  </cacheHierarchies>
  <kpis count="0"/>
  <dimensions count="4">
    <dimension measure="1" name="Measures" uniqueName="[Measures]" caption="Measures"/>
    <dimension name="Processed_Data" uniqueName="[Processed_Data]" caption="Processed_Data"/>
    <dimension name="Processed_Data 1" uniqueName="[Processed_Data 1]" caption="Processed_Data 1"/>
    <dimension name="Table1" uniqueName="[Table1]" caption="Table1"/>
  </dimensions>
  <measureGroups count="3">
    <measureGroup name="Processed_Data" caption="Processed_Data"/>
    <measureGroup name="Processed_Data 1" caption="Processed_Data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60.448879398151" backgroundQuery="1" createdVersion="8" refreshedVersion="8" minRefreshableVersion="3" recordCount="0" supportSubquery="1" supportAdvancedDrill="1" xr:uid="{9AA5C2C5-F98A-47D0-81F0-DE1B1C95A137}">
  <cacheSource type="external" connectionId="3"/>
  <cacheFields count="3">
    <cacheField name="[Processed_Data 1].[WorkLocation].[WorkLocation]" caption="WorkLocation" numFmtId="0" hierarchy="29" level="1">
      <sharedItems count="3">
        <s v="Hybrid"/>
        <s v="Onsite"/>
        <s v="Remote"/>
      </sharedItems>
    </cacheField>
    <cacheField name="[Measures].[Count of EmployeeID]" caption="Count of EmployeeID" numFmtId="0" hierarchy="62" level="32767"/>
    <cacheField name="[Processed_Data 1].[Department].[Department]" caption="Department" numFmtId="0" hierarchy="17" level="1">
      <sharedItems containsSemiMixedTypes="0" containsNonDate="0" containsString="0"/>
    </cacheField>
  </cacheFields>
  <cacheHierarchies count="67">
    <cacheHierarchy uniqueName="[Processed_Data].[Order_ID]" caption="Order_ID" attribute="1" defaultMemberUniqueName="[Processed_Data].[Order_ID].[All]" allUniqueName="[Processed_Data].[Order_ID].[All]" dimensionUniqueName="[Processed_Data]" displayFolder="" count="0" memberValueDatatype="20" unbalanced="0"/>
    <cacheHierarchy uniqueName="[Processed_Data].[Order_Date]" caption="Order_Date" attribute="1" time="1" defaultMemberUniqueName="[Processed_Data].[Order_Date].[All]" allUniqueName="[Processed_Data].[Order_Date].[All]" dimensionUniqueName="[Processed_Data]" displayFolder="" count="0" memberValueDatatype="7" unbalanced="0"/>
    <cacheHierarchy uniqueName="[Processed_Data].[Month]" caption="Month" attribute="1" defaultMemberUniqueName="[Processed_Data].[Month].[All]" allUniqueName="[Processed_Data].[Month].[All]" dimensionUniqueName="[Processed_Data]" displayFolder="" count="0" memberValueDatatype="20" unbalanced="0"/>
    <cacheHierarchy uniqueName="[Processed_Data].[Year]" caption="Year" attribute="1" defaultMemberUniqueName="[Processed_Data].[Year].[All]" allUniqueName="[Processed_Data].[Year].[All]" dimensionUniqueName="[Processed_Data]" displayFolder="" count="0" memberValueDatatype="20" unbalanced="0"/>
    <cacheHierarchy uniqueName="[Processed_Data].[Customer_Name]" caption="Customer_Name" attribute="1" defaultMemberUniqueName="[Processed_Data].[Customer_Name].[All]" allUniqueName="[Processed_Data].[Customer_Name].[All]" dimensionUniqueName="[Processed_Data]" displayFolder="" count="0" memberValueDatatype="130" unbalanced="0"/>
    <cacheHierarchy uniqueName="[Processed_Data].[Region]" caption="Region" attribute="1" defaultMemberUniqueName="[Processed_Data].[Region].[All]" allUniqueName="[Processed_Data].[Region].[All]" dimensionUniqueName="[Processed_Data]" displayFolder="" count="0" memberValueDatatype="130" unbalanced="0"/>
    <cacheHierarchy uniqueName="[Processed_Data].[Product_Category]" caption="Product_Category" attribute="1" defaultMemberUniqueName="[Processed_Data].[Product_Category].[All]" allUniqueName="[Processed_Data].[Product_Category].[All]" dimensionUniqueName="[Processed_Data]" displayFolder="" count="0" memberValueDatatype="130" unbalanced="0"/>
    <cacheHierarchy uniqueName="[Processed_Data].[Product_Name]" caption="Product_Name" attribute="1" defaultMemberUniqueName="[Processed_Data].[Product_Name].[All]" allUniqueName="[Processed_Data].[Product_Name].[All]" dimensionUniqueName="[Processed_Data]" displayFolder="" count="0" memberValueDatatype="130" unbalanced="0"/>
    <cacheHierarchy uniqueName="[Processed_Data].[Quantity]" caption="Quantity" attribute="1" defaultMemberUniqueName="[Processed_Data].[Quantity].[All]" allUniqueName="[Processed_Data].[Quantity].[All]" dimensionUniqueName="[Processed_Data]" displayFolder="" count="0" memberValueDatatype="20" unbalanced="0"/>
    <cacheHierarchy uniqueName="[Processed_Data].[Unit_Price]" caption="Unit_Price" attribute="1" defaultMemberUniqueName="[Processed_Data].[Unit_Price].[All]" allUniqueName="[Processed_Data].[Unit_Price].[All]" dimensionUniqueName="[Processed_Data]" displayFolder="" count="0" memberValueDatatype="20" unbalanced="0"/>
    <cacheHierarchy uniqueName="[Processed_Data].[Total_Sales]" caption="Total_Sales" attribute="1" defaultMemberUniqueName="[Processed_Data].[Total_Sales].[All]" allUniqueName="[Processed_Data].[Total_Sales].[All]" dimensionUniqueName="[Processed_Data]" displayFolder="" count="0" memberValueDatatype="20" unbalanced="0"/>
    <cacheHierarchy uniqueName="[Processed_Data].[Sales_Rep]" caption="Sales_Rep" attribute="1" defaultMemberUniqueName="[Processed_Data].[Sales_Rep].[All]" allUniqueName="[Processed_Data].[Sales_Rep].[All]" dimensionUniqueName="[Processed_Data]" displayFolder="" count="0" memberValueDatatype="130" unbalanced="0"/>
    <cacheHierarchy uniqueName="[Processed_Data].[Sales_Level]" caption="Sales_Level" attribute="1" defaultMemberUniqueName="[Processed_Data].[Sales_Level].[All]" allUniqueName="[Processed_Data].[Sales_Level].[All]" dimensionUniqueName="[Processed_Data]" displayFolder="" count="0" memberValueDatatype="130" unbalanced="0"/>
    <cacheHierarchy uniqueName="[Processed_Data 1].[EmployeeID]" caption="EmployeeID" attribute="1" defaultMemberUniqueName="[Processed_Data 1].[EmployeeID].[All]" allUniqueName="[Processed_Data 1].[EmployeeID].[All]" dimensionUniqueName="[Processed_Data 1]" displayFolder="" count="0" memberValueDatatype="20" unbalanced="0"/>
    <cacheHierarchy uniqueName="[Processed_Data 1].[HireDate]" caption="HireDate" attribute="1" time="1" defaultMemberUniqueName="[Processed_Data 1].[HireDate].[All]" allUniqueName="[Processed_Data 1].[HireDate].[All]" dimensionUniqueName="[Processed_Data 1]" displayFolder="" count="0" memberValueDatatype="7" unbalanced="0"/>
    <cacheHierarchy uniqueName="[Processed_Data 1].[Month]" caption="Month" attribute="1" defaultMemberUniqueName="[Processed_Data 1].[Month].[All]" allUniqueName="[Processed_Data 1].[Month].[All]" dimensionUniqueName="[Processed_Data 1]" displayFolder="" count="0" memberValueDatatype="20" unbalanced="0"/>
    <cacheHierarchy uniqueName="[Processed_Data 1].[Year]" caption="Year" attribute="1" defaultMemberUniqueName="[Processed_Data 1].[Year].[All]" allUniqueName="[Processed_Data 1].[Year].[All]" dimensionUniqueName="[Processed_Data 1]" displayFolder="" count="0" memberValueDatatype="20" unbalanced="0"/>
    <cacheHierarchy uniqueName="[Processed_Data 1].[Department]" caption="Department" attribute="1" defaultMemberUniqueName="[Processed_Data 1].[Department].[All]" allUniqueName="[Processed_Data 1].[Department].[All]" dimensionUniqueName="[Processed_Data 1]" displayFolder="" count="2" memberValueDatatype="130" unbalanced="0">
      <fieldsUsage count="2">
        <fieldUsage x="-1"/>
        <fieldUsage x="2"/>
      </fieldsUsage>
    </cacheHierarchy>
    <cacheHierarchy uniqueName="[Processed_Data 1].[JobRole]" caption="JobRole" attribute="1" defaultMemberUniqueName="[Processed_Data 1].[JobRole].[All]" allUniqueName="[Processed_Data 1].[JobRole].[All]" dimensionUniqueName="[Processed_Data 1]" displayFolder="" count="0" memberValueDatatype="130" unbalanced="0"/>
    <cacheHierarchy uniqueName="[Processed_Data 1].[Gender]" caption="Gender" attribute="1" defaultMemberUniqueName="[Processed_Data 1].[Gender].[All]" allUniqueName="[Processed_Data 1].[Gender].[All]" dimensionUniqueName="[Processed_Data 1]" displayFolder="" count="0" memberValueDatatype="130" unbalanced="0"/>
    <cacheHierarchy uniqueName="[Processed_Data 1].[Age]" caption="Age" attribute="1" defaultMemberUniqueName="[Processed_Data 1].[Age].[All]" allUniqueName="[Processed_Data 1].[Age].[All]" dimensionUniqueName="[Processed_Data 1]" displayFolder="" count="0" memberValueDatatype="20" unbalanced="0"/>
    <cacheHierarchy uniqueName="[Processed_Data 1].[Age_Group]" caption="Age_Group" attribute="1" defaultMemberUniqueName="[Processed_Data 1].[Age_Group].[All]" allUniqueName="[Processed_Data 1].[Age_Group].[All]" dimensionUniqueName="[Processed_Data 1]" displayFolder="" count="0" memberValueDatatype="130" unbalanced="0"/>
    <cacheHierarchy uniqueName="[Processed_Data 1].[MonthlySalary]" caption="MonthlySalary" attribute="1" defaultMemberUniqueName="[Processed_Data 1].[MonthlySalary].[All]" allUniqueName="[Processed_Data 1].[MonthlySalary].[All]" dimensionUniqueName="[Processed_Data 1]" displayFolder="" count="0" memberValueDatatype="20" unbalanced="0"/>
    <cacheHierarchy uniqueName="[Processed_Data 1].[Annual_Salary]" caption="Annual_Salary" attribute="1" defaultMemberUniqueName="[Processed_Data 1].[Annual_Salary].[All]" allUniqueName="[Processed_Data 1].[Annual_Salary].[All]" dimensionUniqueName="[Processed_Data 1]" displayFolder="" count="0" memberValueDatatype="20" unbalanced="0"/>
    <cacheHierarchy uniqueName="[Processed_Data 1].[YearsAtCompany]" caption="YearsAtCompany" attribute="1" defaultMemberUniqueName="[Processed_Data 1].[YearsAtCompany].[All]" allUniqueName="[Processed_Data 1].[YearsAtCompany].[All]" dimensionUniqueName="[Processed_Data 1]" displayFolder="" count="0" memberValueDatatype="20" unbalanced="0"/>
    <cacheHierarchy uniqueName="[Processed_Data 1].[Experience_Level]" caption="Experience_Level" attribute="1" defaultMemberUniqueName="[Processed_Data 1].[Experience_Level].[All]" allUniqueName="[Processed_Data 1].[Experience_Level].[All]" dimensionUniqueName="[Processed_Data 1]" displayFolder="" count="2" memberValueDatatype="130" unbalanced="0"/>
    <cacheHierarchy uniqueName="[Processed_Data 1].[PerformanceRating]" caption="PerformanceRating" attribute="1" defaultMemberUniqueName="[Processed_Data 1].[PerformanceRating].[All]" allUniqueName="[Processed_Data 1].[PerformanceRating].[All]" dimensionUniqueName="[Processed_Data 1]" displayFolder="" count="0" memberValueDatatype="20" unbalanced="0"/>
    <cacheHierarchy uniqueName="[Processed_Data 1].[Performance_Category]" caption="Performance_Category" attribute="1" defaultMemberUniqueName="[Processed_Data 1].[Performance_Category].[All]" allUniqueName="[Processed_Data 1].[Performance_Category].[All]" dimensionUniqueName="[Processed_Data 1]" displayFolder="" count="0" memberValueDatatype="130" unbalanced="0"/>
    <cacheHierarchy uniqueName="[Processed_Data 1].[Overtime]" caption="Overtime" attribute="1" defaultMemberUniqueName="[Processed_Data 1].[Overtime].[All]" allUniqueName="[Processed_Data 1].[Overtime].[All]" dimensionUniqueName="[Processed_Data 1]" displayFolder="" count="0" memberValueDatatype="130" unbalanced="0"/>
    <cacheHierarchy uniqueName="[Processed_Data 1].[WorkLocation]" caption="WorkLocation" attribute="1" defaultMemberUniqueName="[Processed_Data 1].[WorkLocation].[All]" allUniqueName="[Processed_Data 1].[WorkLocation].[All]" dimensionUniqueName="[Processed_Data 1]" displayFolder="" count="2" memberValueDatatype="130" unbalanced="0">
      <fieldsUsage count="2">
        <fieldUsage x="-1"/>
        <fieldUsage x="0"/>
      </fieldsUsage>
    </cacheHierarchy>
    <cacheHierarchy uniqueName="[Processed_Data 1].[Manager]" caption="Manager" attribute="1" defaultMemberUniqueName="[Processed_Data 1].[Manager].[All]" allUniqueName="[Processed_Data 1].[Manager].[All]" dimensionUniqueName="[Processed_Data 1]" displayFolder="" count="0" memberValueDatatype="130" unbalanced="0"/>
    <cacheHierarchy uniqueName="[Table1].[EmployeeID]" caption="EmployeeID" attribute="1" defaultMemberUniqueName="[Table1].[EmployeeID].[All]" allUniqueName="[Table1].[EmployeeID].[All]" dimensionUniqueName="[Table1]" displayFolder="" count="0" memberValueDatatype="20" unbalanced="0"/>
    <cacheHierarchy uniqueName="[Table1].[HireDate]" caption="HireDate" attribute="1" time="1" defaultMemberUniqueName="[Table1].[HireDate].[All]" allUniqueName="[Table1].[Hire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JobRole]" caption="JobRole" attribute="1" defaultMemberUniqueName="[Table1].[JobRole].[All]" allUniqueName="[Table1].[JobRol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MonthlySalary]" caption="MonthlySalary" attribute="1" defaultMemberUniqueName="[Table1].[MonthlySalary].[All]" allUniqueName="[Table1].[MonthlySalary].[All]" dimensionUniqueName="[Table1]" displayFolder="" count="0" memberValueDatatype="6" unbalanced="0"/>
    <cacheHierarchy uniqueName="[Table1].[Annual_Salary]" caption="Annual_Salary" attribute="1" defaultMemberUniqueName="[Table1].[Annual_Salary].[All]" allUniqueName="[Table1].[Annual_Salary].[All]" dimensionUniqueName="[Table1]" displayFolder="" count="0" memberValueDatatype="6"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Experience_Level]" caption="Experience_Level" attribute="1" defaultMemberUniqueName="[Table1].[Experience_Level].[All]" allUniqueName="[Table1].[Experience_Level].[All]" dimensionUniqueName="[Table1]" displayFolder="" count="0" memberValueDatatype="13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Performance_Category]" caption="Performance_Category" attribute="1" defaultMemberUniqueName="[Table1].[Performance_Category].[All]" allUniqueName="[Table1].[Performance_Category].[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WorkLocation]" caption="WorkLocation" attribute="1" defaultMemberUniqueName="[Table1].[WorkLocation].[All]" allUniqueName="[Table1].[WorkLocation].[All]" dimensionUniqueName="[Table1]" displayFolder="" count="0" memberValueDatatype="130" unbalanced="0"/>
    <cacheHierarchy uniqueName="[Table1].[Manager]" caption="Manager" attribute="1" defaultMemberUniqueName="[Table1].[Manager].[All]" allUniqueName="[Table1].[Manager].[All]" dimensionUniqueName="[Table1]" displayFolder="" count="0" memberValueDatatype="130" unbalanced="0"/>
    <cacheHierarchy uniqueName="[Measures].[__XL_Count Table1]" caption="__XL_Count Table1" measure="1" displayFolder="" measureGroup="Table1" count="0" hidden="1"/>
    <cacheHierarchy uniqueName="[Measures].[__XL_Count Processed_Data]" caption="__XL_Count Processed_Data" measure="1" displayFolder="" measureGroup="Processed_Data" count="0" hidden="1"/>
    <cacheHierarchy uniqueName="[Measures].[__XL_Count Processed_Data 1]" caption="__XL_Count Processed_Data 1" measure="1" displayFolder="" measureGroup="Processed_Data 1" count="0" hidden="1"/>
    <cacheHierarchy uniqueName="[Measures].[__No measures defined]" caption="__No measures defined" measure="1" displayFolder="" count="0" hidden="1"/>
    <cacheHierarchy uniqueName="[Measures].[Sum of Total_Sales]" caption="Sum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Average of Total_Sales]" caption="Average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Count of Sales_Rep]" caption="Count of Sales_Rep" measure="1" displayFolder="" measureGroup="Processed_Data" count="0" hidden="1">
      <extLst>
        <ext xmlns:x15="http://schemas.microsoft.com/office/spreadsheetml/2010/11/main" uri="{B97F6D7D-B522-45F9-BDA1-12C45D357490}">
          <x15:cacheHierarchy aggregatedColumn="11"/>
        </ext>
      </extLst>
    </cacheHierarchy>
    <cacheHierarchy uniqueName="[Measures].[Count of Product_Category]" caption="Count of Product_Category" measure="1" displayFolder="" measureGroup="Processed_Data" count="0" hidden="1">
      <extLst>
        <ext xmlns:x15="http://schemas.microsoft.com/office/spreadsheetml/2010/11/main" uri="{B97F6D7D-B522-45F9-BDA1-12C45D357490}">
          <x15:cacheHierarchy aggregatedColumn="6"/>
        </ext>
      </extLst>
    </cacheHierarchy>
    <cacheHierarchy uniqueName="[Measures].[Sum of EmployeeID]" caption="Sum of EmployeeID" measure="1" displayFolder="" measureGroup="Processed_Data 1" count="0" hidden="1">
      <extLst>
        <ext xmlns:x15="http://schemas.microsoft.com/office/spreadsheetml/2010/11/main" uri="{B97F6D7D-B522-45F9-BDA1-12C45D357490}">
          <x15:cacheHierarchy aggregatedColumn="13"/>
        </ext>
      </extLst>
    </cacheHierarchy>
    <cacheHierarchy uniqueName="[Measures].[Sum of Annual_Salary]" caption="Sum of Annual_Salary" measure="1" displayFolder="" measureGroup="Processed_Data 1" count="0" hidden="1">
      <extLst>
        <ext xmlns:x15="http://schemas.microsoft.com/office/spreadsheetml/2010/11/main" uri="{B97F6D7D-B522-45F9-BDA1-12C45D357490}">
          <x15:cacheHierarchy aggregatedColumn="23"/>
        </ext>
      </extLst>
    </cacheHierarchy>
    <cacheHierarchy uniqueName="[Measures].[Sum of PerformanceRating]" caption="Sum of PerformanceRating" measure="1" displayFolder="" measureGroup="Processed_Data 1" count="0" hidden="1">
      <extLst>
        <ext xmlns:x15="http://schemas.microsoft.com/office/spreadsheetml/2010/11/main" uri="{B97F6D7D-B522-45F9-BDA1-12C45D357490}">
          <x15:cacheHierarchy aggregatedColumn="26"/>
        </ext>
      </extLst>
    </cacheHierarchy>
    <cacheHierarchy uniqueName="[Measures].[Count of EmployeeID]" caption="Count of EmployeeID" measure="1" displayFolder="" measureGroup="Processed_Data 1" count="0" oneField="1" hidden="1">
      <fieldsUsage count="1">
        <fieldUsage x="1"/>
      </fieldsUsage>
      <extLst>
        <ext xmlns:x15="http://schemas.microsoft.com/office/spreadsheetml/2010/11/main" uri="{B97F6D7D-B522-45F9-BDA1-12C45D357490}">
          <x15:cacheHierarchy aggregatedColumn="13"/>
        </ext>
      </extLst>
    </cacheHierarchy>
    <cacheHierarchy uniqueName="[Measures].[Average of Annual_Salary]" caption="Average of Annual_Salary" measure="1" displayFolder="" measureGroup="Processed_Data 1" count="0" hidden="1">
      <extLst>
        <ext xmlns:x15="http://schemas.microsoft.com/office/spreadsheetml/2010/11/main" uri="{B97F6D7D-B522-45F9-BDA1-12C45D357490}">
          <x15:cacheHierarchy aggregatedColumn="23"/>
        </ext>
      </extLst>
    </cacheHierarchy>
    <cacheHierarchy uniqueName="[Measures].[Average of PerformanceRating]" caption="Average of PerformanceRating" measure="1" displayFolder="" measureGroup="Processed_Data 1" count="0" hidden="1">
      <extLst>
        <ext xmlns:x15="http://schemas.microsoft.com/office/spreadsheetml/2010/11/main" uri="{B97F6D7D-B522-45F9-BDA1-12C45D357490}">
          <x15:cacheHierarchy aggregatedColumn="26"/>
        </ext>
      </extLst>
    </cacheHierarchy>
    <cacheHierarchy uniqueName="[Measures].[Count of Overtime]" caption="Count of Overtime" measure="1" displayFolder="" measureGroup="Processed_Data 1" count="0" hidden="1">
      <extLst>
        <ext xmlns:x15="http://schemas.microsoft.com/office/spreadsheetml/2010/11/main" uri="{B97F6D7D-B522-45F9-BDA1-12C45D357490}">
          <x15:cacheHierarchy aggregatedColumn="28"/>
        </ext>
      </extLst>
    </cacheHierarchy>
    <cacheHierarchy uniqueName="[Measures].[Count of Performance_Category]" caption="Count of Performance_Category" measure="1" displayFolder="" measureGroup="Processed_Data 1" count="0" hidden="1">
      <extLst>
        <ext xmlns:x15="http://schemas.microsoft.com/office/spreadsheetml/2010/11/main" uri="{B97F6D7D-B522-45F9-BDA1-12C45D357490}">
          <x15:cacheHierarchy aggregatedColumn="27"/>
        </ext>
      </extLst>
    </cacheHierarchy>
  </cacheHierarchies>
  <kpis count="0"/>
  <dimensions count="4">
    <dimension measure="1" name="Measures" uniqueName="[Measures]" caption="Measures"/>
    <dimension name="Processed_Data" uniqueName="[Processed_Data]" caption="Processed_Data"/>
    <dimension name="Processed_Data 1" uniqueName="[Processed_Data 1]" caption="Processed_Data 1"/>
    <dimension name="Table1" uniqueName="[Table1]" caption="Table1"/>
  </dimensions>
  <measureGroups count="3">
    <measureGroup name="Processed_Data" caption="Processed_Data"/>
    <measureGroup name="Processed_Data 1" caption="Processed_Data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60.448879745367" backgroundQuery="1" createdVersion="8" refreshedVersion="8" minRefreshableVersion="3" recordCount="0" supportSubquery="1" supportAdvancedDrill="1" xr:uid="{78452179-7AD3-433C-A9BA-BF8E3CD1E66B}">
  <cacheSource type="external" connectionId="3"/>
  <cacheFields count="3">
    <cacheField name="[Processed_Data 1].[Performance_Category].[Performance_Category]" caption="Performance_Category" numFmtId="0" hierarchy="27" level="1">
      <sharedItems count="3">
        <s v="High"/>
        <s v="Low"/>
        <s v="Medium"/>
      </sharedItems>
    </cacheField>
    <cacheField name="[Measures].[Count of EmployeeID]" caption="Count of EmployeeID" numFmtId="0" hierarchy="62" level="32767"/>
    <cacheField name="[Processed_Data 1].[Department].[Department]" caption="Department" numFmtId="0" hierarchy="17" level="1">
      <sharedItems containsSemiMixedTypes="0" containsNonDate="0" containsString="0"/>
    </cacheField>
  </cacheFields>
  <cacheHierarchies count="67">
    <cacheHierarchy uniqueName="[Processed_Data].[Order_ID]" caption="Order_ID" attribute="1" defaultMemberUniqueName="[Processed_Data].[Order_ID].[All]" allUniqueName="[Processed_Data].[Order_ID].[All]" dimensionUniqueName="[Processed_Data]" displayFolder="" count="0" memberValueDatatype="20" unbalanced="0"/>
    <cacheHierarchy uniqueName="[Processed_Data].[Order_Date]" caption="Order_Date" attribute="1" time="1" defaultMemberUniqueName="[Processed_Data].[Order_Date].[All]" allUniqueName="[Processed_Data].[Order_Date].[All]" dimensionUniqueName="[Processed_Data]" displayFolder="" count="0" memberValueDatatype="7" unbalanced="0"/>
    <cacheHierarchy uniqueName="[Processed_Data].[Month]" caption="Month" attribute="1" defaultMemberUniqueName="[Processed_Data].[Month].[All]" allUniqueName="[Processed_Data].[Month].[All]" dimensionUniqueName="[Processed_Data]" displayFolder="" count="0" memberValueDatatype="20" unbalanced="0"/>
    <cacheHierarchy uniqueName="[Processed_Data].[Year]" caption="Year" attribute="1" defaultMemberUniqueName="[Processed_Data].[Year].[All]" allUniqueName="[Processed_Data].[Year].[All]" dimensionUniqueName="[Processed_Data]" displayFolder="" count="0" memberValueDatatype="20" unbalanced="0"/>
    <cacheHierarchy uniqueName="[Processed_Data].[Customer_Name]" caption="Customer_Name" attribute="1" defaultMemberUniqueName="[Processed_Data].[Customer_Name].[All]" allUniqueName="[Processed_Data].[Customer_Name].[All]" dimensionUniqueName="[Processed_Data]" displayFolder="" count="0" memberValueDatatype="130" unbalanced="0"/>
    <cacheHierarchy uniqueName="[Processed_Data].[Region]" caption="Region" attribute="1" defaultMemberUniqueName="[Processed_Data].[Region].[All]" allUniqueName="[Processed_Data].[Region].[All]" dimensionUniqueName="[Processed_Data]" displayFolder="" count="0" memberValueDatatype="130" unbalanced="0"/>
    <cacheHierarchy uniqueName="[Processed_Data].[Product_Category]" caption="Product_Category" attribute="1" defaultMemberUniqueName="[Processed_Data].[Product_Category].[All]" allUniqueName="[Processed_Data].[Product_Category].[All]" dimensionUniqueName="[Processed_Data]" displayFolder="" count="0" memberValueDatatype="130" unbalanced="0"/>
    <cacheHierarchy uniqueName="[Processed_Data].[Product_Name]" caption="Product_Name" attribute="1" defaultMemberUniqueName="[Processed_Data].[Product_Name].[All]" allUniqueName="[Processed_Data].[Product_Name].[All]" dimensionUniqueName="[Processed_Data]" displayFolder="" count="0" memberValueDatatype="130" unbalanced="0"/>
    <cacheHierarchy uniqueName="[Processed_Data].[Quantity]" caption="Quantity" attribute="1" defaultMemberUniqueName="[Processed_Data].[Quantity].[All]" allUniqueName="[Processed_Data].[Quantity].[All]" dimensionUniqueName="[Processed_Data]" displayFolder="" count="0" memberValueDatatype="20" unbalanced="0"/>
    <cacheHierarchy uniqueName="[Processed_Data].[Unit_Price]" caption="Unit_Price" attribute="1" defaultMemberUniqueName="[Processed_Data].[Unit_Price].[All]" allUniqueName="[Processed_Data].[Unit_Price].[All]" dimensionUniqueName="[Processed_Data]" displayFolder="" count="0" memberValueDatatype="20" unbalanced="0"/>
    <cacheHierarchy uniqueName="[Processed_Data].[Total_Sales]" caption="Total_Sales" attribute="1" defaultMemberUniqueName="[Processed_Data].[Total_Sales].[All]" allUniqueName="[Processed_Data].[Total_Sales].[All]" dimensionUniqueName="[Processed_Data]" displayFolder="" count="0" memberValueDatatype="20" unbalanced="0"/>
    <cacheHierarchy uniqueName="[Processed_Data].[Sales_Rep]" caption="Sales_Rep" attribute="1" defaultMemberUniqueName="[Processed_Data].[Sales_Rep].[All]" allUniqueName="[Processed_Data].[Sales_Rep].[All]" dimensionUniqueName="[Processed_Data]" displayFolder="" count="0" memberValueDatatype="130" unbalanced="0"/>
    <cacheHierarchy uniqueName="[Processed_Data].[Sales_Level]" caption="Sales_Level" attribute="1" defaultMemberUniqueName="[Processed_Data].[Sales_Level].[All]" allUniqueName="[Processed_Data].[Sales_Level].[All]" dimensionUniqueName="[Processed_Data]" displayFolder="" count="0" memberValueDatatype="130" unbalanced="0"/>
    <cacheHierarchy uniqueName="[Processed_Data 1].[EmployeeID]" caption="EmployeeID" attribute="1" defaultMemberUniqueName="[Processed_Data 1].[EmployeeID].[All]" allUniqueName="[Processed_Data 1].[EmployeeID].[All]" dimensionUniqueName="[Processed_Data 1]" displayFolder="" count="0" memberValueDatatype="20" unbalanced="0"/>
    <cacheHierarchy uniqueName="[Processed_Data 1].[HireDate]" caption="HireDate" attribute="1" time="1" defaultMemberUniqueName="[Processed_Data 1].[HireDate].[All]" allUniqueName="[Processed_Data 1].[HireDate].[All]" dimensionUniqueName="[Processed_Data 1]" displayFolder="" count="0" memberValueDatatype="7" unbalanced="0"/>
    <cacheHierarchy uniqueName="[Processed_Data 1].[Month]" caption="Month" attribute="1" defaultMemberUniqueName="[Processed_Data 1].[Month].[All]" allUniqueName="[Processed_Data 1].[Month].[All]" dimensionUniqueName="[Processed_Data 1]" displayFolder="" count="0" memberValueDatatype="20" unbalanced="0"/>
    <cacheHierarchy uniqueName="[Processed_Data 1].[Year]" caption="Year" attribute="1" defaultMemberUniqueName="[Processed_Data 1].[Year].[All]" allUniqueName="[Processed_Data 1].[Year].[All]" dimensionUniqueName="[Processed_Data 1]" displayFolder="" count="0" memberValueDatatype="20" unbalanced="0"/>
    <cacheHierarchy uniqueName="[Processed_Data 1].[Department]" caption="Department" attribute="1" defaultMemberUniqueName="[Processed_Data 1].[Department].[All]" allUniqueName="[Processed_Data 1].[Department].[All]" dimensionUniqueName="[Processed_Data 1]" displayFolder="" count="2" memberValueDatatype="130" unbalanced="0">
      <fieldsUsage count="2">
        <fieldUsage x="-1"/>
        <fieldUsage x="2"/>
      </fieldsUsage>
    </cacheHierarchy>
    <cacheHierarchy uniqueName="[Processed_Data 1].[JobRole]" caption="JobRole" attribute="1" defaultMemberUniqueName="[Processed_Data 1].[JobRole].[All]" allUniqueName="[Processed_Data 1].[JobRole].[All]" dimensionUniqueName="[Processed_Data 1]" displayFolder="" count="0" memberValueDatatype="130" unbalanced="0"/>
    <cacheHierarchy uniqueName="[Processed_Data 1].[Gender]" caption="Gender" attribute="1" defaultMemberUniqueName="[Processed_Data 1].[Gender].[All]" allUniqueName="[Processed_Data 1].[Gender].[All]" dimensionUniqueName="[Processed_Data 1]" displayFolder="" count="0" memberValueDatatype="130" unbalanced="0"/>
    <cacheHierarchy uniqueName="[Processed_Data 1].[Age]" caption="Age" attribute="1" defaultMemberUniqueName="[Processed_Data 1].[Age].[All]" allUniqueName="[Processed_Data 1].[Age].[All]" dimensionUniqueName="[Processed_Data 1]" displayFolder="" count="0" memberValueDatatype="20" unbalanced="0"/>
    <cacheHierarchy uniqueName="[Processed_Data 1].[Age_Group]" caption="Age_Group" attribute="1" defaultMemberUniqueName="[Processed_Data 1].[Age_Group].[All]" allUniqueName="[Processed_Data 1].[Age_Group].[All]" dimensionUniqueName="[Processed_Data 1]" displayFolder="" count="0" memberValueDatatype="130" unbalanced="0"/>
    <cacheHierarchy uniqueName="[Processed_Data 1].[MonthlySalary]" caption="MonthlySalary" attribute="1" defaultMemberUniqueName="[Processed_Data 1].[MonthlySalary].[All]" allUniqueName="[Processed_Data 1].[MonthlySalary].[All]" dimensionUniqueName="[Processed_Data 1]" displayFolder="" count="0" memberValueDatatype="20" unbalanced="0"/>
    <cacheHierarchy uniqueName="[Processed_Data 1].[Annual_Salary]" caption="Annual_Salary" attribute="1" defaultMemberUniqueName="[Processed_Data 1].[Annual_Salary].[All]" allUniqueName="[Processed_Data 1].[Annual_Salary].[All]" dimensionUniqueName="[Processed_Data 1]" displayFolder="" count="0" memberValueDatatype="20" unbalanced="0"/>
    <cacheHierarchy uniqueName="[Processed_Data 1].[YearsAtCompany]" caption="YearsAtCompany" attribute="1" defaultMemberUniqueName="[Processed_Data 1].[YearsAtCompany].[All]" allUniqueName="[Processed_Data 1].[YearsAtCompany].[All]" dimensionUniqueName="[Processed_Data 1]" displayFolder="" count="0" memberValueDatatype="20" unbalanced="0"/>
    <cacheHierarchy uniqueName="[Processed_Data 1].[Experience_Level]" caption="Experience_Level" attribute="1" defaultMemberUniqueName="[Processed_Data 1].[Experience_Level].[All]" allUniqueName="[Processed_Data 1].[Experience_Level].[All]" dimensionUniqueName="[Processed_Data 1]" displayFolder="" count="2" memberValueDatatype="130" unbalanced="0"/>
    <cacheHierarchy uniqueName="[Processed_Data 1].[PerformanceRating]" caption="PerformanceRating" attribute="1" defaultMemberUniqueName="[Processed_Data 1].[PerformanceRating].[All]" allUniqueName="[Processed_Data 1].[PerformanceRating].[All]" dimensionUniqueName="[Processed_Data 1]" displayFolder="" count="0" memberValueDatatype="20" unbalanced="0"/>
    <cacheHierarchy uniqueName="[Processed_Data 1].[Performance_Category]" caption="Performance_Category" attribute="1" defaultMemberUniqueName="[Processed_Data 1].[Performance_Category].[All]" allUniqueName="[Processed_Data 1].[Performance_Category].[All]" dimensionUniqueName="[Processed_Data 1]" displayFolder="" count="2" memberValueDatatype="130" unbalanced="0">
      <fieldsUsage count="2">
        <fieldUsage x="-1"/>
        <fieldUsage x="0"/>
      </fieldsUsage>
    </cacheHierarchy>
    <cacheHierarchy uniqueName="[Processed_Data 1].[Overtime]" caption="Overtime" attribute="1" defaultMemberUniqueName="[Processed_Data 1].[Overtime].[All]" allUniqueName="[Processed_Data 1].[Overtime].[All]" dimensionUniqueName="[Processed_Data 1]" displayFolder="" count="0" memberValueDatatype="130" unbalanced="0"/>
    <cacheHierarchy uniqueName="[Processed_Data 1].[WorkLocation]" caption="WorkLocation" attribute="1" defaultMemberUniqueName="[Processed_Data 1].[WorkLocation].[All]" allUniqueName="[Processed_Data 1].[WorkLocation].[All]" dimensionUniqueName="[Processed_Data 1]" displayFolder="" count="0" memberValueDatatype="130" unbalanced="0"/>
    <cacheHierarchy uniqueName="[Processed_Data 1].[Manager]" caption="Manager" attribute="1" defaultMemberUniqueName="[Processed_Data 1].[Manager].[All]" allUniqueName="[Processed_Data 1].[Manager].[All]" dimensionUniqueName="[Processed_Data 1]" displayFolder="" count="0" memberValueDatatype="130" unbalanced="0"/>
    <cacheHierarchy uniqueName="[Table1].[EmployeeID]" caption="EmployeeID" attribute="1" defaultMemberUniqueName="[Table1].[EmployeeID].[All]" allUniqueName="[Table1].[EmployeeID].[All]" dimensionUniqueName="[Table1]" displayFolder="" count="0" memberValueDatatype="20" unbalanced="0"/>
    <cacheHierarchy uniqueName="[Table1].[HireDate]" caption="HireDate" attribute="1" time="1" defaultMemberUniqueName="[Table1].[HireDate].[All]" allUniqueName="[Table1].[Hire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JobRole]" caption="JobRole" attribute="1" defaultMemberUniqueName="[Table1].[JobRole].[All]" allUniqueName="[Table1].[JobRol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MonthlySalary]" caption="MonthlySalary" attribute="1" defaultMemberUniqueName="[Table1].[MonthlySalary].[All]" allUniqueName="[Table1].[MonthlySalary].[All]" dimensionUniqueName="[Table1]" displayFolder="" count="0" memberValueDatatype="6" unbalanced="0"/>
    <cacheHierarchy uniqueName="[Table1].[Annual_Salary]" caption="Annual_Salary" attribute="1" defaultMemberUniqueName="[Table1].[Annual_Salary].[All]" allUniqueName="[Table1].[Annual_Salary].[All]" dimensionUniqueName="[Table1]" displayFolder="" count="0" memberValueDatatype="6"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Experience_Level]" caption="Experience_Level" attribute="1" defaultMemberUniqueName="[Table1].[Experience_Level].[All]" allUniqueName="[Table1].[Experience_Level].[All]" dimensionUniqueName="[Table1]" displayFolder="" count="0" memberValueDatatype="13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Performance_Category]" caption="Performance_Category" attribute="1" defaultMemberUniqueName="[Table1].[Performance_Category].[All]" allUniqueName="[Table1].[Performance_Category].[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WorkLocation]" caption="WorkLocation" attribute="1" defaultMemberUniqueName="[Table1].[WorkLocation].[All]" allUniqueName="[Table1].[WorkLocation].[All]" dimensionUniqueName="[Table1]" displayFolder="" count="0" memberValueDatatype="130" unbalanced="0"/>
    <cacheHierarchy uniqueName="[Table1].[Manager]" caption="Manager" attribute="1" defaultMemberUniqueName="[Table1].[Manager].[All]" allUniqueName="[Table1].[Manager].[All]" dimensionUniqueName="[Table1]" displayFolder="" count="0" memberValueDatatype="130" unbalanced="0"/>
    <cacheHierarchy uniqueName="[Measures].[__XL_Count Table1]" caption="__XL_Count Table1" measure="1" displayFolder="" measureGroup="Table1" count="0" hidden="1"/>
    <cacheHierarchy uniqueName="[Measures].[__XL_Count Processed_Data]" caption="__XL_Count Processed_Data" measure="1" displayFolder="" measureGroup="Processed_Data" count="0" hidden="1"/>
    <cacheHierarchy uniqueName="[Measures].[__XL_Count Processed_Data 1]" caption="__XL_Count Processed_Data 1" measure="1" displayFolder="" measureGroup="Processed_Data 1" count="0" hidden="1"/>
    <cacheHierarchy uniqueName="[Measures].[__No measures defined]" caption="__No measures defined" measure="1" displayFolder="" count="0" hidden="1"/>
    <cacheHierarchy uniqueName="[Measures].[Sum of Total_Sales]" caption="Sum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Average of Total_Sales]" caption="Average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Count of Sales_Rep]" caption="Count of Sales_Rep" measure="1" displayFolder="" measureGroup="Processed_Data" count="0" hidden="1">
      <extLst>
        <ext xmlns:x15="http://schemas.microsoft.com/office/spreadsheetml/2010/11/main" uri="{B97F6D7D-B522-45F9-BDA1-12C45D357490}">
          <x15:cacheHierarchy aggregatedColumn="11"/>
        </ext>
      </extLst>
    </cacheHierarchy>
    <cacheHierarchy uniqueName="[Measures].[Count of Product_Category]" caption="Count of Product_Category" measure="1" displayFolder="" measureGroup="Processed_Data" count="0" hidden="1">
      <extLst>
        <ext xmlns:x15="http://schemas.microsoft.com/office/spreadsheetml/2010/11/main" uri="{B97F6D7D-B522-45F9-BDA1-12C45D357490}">
          <x15:cacheHierarchy aggregatedColumn="6"/>
        </ext>
      </extLst>
    </cacheHierarchy>
    <cacheHierarchy uniqueName="[Measures].[Sum of EmployeeID]" caption="Sum of EmployeeID" measure="1" displayFolder="" measureGroup="Processed_Data 1" count="0" hidden="1">
      <extLst>
        <ext xmlns:x15="http://schemas.microsoft.com/office/spreadsheetml/2010/11/main" uri="{B97F6D7D-B522-45F9-BDA1-12C45D357490}">
          <x15:cacheHierarchy aggregatedColumn="13"/>
        </ext>
      </extLst>
    </cacheHierarchy>
    <cacheHierarchy uniqueName="[Measures].[Sum of Annual_Salary]" caption="Sum of Annual_Salary" measure="1" displayFolder="" measureGroup="Processed_Data 1" count="0" hidden="1">
      <extLst>
        <ext xmlns:x15="http://schemas.microsoft.com/office/spreadsheetml/2010/11/main" uri="{B97F6D7D-B522-45F9-BDA1-12C45D357490}">
          <x15:cacheHierarchy aggregatedColumn="23"/>
        </ext>
      </extLst>
    </cacheHierarchy>
    <cacheHierarchy uniqueName="[Measures].[Sum of PerformanceRating]" caption="Sum of PerformanceRating" measure="1" displayFolder="" measureGroup="Processed_Data 1" count="0" hidden="1">
      <extLst>
        <ext xmlns:x15="http://schemas.microsoft.com/office/spreadsheetml/2010/11/main" uri="{B97F6D7D-B522-45F9-BDA1-12C45D357490}">
          <x15:cacheHierarchy aggregatedColumn="26"/>
        </ext>
      </extLst>
    </cacheHierarchy>
    <cacheHierarchy uniqueName="[Measures].[Count of EmployeeID]" caption="Count of EmployeeID" measure="1" displayFolder="" measureGroup="Processed_Data 1" count="0" oneField="1" hidden="1">
      <fieldsUsage count="1">
        <fieldUsage x="1"/>
      </fieldsUsage>
      <extLst>
        <ext xmlns:x15="http://schemas.microsoft.com/office/spreadsheetml/2010/11/main" uri="{B97F6D7D-B522-45F9-BDA1-12C45D357490}">
          <x15:cacheHierarchy aggregatedColumn="13"/>
        </ext>
      </extLst>
    </cacheHierarchy>
    <cacheHierarchy uniqueName="[Measures].[Average of Annual_Salary]" caption="Average of Annual_Salary" measure="1" displayFolder="" measureGroup="Processed_Data 1" count="0" hidden="1">
      <extLst>
        <ext xmlns:x15="http://schemas.microsoft.com/office/spreadsheetml/2010/11/main" uri="{B97F6D7D-B522-45F9-BDA1-12C45D357490}">
          <x15:cacheHierarchy aggregatedColumn="23"/>
        </ext>
      </extLst>
    </cacheHierarchy>
    <cacheHierarchy uniqueName="[Measures].[Average of PerformanceRating]" caption="Average of PerformanceRating" measure="1" displayFolder="" measureGroup="Processed_Data 1" count="0" hidden="1">
      <extLst>
        <ext xmlns:x15="http://schemas.microsoft.com/office/spreadsheetml/2010/11/main" uri="{B97F6D7D-B522-45F9-BDA1-12C45D357490}">
          <x15:cacheHierarchy aggregatedColumn="26"/>
        </ext>
      </extLst>
    </cacheHierarchy>
    <cacheHierarchy uniqueName="[Measures].[Count of Overtime]" caption="Count of Overtime" measure="1" displayFolder="" measureGroup="Processed_Data 1" count="0" hidden="1">
      <extLst>
        <ext xmlns:x15="http://schemas.microsoft.com/office/spreadsheetml/2010/11/main" uri="{B97F6D7D-B522-45F9-BDA1-12C45D357490}">
          <x15:cacheHierarchy aggregatedColumn="28"/>
        </ext>
      </extLst>
    </cacheHierarchy>
    <cacheHierarchy uniqueName="[Measures].[Count of Performance_Category]" caption="Count of Performance_Category" measure="1" displayFolder="" measureGroup="Processed_Data 1" count="0" hidden="1">
      <extLst>
        <ext xmlns:x15="http://schemas.microsoft.com/office/spreadsheetml/2010/11/main" uri="{B97F6D7D-B522-45F9-BDA1-12C45D357490}">
          <x15:cacheHierarchy aggregatedColumn="27"/>
        </ext>
      </extLst>
    </cacheHierarchy>
  </cacheHierarchies>
  <kpis count="0"/>
  <dimensions count="4">
    <dimension measure="1" name="Measures" uniqueName="[Measures]" caption="Measures"/>
    <dimension name="Processed_Data" uniqueName="[Processed_Data]" caption="Processed_Data"/>
    <dimension name="Processed_Data 1" uniqueName="[Processed_Data 1]" caption="Processed_Data 1"/>
    <dimension name="Table1" uniqueName="[Table1]" caption="Table1"/>
  </dimensions>
  <measureGroups count="3">
    <measureGroup name="Processed_Data" caption="Processed_Data"/>
    <measureGroup name="Processed_Data 1" caption="Processed_Data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60.448880208336" backgroundQuery="1" createdVersion="8" refreshedVersion="8" minRefreshableVersion="3" recordCount="0" supportSubquery="1" supportAdvancedDrill="1" xr:uid="{48DEE331-0C90-42AA-8847-C096CA0F268C}">
  <cacheSource type="external" connectionId="3"/>
  <cacheFields count="4">
    <cacheField name="[Measures].[Count of EmployeeID]" caption="Count of EmployeeID" numFmtId="0" hierarchy="62" level="32767"/>
    <cacheField name="[Measures].[Average of Annual_Salary]" caption="Average of Annual_Salary" numFmtId="0" hierarchy="63" level="32767"/>
    <cacheField name="[Measures].[Average of PerformanceRating]" caption="Average of PerformanceRating" numFmtId="0" hierarchy="64" level="32767"/>
    <cacheField name="[Processed_Data 1].[Department].[Department]" caption="Department" numFmtId="0" hierarchy="17" level="1">
      <sharedItems containsSemiMixedTypes="0" containsNonDate="0" containsString="0"/>
    </cacheField>
  </cacheFields>
  <cacheHierarchies count="67">
    <cacheHierarchy uniqueName="[Processed_Data].[Order_ID]" caption="Order_ID" attribute="1" defaultMemberUniqueName="[Processed_Data].[Order_ID].[All]" allUniqueName="[Processed_Data].[Order_ID].[All]" dimensionUniqueName="[Processed_Data]" displayFolder="" count="0" memberValueDatatype="20" unbalanced="0"/>
    <cacheHierarchy uniqueName="[Processed_Data].[Order_Date]" caption="Order_Date" attribute="1" time="1" defaultMemberUniqueName="[Processed_Data].[Order_Date].[All]" allUniqueName="[Processed_Data].[Order_Date].[All]" dimensionUniqueName="[Processed_Data]" displayFolder="" count="0" memberValueDatatype="7" unbalanced="0"/>
    <cacheHierarchy uniqueName="[Processed_Data].[Month]" caption="Month" attribute="1" defaultMemberUniqueName="[Processed_Data].[Month].[All]" allUniqueName="[Processed_Data].[Month].[All]" dimensionUniqueName="[Processed_Data]" displayFolder="" count="0" memberValueDatatype="20" unbalanced="0"/>
    <cacheHierarchy uniqueName="[Processed_Data].[Year]" caption="Year" attribute="1" defaultMemberUniqueName="[Processed_Data].[Year].[All]" allUniqueName="[Processed_Data].[Year].[All]" dimensionUniqueName="[Processed_Data]" displayFolder="" count="0" memberValueDatatype="20" unbalanced="0"/>
    <cacheHierarchy uniqueName="[Processed_Data].[Customer_Name]" caption="Customer_Name" attribute="1" defaultMemberUniqueName="[Processed_Data].[Customer_Name].[All]" allUniqueName="[Processed_Data].[Customer_Name].[All]" dimensionUniqueName="[Processed_Data]" displayFolder="" count="0" memberValueDatatype="130" unbalanced="0"/>
    <cacheHierarchy uniqueName="[Processed_Data].[Region]" caption="Region" attribute="1" defaultMemberUniqueName="[Processed_Data].[Region].[All]" allUniqueName="[Processed_Data].[Region].[All]" dimensionUniqueName="[Processed_Data]" displayFolder="" count="0" memberValueDatatype="130" unbalanced="0"/>
    <cacheHierarchy uniqueName="[Processed_Data].[Product_Category]" caption="Product_Category" attribute="1" defaultMemberUniqueName="[Processed_Data].[Product_Category].[All]" allUniqueName="[Processed_Data].[Product_Category].[All]" dimensionUniqueName="[Processed_Data]" displayFolder="" count="0" memberValueDatatype="130" unbalanced="0"/>
    <cacheHierarchy uniqueName="[Processed_Data].[Product_Name]" caption="Product_Name" attribute="1" defaultMemberUniqueName="[Processed_Data].[Product_Name].[All]" allUniqueName="[Processed_Data].[Product_Name].[All]" dimensionUniqueName="[Processed_Data]" displayFolder="" count="0" memberValueDatatype="130" unbalanced="0"/>
    <cacheHierarchy uniqueName="[Processed_Data].[Quantity]" caption="Quantity" attribute="1" defaultMemberUniqueName="[Processed_Data].[Quantity].[All]" allUniqueName="[Processed_Data].[Quantity].[All]" dimensionUniqueName="[Processed_Data]" displayFolder="" count="0" memberValueDatatype="20" unbalanced="0"/>
    <cacheHierarchy uniqueName="[Processed_Data].[Unit_Price]" caption="Unit_Price" attribute="1" defaultMemberUniqueName="[Processed_Data].[Unit_Price].[All]" allUniqueName="[Processed_Data].[Unit_Price].[All]" dimensionUniqueName="[Processed_Data]" displayFolder="" count="0" memberValueDatatype="20" unbalanced="0"/>
    <cacheHierarchy uniqueName="[Processed_Data].[Total_Sales]" caption="Total_Sales" attribute="1" defaultMemberUniqueName="[Processed_Data].[Total_Sales].[All]" allUniqueName="[Processed_Data].[Total_Sales].[All]" dimensionUniqueName="[Processed_Data]" displayFolder="" count="0" memberValueDatatype="20" unbalanced="0"/>
    <cacheHierarchy uniqueName="[Processed_Data].[Sales_Rep]" caption="Sales_Rep" attribute="1" defaultMemberUniqueName="[Processed_Data].[Sales_Rep].[All]" allUniqueName="[Processed_Data].[Sales_Rep].[All]" dimensionUniqueName="[Processed_Data]" displayFolder="" count="0" memberValueDatatype="130" unbalanced="0"/>
    <cacheHierarchy uniqueName="[Processed_Data].[Sales_Level]" caption="Sales_Level" attribute="1" defaultMemberUniqueName="[Processed_Data].[Sales_Level].[All]" allUniqueName="[Processed_Data].[Sales_Level].[All]" dimensionUniqueName="[Processed_Data]" displayFolder="" count="0" memberValueDatatype="130" unbalanced="0"/>
    <cacheHierarchy uniqueName="[Processed_Data 1].[EmployeeID]" caption="EmployeeID" attribute="1" defaultMemberUniqueName="[Processed_Data 1].[EmployeeID].[All]" allUniqueName="[Processed_Data 1].[EmployeeID].[All]" dimensionUniqueName="[Processed_Data 1]" displayFolder="" count="0" memberValueDatatype="20" unbalanced="0"/>
    <cacheHierarchy uniqueName="[Processed_Data 1].[HireDate]" caption="HireDate" attribute="1" time="1" defaultMemberUniqueName="[Processed_Data 1].[HireDate].[All]" allUniqueName="[Processed_Data 1].[HireDate].[All]" dimensionUniqueName="[Processed_Data 1]" displayFolder="" count="0" memberValueDatatype="7" unbalanced="0"/>
    <cacheHierarchy uniqueName="[Processed_Data 1].[Month]" caption="Month" attribute="1" defaultMemberUniqueName="[Processed_Data 1].[Month].[All]" allUniqueName="[Processed_Data 1].[Month].[All]" dimensionUniqueName="[Processed_Data 1]" displayFolder="" count="0" memberValueDatatype="20" unbalanced="0"/>
    <cacheHierarchy uniqueName="[Processed_Data 1].[Year]" caption="Year" attribute="1" defaultMemberUniqueName="[Processed_Data 1].[Year].[All]" allUniqueName="[Processed_Data 1].[Year].[All]" dimensionUniqueName="[Processed_Data 1]" displayFolder="" count="0" memberValueDatatype="20" unbalanced="0"/>
    <cacheHierarchy uniqueName="[Processed_Data 1].[Department]" caption="Department" attribute="1" defaultMemberUniqueName="[Processed_Data 1].[Department].[All]" allUniqueName="[Processed_Data 1].[Department].[All]" dimensionUniqueName="[Processed_Data 1]" displayFolder="" count="2" memberValueDatatype="130" unbalanced="0">
      <fieldsUsage count="2">
        <fieldUsage x="-1"/>
        <fieldUsage x="3"/>
      </fieldsUsage>
    </cacheHierarchy>
    <cacheHierarchy uniqueName="[Processed_Data 1].[JobRole]" caption="JobRole" attribute="1" defaultMemberUniqueName="[Processed_Data 1].[JobRole].[All]" allUniqueName="[Processed_Data 1].[JobRole].[All]" dimensionUniqueName="[Processed_Data 1]" displayFolder="" count="0" memberValueDatatype="130" unbalanced="0"/>
    <cacheHierarchy uniqueName="[Processed_Data 1].[Gender]" caption="Gender" attribute="1" defaultMemberUniqueName="[Processed_Data 1].[Gender].[All]" allUniqueName="[Processed_Data 1].[Gender].[All]" dimensionUniqueName="[Processed_Data 1]" displayFolder="" count="0" memberValueDatatype="130" unbalanced="0"/>
    <cacheHierarchy uniqueName="[Processed_Data 1].[Age]" caption="Age" attribute="1" defaultMemberUniqueName="[Processed_Data 1].[Age].[All]" allUniqueName="[Processed_Data 1].[Age].[All]" dimensionUniqueName="[Processed_Data 1]" displayFolder="" count="0" memberValueDatatype="20" unbalanced="0"/>
    <cacheHierarchy uniqueName="[Processed_Data 1].[Age_Group]" caption="Age_Group" attribute="1" defaultMemberUniqueName="[Processed_Data 1].[Age_Group].[All]" allUniqueName="[Processed_Data 1].[Age_Group].[All]" dimensionUniqueName="[Processed_Data 1]" displayFolder="" count="0" memberValueDatatype="130" unbalanced="0"/>
    <cacheHierarchy uniqueName="[Processed_Data 1].[MonthlySalary]" caption="MonthlySalary" attribute="1" defaultMemberUniqueName="[Processed_Data 1].[MonthlySalary].[All]" allUniqueName="[Processed_Data 1].[MonthlySalary].[All]" dimensionUniqueName="[Processed_Data 1]" displayFolder="" count="0" memberValueDatatype="20" unbalanced="0"/>
    <cacheHierarchy uniqueName="[Processed_Data 1].[Annual_Salary]" caption="Annual_Salary" attribute="1" defaultMemberUniqueName="[Processed_Data 1].[Annual_Salary].[All]" allUniqueName="[Processed_Data 1].[Annual_Salary].[All]" dimensionUniqueName="[Processed_Data 1]" displayFolder="" count="0" memberValueDatatype="20" unbalanced="0"/>
    <cacheHierarchy uniqueName="[Processed_Data 1].[YearsAtCompany]" caption="YearsAtCompany" attribute="1" defaultMemberUniqueName="[Processed_Data 1].[YearsAtCompany].[All]" allUniqueName="[Processed_Data 1].[YearsAtCompany].[All]" dimensionUniqueName="[Processed_Data 1]" displayFolder="" count="0" memberValueDatatype="20" unbalanced="0"/>
    <cacheHierarchy uniqueName="[Processed_Data 1].[Experience_Level]" caption="Experience_Level" attribute="1" defaultMemberUniqueName="[Processed_Data 1].[Experience_Level].[All]" allUniqueName="[Processed_Data 1].[Experience_Level].[All]" dimensionUniqueName="[Processed_Data 1]" displayFolder="" count="2" memberValueDatatype="130" unbalanced="0"/>
    <cacheHierarchy uniqueName="[Processed_Data 1].[PerformanceRating]" caption="PerformanceRating" attribute="1" defaultMemberUniqueName="[Processed_Data 1].[PerformanceRating].[All]" allUniqueName="[Processed_Data 1].[PerformanceRating].[All]" dimensionUniqueName="[Processed_Data 1]" displayFolder="" count="0" memberValueDatatype="20" unbalanced="0"/>
    <cacheHierarchy uniqueName="[Processed_Data 1].[Performance_Category]" caption="Performance_Category" attribute="1" defaultMemberUniqueName="[Processed_Data 1].[Performance_Category].[All]" allUniqueName="[Processed_Data 1].[Performance_Category].[All]" dimensionUniqueName="[Processed_Data 1]" displayFolder="" count="0" memberValueDatatype="130" unbalanced="0"/>
    <cacheHierarchy uniqueName="[Processed_Data 1].[Overtime]" caption="Overtime" attribute="1" defaultMemberUniqueName="[Processed_Data 1].[Overtime].[All]" allUniqueName="[Processed_Data 1].[Overtime].[All]" dimensionUniqueName="[Processed_Data 1]" displayFolder="" count="0" memberValueDatatype="130" unbalanced="0"/>
    <cacheHierarchy uniqueName="[Processed_Data 1].[WorkLocation]" caption="WorkLocation" attribute="1" defaultMemberUniqueName="[Processed_Data 1].[WorkLocation].[All]" allUniqueName="[Processed_Data 1].[WorkLocation].[All]" dimensionUniqueName="[Processed_Data 1]" displayFolder="" count="0" memberValueDatatype="130" unbalanced="0"/>
    <cacheHierarchy uniqueName="[Processed_Data 1].[Manager]" caption="Manager" attribute="1" defaultMemberUniqueName="[Processed_Data 1].[Manager].[All]" allUniqueName="[Processed_Data 1].[Manager].[All]" dimensionUniqueName="[Processed_Data 1]" displayFolder="" count="0" memberValueDatatype="130" unbalanced="0"/>
    <cacheHierarchy uniqueName="[Table1].[EmployeeID]" caption="EmployeeID" attribute="1" defaultMemberUniqueName="[Table1].[EmployeeID].[All]" allUniqueName="[Table1].[EmployeeID].[All]" dimensionUniqueName="[Table1]" displayFolder="" count="0" memberValueDatatype="20" unbalanced="0"/>
    <cacheHierarchy uniqueName="[Table1].[HireDate]" caption="HireDate" attribute="1" time="1" defaultMemberUniqueName="[Table1].[HireDate].[All]" allUniqueName="[Table1].[Hire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JobRole]" caption="JobRole" attribute="1" defaultMemberUniqueName="[Table1].[JobRole].[All]" allUniqueName="[Table1].[JobRol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MonthlySalary]" caption="MonthlySalary" attribute="1" defaultMemberUniqueName="[Table1].[MonthlySalary].[All]" allUniqueName="[Table1].[MonthlySalary].[All]" dimensionUniqueName="[Table1]" displayFolder="" count="0" memberValueDatatype="6" unbalanced="0"/>
    <cacheHierarchy uniqueName="[Table1].[Annual_Salary]" caption="Annual_Salary" attribute="1" defaultMemberUniqueName="[Table1].[Annual_Salary].[All]" allUniqueName="[Table1].[Annual_Salary].[All]" dimensionUniqueName="[Table1]" displayFolder="" count="0" memberValueDatatype="6"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Experience_Level]" caption="Experience_Level" attribute="1" defaultMemberUniqueName="[Table1].[Experience_Level].[All]" allUniqueName="[Table1].[Experience_Level].[All]" dimensionUniqueName="[Table1]" displayFolder="" count="0" memberValueDatatype="13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Performance_Category]" caption="Performance_Category" attribute="1" defaultMemberUniqueName="[Table1].[Performance_Category].[All]" allUniqueName="[Table1].[Performance_Category].[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WorkLocation]" caption="WorkLocation" attribute="1" defaultMemberUniqueName="[Table1].[WorkLocation].[All]" allUniqueName="[Table1].[WorkLocation].[All]" dimensionUniqueName="[Table1]" displayFolder="" count="0" memberValueDatatype="130" unbalanced="0"/>
    <cacheHierarchy uniqueName="[Table1].[Manager]" caption="Manager" attribute="1" defaultMemberUniqueName="[Table1].[Manager].[All]" allUniqueName="[Table1].[Manager].[All]" dimensionUniqueName="[Table1]" displayFolder="" count="0" memberValueDatatype="130" unbalanced="0"/>
    <cacheHierarchy uniqueName="[Measures].[__XL_Count Table1]" caption="__XL_Count Table1" measure="1" displayFolder="" measureGroup="Table1" count="0" hidden="1"/>
    <cacheHierarchy uniqueName="[Measures].[__XL_Count Processed_Data]" caption="__XL_Count Processed_Data" measure="1" displayFolder="" measureGroup="Processed_Data" count="0" hidden="1"/>
    <cacheHierarchy uniqueName="[Measures].[__XL_Count Processed_Data 1]" caption="__XL_Count Processed_Data 1" measure="1" displayFolder="" measureGroup="Processed_Data 1" count="0" hidden="1"/>
    <cacheHierarchy uniqueName="[Measures].[__No measures defined]" caption="__No measures defined" measure="1" displayFolder="" count="0" hidden="1"/>
    <cacheHierarchy uniqueName="[Measures].[Sum of Total_Sales]" caption="Sum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Average of Total_Sales]" caption="Average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Count of Sales_Rep]" caption="Count of Sales_Rep" measure="1" displayFolder="" measureGroup="Processed_Data" count="0" hidden="1">
      <extLst>
        <ext xmlns:x15="http://schemas.microsoft.com/office/spreadsheetml/2010/11/main" uri="{B97F6D7D-B522-45F9-BDA1-12C45D357490}">
          <x15:cacheHierarchy aggregatedColumn="11"/>
        </ext>
      </extLst>
    </cacheHierarchy>
    <cacheHierarchy uniqueName="[Measures].[Count of Product_Category]" caption="Count of Product_Category" measure="1" displayFolder="" measureGroup="Processed_Data" count="0" hidden="1">
      <extLst>
        <ext xmlns:x15="http://schemas.microsoft.com/office/spreadsheetml/2010/11/main" uri="{B97F6D7D-B522-45F9-BDA1-12C45D357490}">
          <x15:cacheHierarchy aggregatedColumn="6"/>
        </ext>
      </extLst>
    </cacheHierarchy>
    <cacheHierarchy uniqueName="[Measures].[Sum of EmployeeID]" caption="Sum of EmployeeID" measure="1" displayFolder="" measureGroup="Processed_Data 1" count="0" hidden="1">
      <extLst>
        <ext xmlns:x15="http://schemas.microsoft.com/office/spreadsheetml/2010/11/main" uri="{B97F6D7D-B522-45F9-BDA1-12C45D357490}">
          <x15:cacheHierarchy aggregatedColumn="13"/>
        </ext>
      </extLst>
    </cacheHierarchy>
    <cacheHierarchy uniqueName="[Measures].[Sum of Annual_Salary]" caption="Sum of Annual_Salary" measure="1" displayFolder="" measureGroup="Processed_Data 1" count="0" hidden="1">
      <extLst>
        <ext xmlns:x15="http://schemas.microsoft.com/office/spreadsheetml/2010/11/main" uri="{B97F6D7D-B522-45F9-BDA1-12C45D357490}">
          <x15:cacheHierarchy aggregatedColumn="23"/>
        </ext>
      </extLst>
    </cacheHierarchy>
    <cacheHierarchy uniqueName="[Measures].[Sum of PerformanceRating]" caption="Sum of PerformanceRating" measure="1" displayFolder="" measureGroup="Processed_Data 1" count="0" hidden="1">
      <extLst>
        <ext xmlns:x15="http://schemas.microsoft.com/office/spreadsheetml/2010/11/main" uri="{B97F6D7D-B522-45F9-BDA1-12C45D357490}">
          <x15:cacheHierarchy aggregatedColumn="26"/>
        </ext>
      </extLst>
    </cacheHierarchy>
    <cacheHierarchy uniqueName="[Measures].[Count of EmployeeID]" caption="Count of EmployeeID" measure="1" displayFolder="" measureGroup="Processed_Data 1" count="0" oneField="1" hidden="1">
      <fieldsUsage count="1">
        <fieldUsage x="0"/>
      </fieldsUsage>
      <extLst>
        <ext xmlns:x15="http://schemas.microsoft.com/office/spreadsheetml/2010/11/main" uri="{B97F6D7D-B522-45F9-BDA1-12C45D357490}">
          <x15:cacheHierarchy aggregatedColumn="13"/>
        </ext>
      </extLst>
    </cacheHierarchy>
    <cacheHierarchy uniqueName="[Measures].[Average of Annual_Salary]" caption="Average of Annual_Salary" measure="1" displayFolder="" measureGroup="Processed_Data 1" count="0" oneField="1" hidden="1">
      <fieldsUsage count="1">
        <fieldUsage x="1"/>
      </fieldsUsage>
      <extLst>
        <ext xmlns:x15="http://schemas.microsoft.com/office/spreadsheetml/2010/11/main" uri="{B97F6D7D-B522-45F9-BDA1-12C45D357490}">
          <x15:cacheHierarchy aggregatedColumn="23"/>
        </ext>
      </extLst>
    </cacheHierarchy>
    <cacheHierarchy uniqueName="[Measures].[Average of PerformanceRating]" caption="Average of PerformanceRating" measure="1" displayFolder="" measureGroup="Processed_Data 1" count="0" oneField="1" hidden="1">
      <fieldsUsage count="1">
        <fieldUsage x="2"/>
      </fieldsUsage>
      <extLst>
        <ext xmlns:x15="http://schemas.microsoft.com/office/spreadsheetml/2010/11/main" uri="{B97F6D7D-B522-45F9-BDA1-12C45D357490}">
          <x15:cacheHierarchy aggregatedColumn="26"/>
        </ext>
      </extLst>
    </cacheHierarchy>
    <cacheHierarchy uniqueName="[Measures].[Count of Overtime]" caption="Count of Overtime" measure="1" displayFolder="" measureGroup="Processed_Data 1" count="0" hidden="1">
      <extLst>
        <ext xmlns:x15="http://schemas.microsoft.com/office/spreadsheetml/2010/11/main" uri="{B97F6D7D-B522-45F9-BDA1-12C45D357490}">
          <x15:cacheHierarchy aggregatedColumn="28"/>
        </ext>
      </extLst>
    </cacheHierarchy>
    <cacheHierarchy uniqueName="[Measures].[Count of Performance_Category]" caption="Count of Performance_Category" measure="1" displayFolder="" measureGroup="Processed_Data 1" count="0" hidden="1">
      <extLst>
        <ext xmlns:x15="http://schemas.microsoft.com/office/spreadsheetml/2010/11/main" uri="{B97F6D7D-B522-45F9-BDA1-12C45D357490}">
          <x15:cacheHierarchy aggregatedColumn="27"/>
        </ext>
      </extLst>
    </cacheHierarchy>
  </cacheHierarchies>
  <kpis count="0"/>
  <dimensions count="4">
    <dimension measure="1" name="Measures" uniqueName="[Measures]" caption="Measures"/>
    <dimension name="Processed_Data" uniqueName="[Processed_Data]" caption="Processed_Data"/>
    <dimension name="Processed_Data 1" uniqueName="[Processed_Data 1]" caption="Processed_Data 1"/>
    <dimension name="Table1" uniqueName="[Table1]" caption="Table1"/>
  </dimensions>
  <measureGroups count="3">
    <measureGroup name="Processed_Data" caption="Processed_Data"/>
    <measureGroup name="Processed_Data 1" caption="Processed_Data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60.448880787037" backgroundQuery="1" createdVersion="8" refreshedVersion="8" minRefreshableVersion="3" recordCount="0" supportSubquery="1" supportAdvancedDrill="1" xr:uid="{F096CCA9-A0AB-40BD-9C2D-B07C7386C2ED}">
  <cacheSource type="external" connectionId="3"/>
  <cacheFields count="3">
    <cacheField name="[Processed_Data 1].[Experience_Level].[Experience_Level]" caption="Experience_Level" numFmtId="0" hierarchy="25" level="1">
      <sharedItems count="3">
        <s v="Junior"/>
        <s v="Mid"/>
        <s v="Senior"/>
      </sharedItems>
    </cacheField>
    <cacheField name="[Measures].[Count of EmployeeID]" caption="Count of EmployeeID" numFmtId="0" hierarchy="62" level="32767"/>
    <cacheField name="[Processed_Data 1].[Department].[Department]" caption="Department" numFmtId="0" hierarchy="17" level="1">
      <sharedItems containsSemiMixedTypes="0" containsNonDate="0" containsString="0"/>
    </cacheField>
  </cacheFields>
  <cacheHierarchies count="67">
    <cacheHierarchy uniqueName="[Processed_Data].[Order_ID]" caption="Order_ID" attribute="1" defaultMemberUniqueName="[Processed_Data].[Order_ID].[All]" allUniqueName="[Processed_Data].[Order_ID].[All]" dimensionUniqueName="[Processed_Data]" displayFolder="" count="0" memberValueDatatype="20" unbalanced="0"/>
    <cacheHierarchy uniqueName="[Processed_Data].[Order_Date]" caption="Order_Date" attribute="1" time="1" defaultMemberUniqueName="[Processed_Data].[Order_Date].[All]" allUniqueName="[Processed_Data].[Order_Date].[All]" dimensionUniqueName="[Processed_Data]" displayFolder="" count="0" memberValueDatatype="7" unbalanced="0"/>
    <cacheHierarchy uniqueName="[Processed_Data].[Month]" caption="Month" attribute="1" defaultMemberUniqueName="[Processed_Data].[Month].[All]" allUniqueName="[Processed_Data].[Month].[All]" dimensionUniqueName="[Processed_Data]" displayFolder="" count="0" memberValueDatatype="20" unbalanced="0"/>
    <cacheHierarchy uniqueName="[Processed_Data].[Year]" caption="Year" attribute="1" defaultMemberUniqueName="[Processed_Data].[Year].[All]" allUniqueName="[Processed_Data].[Year].[All]" dimensionUniqueName="[Processed_Data]" displayFolder="" count="0" memberValueDatatype="20" unbalanced="0"/>
    <cacheHierarchy uniqueName="[Processed_Data].[Customer_Name]" caption="Customer_Name" attribute="1" defaultMemberUniqueName="[Processed_Data].[Customer_Name].[All]" allUniqueName="[Processed_Data].[Customer_Name].[All]" dimensionUniqueName="[Processed_Data]" displayFolder="" count="0" memberValueDatatype="130" unbalanced="0"/>
    <cacheHierarchy uniqueName="[Processed_Data].[Region]" caption="Region" attribute="1" defaultMemberUniqueName="[Processed_Data].[Region].[All]" allUniqueName="[Processed_Data].[Region].[All]" dimensionUniqueName="[Processed_Data]" displayFolder="" count="0" memberValueDatatype="130" unbalanced="0"/>
    <cacheHierarchy uniqueName="[Processed_Data].[Product_Category]" caption="Product_Category" attribute="1" defaultMemberUniqueName="[Processed_Data].[Product_Category].[All]" allUniqueName="[Processed_Data].[Product_Category].[All]" dimensionUniqueName="[Processed_Data]" displayFolder="" count="0" memberValueDatatype="130" unbalanced="0"/>
    <cacheHierarchy uniqueName="[Processed_Data].[Product_Name]" caption="Product_Name" attribute="1" defaultMemberUniqueName="[Processed_Data].[Product_Name].[All]" allUniqueName="[Processed_Data].[Product_Name].[All]" dimensionUniqueName="[Processed_Data]" displayFolder="" count="0" memberValueDatatype="130" unbalanced="0"/>
    <cacheHierarchy uniqueName="[Processed_Data].[Quantity]" caption="Quantity" attribute="1" defaultMemberUniqueName="[Processed_Data].[Quantity].[All]" allUniqueName="[Processed_Data].[Quantity].[All]" dimensionUniqueName="[Processed_Data]" displayFolder="" count="0" memberValueDatatype="20" unbalanced="0"/>
    <cacheHierarchy uniqueName="[Processed_Data].[Unit_Price]" caption="Unit_Price" attribute="1" defaultMemberUniqueName="[Processed_Data].[Unit_Price].[All]" allUniqueName="[Processed_Data].[Unit_Price].[All]" dimensionUniqueName="[Processed_Data]" displayFolder="" count="0" memberValueDatatype="20" unbalanced="0"/>
    <cacheHierarchy uniqueName="[Processed_Data].[Total_Sales]" caption="Total_Sales" attribute="1" defaultMemberUniqueName="[Processed_Data].[Total_Sales].[All]" allUniqueName="[Processed_Data].[Total_Sales].[All]" dimensionUniqueName="[Processed_Data]" displayFolder="" count="0" memberValueDatatype="20" unbalanced="0"/>
    <cacheHierarchy uniqueName="[Processed_Data].[Sales_Rep]" caption="Sales_Rep" attribute="1" defaultMemberUniqueName="[Processed_Data].[Sales_Rep].[All]" allUniqueName="[Processed_Data].[Sales_Rep].[All]" dimensionUniqueName="[Processed_Data]" displayFolder="" count="0" memberValueDatatype="130" unbalanced="0"/>
    <cacheHierarchy uniqueName="[Processed_Data].[Sales_Level]" caption="Sales_Level" attribute="1" defaultMemberUniqueName="[Processed_Data].[Sales_Level].[All]" allUniqueName="[Processed_Data].[Sales_Level].[All]" dimensionUniqueName="[Processed_Data]" displayFolder="" count="0" memberValueDatatype="130" unbalanced="0"/>
    <cacheHierarchy uniqueName="[Processed_Data 1].[EmployeeID]" caption="EmployeeID" attribute="1" defaultMemberUniqueName="[Processed_Data 1].[EmployeeID].[All]" allUniqueName="[Processed_Data 1].[EmployeeID].[All]" dimensionUniqueName="[Processed_Data 1]" displayFolder="" count="0" memberValueDatatype="20" unbalanced="0"/>
    <cacheHierarchy uniqueName="[Processed_Data 1].[HireDate]" caption="HireDate" attribute="1" time="1" defaultMemberUniqueName="[Processed_Data 1].[HireDate].[All]" allUniqueName="[Processed_Data 1].[HireDate].[All]" dimensionUniqueName="[Processed_Data 1]" displayFolder="" count="0" memberValueDatatype="7" unbalanced="0"/>
    <cacheHierarchy uniqueName="[Processed_Data 1].[Month]" caption="Month" attribute="1" defaultMemberUniqueName="[Processed_Data 1].[Month].[All]" allUniqueName="[Processed_Data 1].[Month].[All]" dimensionUniqueName="[Processed_Data 1]" displayFolder="" count="0" memberValueDatatype="20" unbalanced="0"/>
    <cacheHierarchy uniqueName="[Processed_Data 1].[Year]" caption="Year" attribute="1" defaultMemberUniqueName="[Processed_Data 1].[Year].[All]" allUniqueName="[Processed_Data 1].[Year].[All]" dimensionUniqueName="[Processed_Data 1]" displayFolder="" count="0" memberValueDatatype="20" unbalanced="0"/>
    <cacheHierarchy uniqueName="[Processed_Data 1].[Department]" caption="Department" attribute="1" defaultMemberUniqueName="[Processed_Data 1].[Department].[All]" allUniqueName="[Processed_Data 1].[Department].[All]" dimensionUniqueName="[Processed_Data 1]" displayFolder="" count="2" memberValueDatatype="130" unbalanced="0">
      <fieldsUsage count="2">
        <fieldUsage x="-1"/>
        <fieldUsage x="2"/>
      </fieldsUsage>
    </cacheHierarchy>
    <cacheHierarchy uniqueName="[Processed_Data 1].[JobRole]" caption="JobRole" attribute="1" defaultMemberUniqueName="[Processed_Data 1].[JobRole].[All]" allUniqueName="[Processed_Data 1].[JobRole].[All]" dimensionUniqueName="[Processed_Data 1]" displayFolder="" count="0" memberValueDatatype="130" unbalanced="0"/>
    <cacheHierarchy uniqueName="[Processed_Data 1].[Gender]" caption="Gender" attribute="1" defaultMemberUniqueName="[Processed_Data 1].[Gender].[All]" allUniqueName="[Processed_Data 1].[Gender].[All]" dimensionUniqueName="[Processed_Data 1]" displayFolder="" count="0" memberValueDatatype="130" unbalanced="0"/>
    <cacheHierarchy uniqueName="[Processed_Data 1].[Age]" caption="Age" attribute="1" defaultMemberUniqueName="[Processed_Data 1].[Age].[All]" allUniqueName="[Processed_Data 1].[Age].[All]" dimensionUniqueName="[Processed_Data 1]" displayFolder="" count="0" memberValueDatatype="20" unbalanced="0"/>
    <cacheHierarchy uniqueName="[Processed_Data 1].[Age_Group]" caption="Age_Group" attribute="1" defaultMemberUniqueName="[Processed_Data 1].[Age_Group].[All]" allUniqueName="[Processed_Data 1].[Age_Group].[All]" dimensionUniqueName="[Processed_Data 1]" displayFolder="" count="0" memberValueDatatype="130" unbalanced="0"/>
    <cacheHierarchy uniqueName="[Processed_Data 1].[MonthlySalary]" caption="MonthlySalary" attribute="1" defaultMemberUniqueName="[Processed_Data 1].[MonthlySalary].[All]" allUniqueName="[Processed_Data 1].[MonthlySalary].[All]" dimensionUniqueName="[Processed_Data 1]" displayFolder="" count="0" memberValueDatatype="20" unbalanced="0"/>
    <cacheHierarchy uniqueName="[Processed_Data 1].[Annual_Salary]" caption="Annual_Salary" attribute="1" defaultMemberUniqueName="[Processed_Data 1].[Annual_Salary].[All]" allUniqueName="[Processed_Data 1].[Annual_Salary].[All]" dimensionUniqueName="[Processed_Data 1]" displayFolder="" count="0" memberValueDatatype="20" unbalanced="0"/>
    <cacheHierarchy uniqueName="[Processed_Data 1].[YearsAtCompany]" caption="YearsAtCompany" attribute="1" defaultMemberUniqueName="[Processed_Data 1].[YearsAtCompany].[All]" allUniqueName="[Processed_Data 1].[YearsAtCompany].[All]" dimensionUniqueName="[Processed_Data 1]" displayFolder="" count="0" memberValueDatatype="20" unbalanced="0"/>
    <cacheHierarchy uniqueName="[Processed_Data 1].[Experience_Level]" caption="Experience_Level" attribute="1" defaultMemberUniqueName="[Processed_Data 1].[Experience_Level].[All]" allUniqueName="[Processed_Data 1].[Experience_Level].[All]" dimensionUniqueName="[Processed_Data 1]" displayFolder="" count="2" memberValueDatatype="130" unbalanced="0">
      <fieldsUsage count="2">
        <fieldUsage x="-1"/>
        <fieldUsage x="0"/>
      </fieldsUsage>
    </cacheHierarchy>
    <cacheHierarchy uniqueName="[Processed_Data 1].[PerformanceRating]" caption="PerformanceRating" attribute="1" defaultMemberUniqueName="[Processed_Data 1].[PerformanceRating].[All]" allUniqueName="[Processed_Data 1].[PerformanceRating].[All]" dimensionUniqueName="[Processed_Data 1]" displayFolder="" count="0" memberValueDatatype="20" unbalanced="0"/>
    <cacheHierarchy uniqueName="[Processed_Data 1].[Performance_Category]" caption="Performance_Category" attribute="1" defaultMemberUniqueName="[Processed_Data 1].[Performance_Category].[All]" allUniqueName="[Processed_Data 1].[Performance_Category].[All]" dimensionUniqueName="[Processed_Data 1]" displayFolder="" count="0" memberValueDatatype="130" unbalanced="0"/>
    <cacheHierarchy uniqueName="[Processed_Data 1].[Overtime]" caption="Overtime" attribute="1" defaultMemberUniqueName="[Processed_Data 1].[Overtime].[All]" allUniqueName="[Processed_Data 1].[Overtime].[All]" dimensionUniqueName="[Processed_Data 1]" displayFolder="" count="0" memberValueDatatype="130" unbalanced="0"/>
    <cacheHierarchy uniqueName="[Processed_Data 1].[WorkLocation]" caption="WorkLocation" attribute="1" defaultMemberUniqueName="[Processed_Data 1].[WorkLocation].[All]" allUniqueName="[Processed_Data 1].[WorkLocation].[All]" dimensionUniqueName="[Processed_Data 1]" displayFolder="" count="0" memberValueDatatype="130" unbalanced="0"/>
    <cacheHierarchy uniqueName="[Processed_Data 1].[Manager]" caption="Manager" attribute="1" defaultMemberUniqueName="[Processed_Data 1].[Manager].[All]" allUniqueName="[Processed_Data 1].[Manager].[All]" dimensionUniqueName="[Processed_Data 1]" displayFolder="" count="0" memberValueDatatype="130" unbalanced="0"/>
    <cacheHierarchy uniqueName="[Table1].[EmployeeID]" caption="EmployeeID" attribute="1" defaultMemberUniqueName="[Table1].[EmployeeID].[All]" allUniqueName="[Table1].[EmployeeID].[All]" dimensionUniqueName="[Table1]" displayFolder="" count="0" memberValueDatatype="20" unbalanced="0"/>
    <cacheHierarchy uniqueName="[Table1].[HireDate]" caption="HireDate" attribute="1" time="1" defaultMemberUniqueName="[Table1].[HireDate].[All]" allUniqueName="[Table1].[Hire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JobRole]" caption="JobRole" attribute="1" defaultMemberUniqueName="[Table1].[JobRole].[All]" allUniqueName="[Table1].[JobRol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MonthlySalary]" caption="MonthlySalary" attribute="1" defaultMemberUniqueName="[Table1].[MonthlySalary].[All]" allUniqueName="[Table1].[MonthlySalary].[All]" dimensionUniqueName="[Table1]" displayFolder="" count="0" memberValueDatatype="6" unbalanced="0"/>
    <cacheHierarchy uniqueName="[Table1].[Annual_Salary]" caption="Annual_Salary" attribute="1" defaultMemberUniqueName="[Table1].[Annual_Salary].[All]" allUniqueName="[Table1].[Annual_Salary].[All]" dimensionUniqueName="[Table1]" displayFolder="" count="0" memberValueDatatype="6"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Experience_Level]" caption="Experience_Level" attribute="1" defaultMemberUniqueName="[Table1].[Experience_Level].[All]" allUniqueName="[Table1].[Experience_Level].[All]" dimensionUniqueName="[Table1]" displayFolder="" count="0" memberValueDatatype="13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Performance_Category]" caption="Performance_Category" attribute="1" defaultMemberUniqueName="[Table1].[Performance_Category].[All]" allUniqueName="[Table1].[Performance_Category].[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WorkLocation]" caption="WorkLocation" attribute="1" defaultMemberUniqueName="[Table1].[WorkLocation].[All]" allUniqueName="[Table1].[WorkLocation].[All]" dimensionUniqueName="[Table1]" displayFolder="" count="0" memberValueDatatype="130" unbalanced="0"/>
    <cacheHierarchy uniqueName="[Table1].[Manager]" caption="Manager" attribute="1" defaultMemberUniqueName="[Table1].[Manager].[All]" allUniqueName="[Table1].[Manager].[All]" dimensionUniqueName="[Table1]" displayFolder="" count="0" memberValueDatatype="130" unbalanced="0"/>
    <cacheHierarchy uniqueName="[Measures].[__XL_Count Table1]" caption="__XL_Count Table1" measure="1" displayFolder="" measureGroup="Table1" count="0" hidden="1"/>
    <cacheHierarchy uniqueName="[Measures].[__XL_Count Processed_Data]" caption="__XL_Count Processed_Data" measure="1" displayFolder="" measureGroup="Processed_Data" count="0" hidden="1"/>
    <cacheHierarchy uniqueName="[Measures].[__XL_Count Processed_Data 1]" caption="__XL_Count Processed_Data 1" measure="1" displayFolder="" measureGroup="Processed_Data 1" count="0" hidden="1"/>
    <cacheHierarchy uniqueName="[Measures].[__No measures defined]" caption="__No measures defined" measure="1" displayFolder="" count="0" hidden="1"/>
    <cacheHierarchy uniqueName="[Measures].[Sum of Total_Sales]" caption="Sum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Average of Total_Sales]" caption="Average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Count of Sales_Rep]" caption="Count of Sales_Rep" measure="1" displayFolder="" measureGroup="Processed_Data" count="0" hidden="1">
      <extLst>
        <ext xmlns:x15="http://schemas.microsoft.com/office/spreadsheetml/2010/11/main" uri="{B97F6D7D-B522-45F9-BDA1-12C45D357490}">
          <x15:cacheHierarchy aggregatedColumn="11"/>
        </ext>
      </extLst>
    </cacheHierarchy>
    <cacheHierarchy uniqueName="[Measures].[Count of Product_Category]" caption="Count of Product_Category" measure="1" displayFolder="" measureGroup="Processed_Data" count="0" hidden="1">
      <extLst>
        <ext xmlns:x15="http://schemas.microsoft.com/office/spreadsheetml/2010/11/main" uri="{B97F6D7D-B522-45F9-BDA1-12C45D357490}">
          <x15:cacheHierarchy aggregatedColumn="6"/>
        </ext>
      </extLst>
    </cacheHierarchy>
    <cacheHierarchy uniqueName="[Measures].[Sum of EmployeeID]" caption="Sum of EmployeeID" measure="1" displayFolder="" measureGroup="Processed_Data 1" count="0" hidden="1">
      <extLst>
        <ext xmlns:x15="http://schemas.microsoft.com/office/spreadsheetml/2010/11/main" uri="{B97F6D7D-B522-45F9-BDA1-12C45D357490}">
          <x15:cacheHierarchy aggregatedColumn="13"/>
        </ext>
      </extLst>
    </cacheHierarchy>
    <cacheHierarchy uniqueName="[Measures].[Sum of Annual_Salary]" caption="Sum of Annual_Salary" measure="1" displayFolder="" measureGroup="Processed_Data 1" count="0" hidden="1">
      <extLst>
        <ext xmlns:x15="http://schemas.microsoft.com/office/spreadsheetml/2010/11/main" uri="{B97F6D7D-B522-45F9-BDA1-12C45D357490}">
          <x15:cacheHierarchy aggregatedColumn="23"/>
        </ext>
      </extLst>
    </cacheHierarchy>
    <cacheHierarchy uniqueName="[Measures].[Sum of PerformanceRating]" caption="Sum of PerformanceRating" measure="1" displayFolder="" measureGroup="Processed_Data 1" count="0" hidden="1">
      <extLst>
        <ext xmlns:x15="http://schemas.microsoft.com/office/spreadsheetml/2010/11/main" uri="{B97F6D7D-B522-45F9-BDA1-12C45D357490}">
          <x15:cacheHierarchy aggregatedColumn="26"/>
        </ext>
      </extLst>
    </cacheHierarchy>
    <cacheHierarchy uniqueName="[Measures].[Count of EmployeeID]" caption="Count of EmployeeID" measure="1" displayFolder="" measureGroup="Processed_Data 1" count="0" oneField="1" hidden="1">
      <fieldsUsage count="1">
        <fieldUsage x="1"/>
      </fieldsUsage>
      <extLst>
        <ext xmlns:x15="http://schemas.microsoft.com/office/spreadsheetml/2010/11/main" uri="{B97F6D7D-B522-45F9-BDA1-12C45D357490}">
          <x15:cacheHierarchy aggregatedColumn="13"/>
        </ext>
      </extLst>
    </cacheHierarchy>
    <cacheHierarchy uniqueName="[Measures].[Average of Annual_Salary]" caption="Average of Annual_Salary" measure="1" displayFolder="" measureGroup="Processed_Data 1" count="0" hidden="1">
      <extLst>
        <ext xmlns:x15="http://schemas.microsoft.com/office/spreadsheetml/2010/11/main" uri="{B97F6D7D-B522-45F9-BDA1-12C45D357490}">
          <x15:cacheHierarchy aggregatedColumn="23"/>
        </ext>
      </extLst>
    </cacheHierarchy>
    <cacheHierarchy uniqueName="[Measures].[Average of PerformanceRating]" caption="Average of PerformanceRating" measure="1" displayFolder="" measureGroup="Processed_Data 1" count="0" hidden="1">
      <extLst>
        <ext xmlns:x15="http://schemas.microsoft.com/office/spreadsheetml/2010/11/main" uri="{B97F6D7D-B522-45F9-BDA1-12C45D357490}">
          <x15:cacheHierarchy aggregatedColumn="26"/>
        </ext>
      </extLst>
    </cacheHierarchy>
    <cacheHierarchy uniqueName="[Measures].[Count of Overtime]" caption="Count of Overtime" measure="1" displayFolder="" measureGroup="Processed_Data 1" count="0" hidden="1">
      <extLst>
        <ext xmlns:x15="http://schemas.microsoft.com/office/spreadsheetml/2010/11/main" uri="{B97F6D7D-B522-45F9-BDA1-12C45D357490}">
          <x15:cacheHierarchy aggregatedColumn="28"/>
        </ext>
      </extLst>
    </cacheHierarchy>
    <cacheHierarchy uniqueName="[Measures].[Count of Performance_Category]" caption="Count of Performance_Category" measure="1" displayFolder="" measureGroup="Processed_Data 1" count="0" hidden="1">
      <extLst>
        <ext xmlns:x15="http://schemas.microsoft.com/office/spreadsheetml/2010/11/main" uri="{B97F6D7D-B522-45F9-BDA1-12C45D357490}">
          <x15:cacheHierarchy aggregatedColumn="27"/>
        </ext>
      </extLst>
    </cacheHierarchy>
  </cacheHierarchies>
  <kpis count="0"/>
  <dimensions count="4">
    <dimension measure="1" name="Measures" uniqueName="[Measures]" caption="Measures"/>
    <dimension name="Processed_Data" uniqueName="[Processed_Data]" caption="Processed_Data"/>
    <dimension name="Processed_Data 1" uniqueName="[Processed_Data 1]" caption="Processed_Data 1"/>
    <dimension name="Table1" uniqueName="[Table1]" caption="Table1"/>
  </dimensions>
  <measureGroups count="3">
    <measureGroup name="Processed_Data" caption="Processed_Data"/>
    <measureGroup name="Processed_Data 1" caption="Processed_Data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60.448881249999" backgroundQuery="1" createdVersion="8" refreshedVersion="8" minRefreshableVersion="3" recordCount="0" supportSubquery="1" supportAdvancedDrill="1" xr:uid="{9D417CE4-BEDB-4745-B4A7-0A344C4156AB}">
  <cacheSource type="external" connectionId="3"/>
  <cacheFields count="4">
    <cacheField name="[Measures].[Count of EmployeeID]" caption="Count of EmployeeID" numFmtId="0" hierarchy="62" level="32767"/>
    <cacheField name="[Processed_Data 1].[Age_Group].[Age_Group]" caption="Age_Group" numFmtId="0" hierarchy="21" level="1">
      <sharedItems count="3">
        <s v="30-45"/>
        <s v="Above 45"/>
        <s v="Under 30"/>
      </sharedItems>
    </cacheField>
    <cacheField name="[Measures].[Average of PerformanceRating]" caption="Average of PerformanceRating" numFmtId="0" hierarchy="64" level="32767"/>
    <cacheField name="[Processed_Data 1].[Department].[Department]" caption="Department" numFmtId="0" hierarchy="17" level="1">
      <sharedItems containsSemiMixedTypes="0" containsNonDate="0" containsString="0"/>
    </cacheField>
  </cacheFields>
  <cacheHierarchies count="67">
    <cacheHierarchy uniqueName="[Processed_Data].[Order_ID]" caption="Order_ID" attribute="1" defaultMemberUniqueName="[Processed_Data].[Order_ID].[All]" allUniqueName="[Processed_Data].[Order_ID].[All]" dimensionUniqueName="[Processed_Data]" displayFolder="" count="0" memberValueDatatype="20" unbalanced="0"/>
    <cacheHierarchy uniqueName="[Processed_Data].[Order_Date]" caption="Order_Date" attribute="1" time="1" defaultMemberUniqueName="[Processed_Data].[Order_Date].[All]" allUniqueName="[Processed_Data].[Order_Date].[All]" dimensionUniqueName="[Processed_Data]" displayFolder="" count="0" memberValueDatatype="7" unbalanced="0"/>
    <cacheHierarchy uniqueName="[Processed_Data].[Month]" caption="Month" attribute="1" defaultMemberUniqueName="[Processed_Data].[Month].[All]" allUniqueName="[Processed_Data].[Month].[All]" dimensionUniqueName="[Processed_Data]" displayFolder="" count="0" memberValueDatatype="20" unbalanced="0"/>
    <cacheHierarchy uniqueName="[Processed_Data].[Year]" caption="Year" attribute="1" defaultMemberUniqueName="[Processed_Data].[Year].[All]" allUniqueName="[Processed_Data].[Year].[All]" dimensionUniqueName="[Processed_Data]" displayFolder="" count="0" memberValueDatatype="20" unbalanced="0"/>
    <cacheHierarchy uniqueName="[Processed_Data].[Customer_Name]" caption="Customer_Name" attribute="1" defaultMemberUniqueName="[Processed_Data].[Customer_Name].[All]" allUniqueName="[Processed_Data].[Customer_Name].[All]" dimensionUniqueName="[Processed_Data]" displayFolder="" count="0" memberValueDatatype="130" unbalanced="0"/>
    <cacheHierarchy uniqueName="[Processed_Data].[Region]" caption="Region" attribute="1" defaultMemberUniqueName="[Processed_Data].[Region].[All]" allUniqueName="[Processed_Data].[Region].[All]" dimensionUniqueName="[Processed_Data]" displayFolder="" count="0" memberValueDatatype="130" unbalanced="0"/>
    <cacheHierarchy uniqueName="[Processed_Data].[Product_Category]" caption="Product_Category" attribute="1" defaultMemberUniqueName="[Processed_Data].[Product_Category].[All]" allUniqueName="[Processed_Data].[Product_Category].[All]" dimensionUniqueName="[Processed_Data]" displayFolder="" count="0" memberValueDatatype="130" unbalanced="0"/>
    <cacheHierarchy uniqueName="[Processed_Data].[Product_Name]" caption="Product_Name" attribute="1" defaultMemberUniqueName="[Processed_Data].[Product_Name].[All]" allUniqueName="[Processed_Data].[Product_Name].[All]" dimensionUniqueName="[Processed_Data]" displayFolder="" count="0" memberValueDatatype="130" unbalanced="0"/>
    <cacheHierarchy uniqueName="[Processed_Data].[Quantity]" caption="Quantity" attribute="1" defaultMemberUniqueName="[Processed_Data].[Quantity].[All]" allUniqueName="[Processed_Data].[Quantity].[All]" dimensionUniqueName="[Processed_Data]" displayFolder="" count="0" memberValueDatatype="20" unbalanced="0"/>
    <cacheHierarchy uniqueName="[Processed_Data].[Unit_Price]" caption="Unit_Price" attribute="1" defaultMemberUniqueName="[Processed_Data].[Unit_Price].[All]" allUniqueName="[Processed_Data].[Unit_Price].[All]" dimensionUniqueName="[Processed_Data]" displayFolder="" count="0" memberValueDatatype="20" unbalanced="0"/>
    <cacheHierarchy uniqueName="[Processed_Data].[Total_Sales]" caption="Total_Sales" attribute="1" defaultMemberUniqueName="[Processed_Data].[Total_Sales].[All]" allUniqueName="[Processed_Data].[Total_Sales].[All]" dimensionUniqueName="[Processed_Data]" displayFolder="" count="0" memberValueDatatype="20" unbalanced="0"/>
    <cacheHierarchy uniqueName="[Processed_Data].[Sales_Rep]" caption="Sales_Rep" attribute="1" defaultMemberUniqueName="[Processed_Data].[Sales_Rep].[All]" allUniqueName="[Processed_Data].[Sales_Rep].[All]" dimensionUniqueName="[Processed_Data]" displayFolder="" count="0" memberValueDatatype="130" unbalanced="0"/>
    <cacheHierarchy uniqueName="[Processed_Data].[Sales_Level]" caption="Sales_Level" attribute="1" defaultMemberUniqueName="[Processed_Data].[Sales_Level].[All]" allUniqueName="[Processed_Data].[Sales_Level].[All]" dimensionUniqueName="[Processed_Data]" displayFolder="" count="0" memberValueDatatype="130" unbalanced="0"/>
    <cacheHierarchy uniqueName="[Processed_Data 1].[EmployeeID]" caption="EmployeeID" attribute="1" defaultMemberUniqueName="[Processed_Data 1].[EmployeeID].[All]" allUniqueName="[Processed_Data 1].[EmployeeID].[All]" dimensionUniqueName="[Processed_Data 1]" displayFolder="" count="0" memberValueDatatype="20" unbalanced="0"/>
    <cacheHierarchy uniqueName="[Processed_Data 1].[HireDate]" caption="HireDate" attribute="1" time="1" defaultMemberUniqueName="[Processed_Data 1].[HireDate].[All]" allUniqueName="[Processed_Data 1].[HireDate].[All]" dimensionUniqueName="[Processed_Data 1]" displayFolder="" count="0" memberValueDatatype="7" unbalanced="0"/>
    <cacheHierarchy uniqueName="[Processed_Data 1].[Month]" caption="Month" attribute="1" defaultMemberUniqueName="[Processed_Data 1].[Month].[All]" allUniqueName="[Processed_Data 1].[Month].[All]" dimensionUniqueName="[Processed_Data 1]" displayFolder="" count="0" memberValueDatatype="20" unbalanced="0"/>
    <cacheHierarchy uniqueName="[Processed_Data 1].[Year]" caption="Year" attribute="1" defaultMemberUniqueName="[Processed_Data 1].[Year].[All]" allUniqueName="[Processed_Data 1].[Year].[All]" dimensionUniqueName="[Processed_Data 1]" displayFolder="" count="0" memberValueDatatype="20" unbalanced="0"/>
    <cacheHierarchy uniqueName="[Processed_Data 1].[Department]" caption="Department" attribute="1" defaultMemberUniqueName="[Processed_Data 1].[Department].[All]" allUniqueName="[Processed_Data 1].[Department].[All]" dimensionUniqueName="[Processed_Data 1]" displayFolder="" count="2" memberValueDatatype="130" unbalanced="0">
      <fieldsUsage count="2">
        <fieldUsage x="-1"/>
        <fieldUsage x="3"/>
      </fieldsUsage>
    </cacheHierarchy>
    <cacheHierarchy uniqueName="[Processed_Data 1].[JobRole]" caption="JobRole" attribute="1" defaultMemberUniqueName="[Processed_Data 1].[JobRole].[All]" allUniqueName="[Processed_Data 1].[JobRole].[All]" dimensionUniqueName="[Processed_Data 1]" displayFolder="" count="0" memberValueDatatype="130" unbalanced="0"/>
    <cacheHierarchy uniqueName="[Processed_Data 1].[Gender]" caption="Gender" attribute="1" defaultMemberUniqueName="[Processed_Data 1].[Gender].[All]" allUniqueName="[Processed_Data 1].[Gender].[All]" dimensionUniqueName="[Processed_Data 1]" displayFolder="" count="0" memberValueDatatype="130" unbalanced="0"/>
    <cacheHierarchy uniqueName="[Processed_Data 1].[Age]" caption="Age" attribute="1" defaultMemberUniqueName="[Processed_Data 1].[Age].[All]" allUniqueName="[Processed_Data 1].[Age].[All]" dimensionUniqueName="[Processed_Data 1]" displayFolder="" count="0" memberValueDatatype="20" unbalanced="0"/>
    <cacheHierarchy uniqueName="[Processed_Data 1].[Age_Group]" caption="Age_Group" attribute="1" defaultMemberUniqueName="[Processed_Data 1].[Age_Group].[All]" allUniqueName="[Processed_Data 1].[Age_Group].[All]" dimensionUniqueName="[Processed_Data 1]" displayFolder="" count="2" memberValueDatatype="130" unbalanced="0">
      <fieldsUsage count="2">
        <fieldUsage x="-1"/>
        <fieldUsage x="1"/>
      </fieldsUsage>
    </cacheHierarchy>
    <cacheHierarchy uniqueName="[Processed_Data 1].[MonthlySalary]" caption="MonthlySalary" attribute="1" defaultMemberUniqueName="[Processed_Data 1].[MonthlySalary].[All]" allUniqueName="[Processed_Data 1].[MonthlySalary].[All]" dimensionUniqueName="[Processed_Data 1]" displayFolder="" count="0" memberValueDatatype="20" unbalanced="0"/>
    <cacheHierarchy uniqueName="[Processed_Data 1].[Annual_Salary]" caption="Annual_Salary" attribute="1" defaultMemberUniqueName="[Processed_Data 1].[Annual_Salary].[All]" allUniqueName="[Processed_Data 1].[Annual_Salary].[All]" dimensionUniqueName="[Processed_Data 1]" displayFolder="" count="0" memberValueDatatype="20" unbalanced="0"/>
    <cacheHierarchy uniqueName="[Processed_Data 1].[YearsAtCompany]" caption="YearsAtCompany" attribute="1" defaultMemberUniqueName="[Processed_Data 1].[YearsAtCompany].[All]" allUniqueName="[Processed_Data 1].[YearsAtCompany].[All]" dimensionUniqueName="[Processed_Data 1]" displayFolder="" count="0" memberValueDatatype="20" unbalanced="0"/>
    <cacheHierarchy uniqueName="[Processed_Data 1].[Experience_Level]" caption="Experience_Level" attribute="1" defaultMemberUniqueName="[Processed_Data 1].[Experience_Level].[All]" allUniqueName="[Processed_Data 1].[Experience_Level].[All]" dimensionUniqueName="[Processed_Data 1]" displayFolder="" count="2" memberValueDatatype="130" unbalanced="0"/>
    <cacheHierarchy uniqueName="[Processed_Data 1].[PerformanceRating]" caption="PerformanceRating" attribute="1" defaultMemberUniqueName="[Processed_Data 1].[PerformanceRating].[All]" allUniqueName="[Processed_Data 1].[PerformanceRating].[All]" dimensionUniqueName="[Processed_Data 1]" displayFolder="" count="0" memberValueDatatype="20" unbalanced="0"/>
    <cacheHierarchy uniqueName="[Processed_Data 1].[Performance_Category]" caption="Performance_Category" attribute="1" defaultMemberUniqueName="[Processed_Data 1].[Performance_Category].[All]" allUniqueName="[Processed_Data 1].[Performance_Category].[All]" dimensionUniqueName="[Processed_Data 1]" displayFolder="" count="2" memberValueDatatype="130" unbalanced="0"/>
    <cacheHierarchy uniqueName="[Processed_Data 1].[Overtime]" caption="Overtime" attribute="1" defaultMemberUniqueName="[Processed_Data 1].[Overtime].[All]" allUniqueName="[Processed_Data 1].[Overtime].[All]" dimensionUniqueName="[Processed_Data 1]" displayFolder="" count="0" memberValueDatatype="130" unbalanced="0"/>
    <cacheHierarchy uniqueName="[Processed_Data 1].[WorkLocation]" caption="WorkLocation" attribute="1" defaultMemberUniqueName="[Processed_Data 1].[WorkLocation].[All]" allUniqueName="[Processed_Data 1].[WorkLocation].[All]" dimensionUniqueName="[Processed_Data 1]" displayFolder="" count="0" memberValueDatatype="130" unbalanced="0"/>
    <cacheHierarchy uniqueName="[Processed_Data 1].[Manager]" caption="Manager" attribute="1" defaultMemberUniqueName="[Processed_Data 1].[Manager].[All]" allUniqueName="[Processed_Data 1].[Manager].[All]" dimensionUniqueName="[Processed_Data 1]" displayFolder="" count="0" memberValueDatatype="130" unbalanced="0"/>
    <cacheHierarchy uniqueName="[Table1].[EmployeeID]" caption="EmployeeID" attribute="1" defaultMemberUniqueName="[Table1].[EmployeeID].[All]" allUniqueName="[Table1].[EmployeeID].[All]" dimensionUniqueName="[Table1]" displayFolder="" count="0" memberValueDatatype="20" unbalanced="0"/>
    <cacheHierarchy uniqueName="[Table1].[HireDate]" caption="HireDate" attribute="1" time="1" defaultMemberUniqueName="[Table1].[HireDate].[All]" allUniqueName="[Table1].[Hire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JobRole]" caption="JobRole" attribute="1" defaultMemberUniqueName="[Table1].[JobRole].[All]" allUniqueName="[Table1].[JobRol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MonthlySalary]" caption="MonthlySalary" attribute="1" defaultMemberUniqueName="[Table1].[MonthlySalary].[All]" allUniqueName="[Table1].[MonthlySalary].[All]" dimensionUniqueName="[Table1]" displayFolder="" count="0" memberValueDatatype="6" unbalanced="0"/>
    <cacheHierarchy uniqueName="[Table1].[Annual_Salary]" caption="Annual_Salary" attribute="1" defaultMemberUniqueName="[Table1].[Annual_Salary].[All]" allUniqueName="[Table1].[Annual_Salary].[All]" dimensionUniqueName="[Table1]" displayFolder="" count="0" memberValueDatatype="6"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Experience_Level]" caption="Experience_Level" attribute="1" defaultMemberUniqueName="[Table1].[Experience_Level].[All]" allUniqueName="[Table1].[Experience_Level].[All]" dimensionUniqueName="[Table1]" displayFolder="" count="0" memberValueDatatype="13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Performance_Category]" caption="Performance_Category" attribute="1" defaultMemberUniqueName="[Table1].[Performance_Category].[All]" allUniqueName="[Table1].[Performance_Category].[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WorkLocation]" caption="WorkLocation" attribute="1" defaultMemberUniqueName="[Table1].[WorkLocation].[All]" allUniqueName="[Table1].[WorkLocation].[All]" dimensionUniqueName="[Table1]" displayFolder="" count="0" memberValueDatatype="130" unbalanced="0"/>
    <cacheHierarchy uniqueName="[Table1].[Manager]" caption="Manager" attribute="1" defaultMemberUniqueName="[Table1].[Manager].[All]" allUniqueName="[Table1].[Manager].[All]" dimensionUniqueName="[Table1]" displayFolder="" count="0" memberValueDatatype="130" unbalanced="0"/>
    <cacheHierarchy uniqueName="[Measures].[__XL_Count Table1]" caption="__XL_Count Table1" measure="1" displayFolder="" measureGroup="Table1" count="0" hidden="1"/>
    <cacheHierarchy uniqueName="[Measures].[__XL_Count Processed_Data]" caption="__XL_Count Processed_Data" measure="1" displayFolder="" measureGroup="Processed_Data" count="0" hidden="1"/>
    <cacheHierarchy uniqueName="[Measures].[__XL_Count Processed_Data 1]" caption="__XL_Count Processed_Data 1" measure="1" displayFolder="" measureGroup="Processed_Data 1" count="0" hidden="1"/>
    <cacheHierarchy uniqueName="[Measures].[__No measures defined]" caption="__No measures defined" measure="1" displayFolder="" count="0" hidden="1"/>
    <cacheHierarchy uniqueName="[Measures].[Sum of Total_Sales]" caption="Sum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Average of Total_Sales]" caption="Average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Count of Sales_Rep]" caption="Count of Sales_Rep" measure="1" displayFolder="" measureGroup="Processed_Data" count="0" hidden="1">
      <extLst>
        <ext xmlns:x15="http://schemas.microsoft.com/office/spreadsheetml/2010/11/main" uri="{B97F6D7D-B522-45F9-BDA1-12C45D357490}">
          <x15:cacheHierarchy aggregatedColumn="11"/>
        </ext>
      </extLst>
    </cacheHierarchy>
    <cacheHierarchy uniqueName="[Measures].[Count of Product_Category]" caption="Count of Product_Category" measure="1" displayFolder="" measureGroup="Processed_Data" count="0" hidden="1">
      <extLst>
        <ext xmlns:x15="http://schemas.microsoft.com/office/spreadsheetml/2010/11/main" uri="{B97F6D7D-B522-45F9-BDA1-12C45D357490}">
          <x15:cacheHierarchy aggregatedColumn="6"/>
        </ext>
      </extLst>
    </cacheHierarchy>
    <cacheHierarchy uniqueName="[Measures].[Sum of EmployeeID]" caption="Sum of EmployeeID" measure="1" displayFolder="" measureGroup="Processed_Data 1" count="0" hidden="1">
      <extLst>
        <ext xmlns:x15="http://schemas.microsoft.com/office/spreadsheetml/2010/11/main" uri="{B97F6D7D-B522-45F9-BDA1-12C45D357490}">
          <x15:cacheHierarchy aggregatedColumn="13"/>
        </ext>
      </extLst>
    </cacheHierarchy>
    <cacheHierarchy uniqueName="[Measures].[Sum of Annual_Salary]" caption="Sum of Annual_Salary" measure="1" displayFolder="" measureGroup="Processed_Data 1" count="0" hidden="1">
      <extLst>
        <ext xmlns:x15="http://schemas.microsoft.com/office/spreadsheetml/2010/11/main" uri="{B97F6D7D-B522-45F9-BDA1-12C45D357490}">
          <x15:cacheHierarchy aggregatedColumn="23"/>
        </ext>
      </extLst>
    </cacheHierarchy>
    <cacheHierarchy uniqueName="[Measures].[Sum of PerformanceRating]" caption="Sum of PerformanceRating" measure="1" displayFolder="" measureGroup="Processed_Data 1" count="0" hidden="1">
      <extLst>
        <ext xmlns:x15="http://schemas.microsoft.com/office/spreadsheetml/2010/11/main" uri="{B97F6D7D-B522-45F9-BDA1-12C45D357490}">
          <x15:cacheHierarchy aggregatedColumn="26"/>
        </ext>
      </extLst>
    </cacheHierarchy>
    <cacheHierarchy uniqueName="[Measures].[Count of EmployeeID]" caption="Count of EmployeeID" measure="1" displayFolder="" measureGroup="Processed_Data 1" count="0" oneField="1" hidden="1">
      <fieldsUsage count="1">
        <fieldUsage x="0"/>
      </fieldsUsage>
      <extLst>
        <ext xmlns:x15="http://schemas.microsoft.com/office/spreadsheetml/2010/11/main" uri="{B97F6D7D-B522-45F9-BDA1-12C45D357490}">
          <x15:cacheHierarchy aggregatedColumn="13"/>
        </ext>
      </extLst>
    </cacheHierarchy>
    <cacheHierarchy uniqueName="[Measures].[Average of Annual_Salary]" caption="Average of Annual_Salary" measure="1" displayFolder="" measureGroup="Processed_Data 1" count="0" hidden="1">
      <extLst>
        <ext xmlns:x15="http://schemas.microsoft.com/office/spreadsheetml/2010/11/main" uri="{B97F6D7D-B522-45F9-BDA1-12C45D357490}">
          <x15:cacheHierarchy aggregatedColumn="23"/>
        </ext>
      </extLst>
    </cacheHierarchy>
    <cacheHierarchy uniqueName="[Measures].[Average of PerformanceRating]" caption="Average of PerformanceRating" measure="1" displayFolder="" measureGroup="Processed_Data 1" count="0" oneField="1" hidden="1">
      <fieldsUsage count="1">
        <fieldUsage x="2"/>
      </fieldsUsage>
      <extLst>
        <ext xmlns:x15="http://schemas.microsoft.com/office/spreadsheetml/2010/11/main" uri="{B97F6D7D-B522-45F9-BDA1-12C45D357490}">
          <x15:cacheHierarchy aggregatedColumn="26"/>
        </ext>
      </extLst>
    </cacheHierarchy>
    <cacheHierarchy uniqueName="[Measures].[Count of Overtime]" caption="Count of Overtime" measure="1" displayFolder="" measureGroup="Processed_Data 1" count="0" hidden="1">
      <extLst>
        <ext xmlns:x15="http://schemas.microsoft.com/office/spreadsheetml/2010/11/main" uri="{B97F6D7D-B522-45F9-BDA1-12C45D357490}">
          <x15:cacheHierarchy aggregatedColumn="28"/>
        </ext>
      </extLst>
    </cacheHierarchy>
    <cacheHierarchy uniqueName="[Measures].[Count of Performance_Category]" caption="Count of Performance_Category" measure="1" displayFolder="" measureGroup="Processed_Data 1" count="0" hidden="1">
      <extLst>
        <ext xmlns:x15="http://schemas.microsoft.com/office/spreadsheetml/2010/11/main" uri="{B97F6D7D-B522-45F9-BDA1-12C45D357490}">
          <x15:cacheHierarchy aggregatedColumn="27"/>
        </ext>
      </extLst>
    </cacheHierarchy>
  </cacheHierarchies>
  <kpis count="0"/>
  <dimensions count="4">
    <dimension measure="1" name="Measures" uniqueName="[Measures]" caption="Measures"/>
    <dimension name="Processed_Data" uniqueName="[Processed_Data]" caption="Processed_Data"/>
    <dimension name="Processed_Data 1" uniqueName="[Processed_Data 1]" caption="Processed_Data 1"/>
    <dimension name="Table1" uniqueName="[Table1]" caption="Table1"/>
  </dimensions>
  <measureGroups count="3">
    <measureGroup name="Processed_Data" caption="Processed_Data"/>
    <measureGroup name="Processed_Data 1" caption="Processed_Data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60.448881828706" backgroundQuery="1" createdVersion="8" refreshedVersion="8" minRefreshableVersion="3" recordCount="0" supportSubquery="1" supportAdvancedDrill="1" xr:uid="{CBED7BFD-B849-4623-BDBB-5C26B2994F2A}">
  <cacheSource type="external" connectionId="3"/>
  <cacheFields count="4">
    <cacheField name="[Measures].[Count of EmployeeID]" caption="Count of EmployeeID" numFmtId="0" hierarchy="62" level="32767"/>
    <cacheField name="[Processed_Data 1].[Age_Group].[Age_Group]" caption="Age_Group" numFmtId="0" hierarchy="21" level="1">
      <sharedItems count="3">
        <s v="30-45"/>
        <s v="Above 45"/>
        <s v="Under 30"/>
      </sharedItems>
    </cacheField>
    <cacheField name="[Processed_Data 1].[Overtime].[Overtime]" caption="Overtime" numFmtId="0" hierarchy="28" level="1">
      <sharedItems count="2">
        <s v="No"/>
        <s v="Yes"/>
      </sharedItems>
    </cacheField>
    <cacheField name="[Processed_Data 1].[Department].[Department]" caption="Department" numFmtId="0" hierarchy="17" level="1">
      <sharedItems containsSemiMixedTypes="0" containsNonDate="0" containsString="0"/>
    </cacheField>
  </cacheFields>
  <cacheHierarchies count="67">
    <cacheHierarchy uniqueName="[Processed_Data].[Order_ID]" caption="Order_ID" attribute="1" defaultMemberUniqueName="[Processed_Data].[Order_ID].[All]" allUniqueName="[Processed_Data].[Order_ID].[All]" dimensionUniqueName="[Processed_Data]" displayFolder="" count="0" memberValueDatatype="20" unbalanced="0"/>
    <cacheHierarchy uniqueName="[Processed_Data].[Order_Date]" caption="Order_Date" attribute="1" time="1" defaultMemberUniqueName="[Processed_Data].[Order_Date].[All]" allUniqueName="[Processed_Data].[Order_Date].[All]" dimensionUniqueName="[Processed_Data]" displayFolder="" count="0" memberValueDatatype="7" unbalanced="0"/>
    <cacheHierarchy uniqueName="[Processed_Data].[Month]" caption="Month" attribute="1" defaultMemberUniqueName="[Processed_Data].[Month].[All]" allUniqueName="[Processed_Data].[Month].[All]" dimensionUniqueName="[Processed_Data]" displayFolder="" count="0" memberValueDatatype="20" unbalanced="0"/>
    <cacheHierarchy uniqueName="[Processed_Data].[Year]" caption="Year" attribute="1" defaultMemberUniqueName="[Processed_Data].[Year].[All]" allUniqueName="[Processed_Data].[Year].[All]" dimensionUniqueName="[Processed_Data]" displayFolder="" count="0" memberValueDatatype="20" unbalanced="0"/>
    <cacheHierarchy uniqueName="[Processed_Data].[Customer_Name]" caption="Customer_Name" attribute="1" defaultMemberUniqueName="[Processed_Data].[Customer_Name].[All]" allUniqueName="[Processed_Data].[Customer_Name].[All]" dimensionUniqueName="[Processed_Data]" displayFolder="" count="0" memberValueDatatype="130" unbalanced="0"/>
    <cacheHierarchy uniqueName="[Processed_Data].[Region]" caption="Region" attribute="1" defaultMemberUniqueName="[Processed_Data].[Region].[All]" allUniqueName="[Processed_Data].[Region].[All]" dimensionUniqueName="[Processed_Data]" displayFolder="" count="0" memberValueDatatype="130" unbalanced="0"/>
    <cacheHierarchy uniqueName="[Processed_Data].[Product_Category]" caption="Product_Category" attribute="1" defaultMemberUniqueName="[Processed_Data].[Product_Category].[All]" allUniqueName="[Processed_Data].[Product_Category].[All]" dimensionUniqueName="[Processed_Data]" displayFolder="" count="0" memberValueDatatype="130" unbalanced="0"/>
    <cacheHierarchy uniqueName="[Processed_Data].[Product_Name]" caption="Product_Name" attribute="1" defaultMemberUniqueName="[Processed_Data].[Product_Name].[All]" allUniqueName="[Processed_Data].[Product_Name].[All]" dimensionUniqueName="[Processed_Data]" displayFolder="" count="0" memberValueDatatype="130" unbalanced="0"/>
    <cacheHierarchy uniqueName="[Processed_Data].[Quantity]" caption="Quantity" attribute="1" defaultMemberUniqueName="[Processed_Data].[Quantity].[All]" allUniqueName="[Processed_Data].[Quantity].[All]" dimensionUniqueName="[Processed_Data]" displayFolder="" count="0" memberValueDatatype="20" unbalanced="0"/>
    <cacheHierarchy uniqueName="[Processed_Data].[Unit_Price]" caption="Unit_Price" attribute="1" defaultMemberUniqueName="[Processed_Data].[Unit_Price].[All]" allUniqueName="[Processed_Data].[Unit_Price].[All]" dimensionUniqueName="[Processed_Data]" displayFolder="" count="0" memberValueDatatype="20" unbalanced="0"/>
    <cacheHierarchy uniqueName="[Processed_Data].[Total_Sales]" caption="Total_Sales" attribute="1" defaultMemberUniqueName="[Processed_Data].[Total_Sales].[All]" allUniqueName="[Processed_Data].[Total_Sales].[All]" dimensionUniqueName="[Processed_Data]" displayFolder="" count="0" memberValueDatatype="20" unbalanced="0"/>
    <cacheHierarchy uniqueName="[Processed_Data].[Sales_Rep]" caption="Sales_Rep" attribute="1" defaultMemberUniqueName="[Processed_Data].[Sales_Rep].[All]" allUniqueName="[Processed_Data].[Sales_Rep].[All]" dimensionUniqueName="[Processed_Data]" displayFolder="" count="0" memberValueDatatype="130" unbalanced="0"/>
    <cacheHierarchy uniqueName="[Processed_Data].[Sales_Level]" caption="Sales_Level" attribute="1" defaultMemberUniqueName="[Processed_Data].[Sales_Level].[All]" allUniqueName="[Processed_Data].[Sales_Level].[All]" dimensionUniqueName="[Processed_Data]" displayFolder="" count="0" memberValueDatatype="130" unbalanced="0"/>
    <cacheHierarchy uniqueName="[Processed_Data 1].[EmployeeID]" caption="EmployeeID" attribute="1" defaultMemberUniqueName="[Processed_Data 1].[EmployeeID].[All]" allUniqueName="[Processed_Data 1].[EmployeeID].[All]" dimensionUniqueName="[Processed_Data 1]" displayFolder="" count="0" memberValueDatatype="20" unbalanced="0"/>
    <cacheHierarchy uniqueName="[Processed_Data 1].[HireDate]" caption="HireDate" attribute="1" time="1" defaultMemberUniqueName="[Processed_Data 1].[HireDate].[All]" allUniqueName="[Processed_Data 1].[HireDate].[All]" dimensionUniqueName="[Processed_Data 1]" displayFolder="" count="0" memberValueDatatype="7" unbalanced="0"/>
    <cacheHierarchy uniqueName="[Processed_Data 1].[Month]" caption="Month" attribute="1" defaultMemberUniqueName="[Processed_Data 1].[Month].[All]" allUniqueName="[Processed_Data 1].[Month].[All]" dimensionUniqueName="[Processed_Data 1]" displayFolder="" count="0" memberValueDatatype="20" unbalanced="0"/>
    <cacheHierarchy uniqueName="[Processed_Data 1].[Year]" caption="Year" attribute="1" defaultMemberUniqueName="[Processed_Data 1].[Year].[All]" allUniqueName="[Processed_Data 1].[Year].[All]" dimensionUniqueName="[Processed_Data 1]" displayFolder="" count="0" memberValueDatatype="20" unbalanced="0"/>
    <cacheHierarchy uniqueName="[Processed_Data 1].[Department]" caption="Department" attribute="1" defaultMemberUniqueName="[Processed_Data 1].[Department].[All]" allUniqueName="[Processed_Data 1].[Department].[All]" dimensionUniqueName="[Processed_Data 1]" displayFolder="" count="2" memberValueDatatype="130" unbalanced="0">
      <fieldsUsage count="2">
        <fieldUsage x="-1"/>
        <fieldUsage x="3"/>
      </fieldsUsage>
    </cacheHierarchy>
    <cacheHierarchy uniqueName="[Processed_Data 1].[JobRole]" caption="JobRole" attribute="1" defaultMemberUniqueName="[Processed_Data 1].[JobRole].[All]" allUniqueName="[Processed_Data 1].[JobRole].[All]" dimensionUniqueName="[Processed_Data 1]" displayFolder="" count="0" memberValueDatatype="130" unbalanced="0"/>
    <cacheHierarchy uniqueName="[Processed_Data 1].[Gender]" caption="Gender" attribute="1" defaultMemberUniqueName="[Processed_Data 1].[Gender].[All]" allUniqueName="[Processed_Data 1].[Gender].[All]" dimensionUniqueName="[Processed_Data 1]" displayFolder="" count="0" memberValueDatatype="130" unbalanced="0"/>
    <cacheHierarchy uniqueName="[Processed_Data 1].[Age]" caption="Age" attribute="1" defaultMemberUniqueName="[Processed_Data 1].[Age].[All]" allUniqueName="[Processed_Data 1].[Age].[All]" dimensionUniqueName="[Processed_Data 1]" displayFolder="" count="0" memberValueDatatype="20" unbalanced="0"/>
    <cacheHierarchy uniqueName="[Processed_Data 1].[Age_Group]" caption="Age_Group" attribute="1" defaultMemberUniqueName="[Processed_Data 1].[Age_Group].[All]" allUniqueName="[Processed_Data 1].[Age_Group].[All]" dimensionUniqueName="[Processed_Data 1]" displayFolder="" count="2" memberValueDatatype="130" unbalanced="0">
      <fieldsUsage count="2">
        <fieldUsage x="-1"/>
        <fieldUsage x="1"/>
      </fieldsUsage>
    </cacheHierarchy>
    <cacheHierarchy uniqueName="[Processed_Data 1].[MonthlySalary]" caption="MonthlySalary" attribute="1" defaultMemberUniqueName="[Processed_Data 1].[MonthlySalary].[All]" allUniqueName="[Processed_Data 1].[MonthlySalary].[All]" dimensionUniqueName="[Processed_Data 1]" displayFolder="" count="0" memberValueDatatype="20" unbalanced="0"/>
    <cacheHierarchy uniqueName="[Processed_Data 1].[Annual_Salary]" caption="Annual_Salary" attribute="1" defaultMemberUniqueName="[Processed_Data 1].[Annual_Salary].[All]" allUniqueName="[Processed_Data 1].[Annual_Salary].[All]" dimensionUniqueName="[Processed_Data 1]" displayFolder="" count="0" memberValueDatatype="20" unbalanced="0"/>
    <cacheHierarchy uniqueName="[Processed_Data 1].[YearsAtCompany]" caption="YearsAtCompany" attribute="1" defaultMemberUniqueName="[Processed_Data 1].[YearsAtCompany].[All]" allUniqueName="[Processed_Data 1].[YearsAtCompany].[All]" dimensionUniqueName="[Processed_Data 1]" displayFolder="" count="0" memberValueDatatype="20" unbalanced="0"/>
    <cacheHierarchy uniqueName="[Processed_Data 1].[Experience_Level]" caption="Experience_Level" attribute="1" defaultMemberUniqueName="[Processed_Data 1].[Experience_Level].[All]" allUniqueName="[Processed_Data 1].[Experience_Level].[All]" dimensionUniqueName="[Processed_Data 1]" displayFolder="" count="2" memberValueDatatype="130" unbalanced="0"/>
    <cacheHierarchy uniqueName="[Processed_Data 1].[PerformanceRating]" caption="PerformanceRating" attribute="1" defaultMemberUniqueName="[Processed_Data 1].[PerformanceRating].[All]" allUniqueName="[Processed_Data 1].[PerformanceRating].[All]" dimensionUniqueName="[Processed_Data 1]" displayFolder="" count="0" memberValueDatatype="20" unbalanced="0"/>
    <cacheHierarchy uniqueName="[Processed_Data 1].[Performance_Category]" caption="Performance_Category" attribute="1" defaultMemberUniqueName="[Processed_Data 1].[Performance_Category].[All]" allUniqueName="[Processed_Data 1].[Performance_Category].[All]" dimensionUniqueName="[Processed_Data 1]" displayFolder="" count="2" memberValueDatatype="130" unbalanced="0"/>
    <cacheHierarchy uniqueName="[Processed_Data 1].[Overtime]" caption="Overtime" attribute="1" defaultMemberUniqueName="[Processed_Data 1].[Overtime].[All]" allUniqueName="[Processed_Data 1].[Overtime].[All]" dimensionUniqueName="[Processed_Data 1]" displayFolder="" count="2" memberValueDatatype="130" unbalanced="0">
      <fieldsUsage count="2">
        <fieldUsage x="-1"/>
        <fieldUsage x="2"/>
      </fieldsUsage>
    </cacheHierarchy>
    <cacheHierarchy uniqueName="[Processed_Data 1].[WorkLocation]" caption="WorkLocation" attribute="1" defaultMemberUniqueName="[Processed_Data 1].[WorkLocation].[All]" allUniqueName="[Processed_Data 1].[WorkLocation].[All]" dimensionUniqueName="[Processed_Data 1]" displayFolder="" count="0" memberValueDatatype="130" unbalanced="0"/>
    <cacheHierarchy uniqueName="[Processed_Data 1].[Manager]" caption="Manager" attribute="1" defaultMemberUniqueName="[Processed_Data 1].[Manager].[All]" allUniqueName="[Processed_Data 1].[Manager].[All]" dimensionUniqueName="[Processed_Data 1]" displayFolder="" count="0" memberValueDatatype="130" unbalanced="0"/>
    <cacheHierarchy uniqueName="[Table1].[EmployeeID]" caption="EmployeeID" attribute="1" defaultMemberUniqueName="[Table1].[EmployeeID].[All]" allUniqueName="[Table1].[EmployeeID].[All]" dimensionUniqueName="[Table1]" displayFolder="" count="0" memberValueDatatype="20" unbalanced="0"/>
    <cacheHierarchy uniqueName="[Table1].[HireDate]" caption="HireDate" attribute="1" time="1" defaultMemberUniqueName="[Table1].[HireDate].[All]" allUniqueName="[Table1].[Hire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JobRole]" caption="JobRole" attribute="1" defaultMemberUniqueName="[Table1].[JobRole].[All]" allUniqueName="[Table1].[JobRol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MonthlySalary]" caption="MonthlySalary" attribute="1" defaultMemberUniqueName="[Table1].[MonthlySalary].[All]" allUniqueName="[Table1].[MonthlySalary].[All]" dimensionUniqueName="[Table1]" displayFolder="" count="0" memberValueDatatype="6" unbalanced="0"/>
    <cacheHierarchy uniqueName="[Table1].[Annual_Salary]" caption="Annual_Salary" attribute="1" defaultMemberUniqueName="[Table1].[Annual_Salary].[All]" allUniqueName="[Table1].[Annual_Salary].[All]" dimensionUniqueName="[Table1]" displayFolder="" count="0" memberValueDatatype="6"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Experience_Level]" caption="Experience_Level" attribute="1" defaultMemberUniqueName="[Table1].[Experience_Level].[All]" allUniqueName="[Table1].[Experience_Level].[All]" dimensionUniqueName="[Table1]" displayFolder="" count="0" memberValueDatatype="13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Performance_Category]" caption="Performance_Category" attribute="1" defaultMemberUniqueName="[Table1].[Performance_Category].[All]" allUniqueName="[Table1].[Performance_Category].[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WorkLocation]" caption="WorkLocation" attribute="1" defaultMemberUniqueName="[Table1].[WorkLocation].[All]" allUniqueName="[Table1].[WorkLocation].[All]" dimensionUniqueName="[Table1]" displayFolder="" count="0" memberValueDatatype="130" unbalanced="0"/>
    <cacheHierarchy uniqueName="[Table1].[Manager]" caption="Manager" attribute="1" defaultMemberUniqueName="[Table1].[Manager].[All]" allUniqueName="[Table1].[Manager].[All]" dimensionUniqueName="[Table1]" displayFolder="" count="0" memberValueDatatype="130" unbalanced="0"/>
    <cacheHierarchy uniqueName="[Measures].[__XL_Count Table1]" caption="__XL_Count Table1" measure="1" displayFolder="" measureGroup="Table1" count="0" hidden="1"/>
    <cacheHierarchy uniqueName="[Measures].[__XL_Count Processed_Data]" caption="__XL_Count Processed_Data" measure="1" displayFolder="" measureGroup="Processed_Data" count="0" hidden="1"/>
    <cacheHierarchy uniqueName="[Measures].[__XL_Count Processed_Data 1]" caption="__XL_Count Processed_Data 1" measure="1" displayFolder="" measureGroup="Processed_Data 1" count="0" hidden="1"/>
    <cacheHierarchy uniqueName="[Measures].[__No measures defined]" caption="__No measures defined" measure="1" displayFolder="" count="0" hidden="1"/>
    <cacheHierarchy uniqueName="[Measures].[Sum of Total_Sales]" caption="Sum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Average of Total_Sales]" caption="Average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Count of Sales_Rep]" caption="Count of Sales_Rep" measure="1" displayFolder="" measureGroup="Processed_Data" count="0" hidden="1">
      <extLst>
        <ext xmlns:x15="http://schemas.microsoft.com/office/spreadsheetml/2010/11/main" uri="{B97F6D7D-B522-45F9-BDA1-12C45D357490}">
          <x15:cacheHierarchy aggregatedColumn="11"/>
        </ext>
      </extLst>
    </cacheHierarchy>
    <cacheHierarchy uniqueName="[Measures].[Count of Product_Category]" caption="Count of Product_Category" measure="1" displayFolder="" measureGroup="Processed_Data" count="0" hidden="1">
      <extLst>
        <ext xmlns:x15="http://schemas.microsoft.com/office/spreadsheetml/2010/11/main" uri="{B97F6D7D-B522-45F9-BDA1-12C45D357490}">
          <x15:cacheHierarchy aggregatedColumn="6"/>
        </ext>
      </extLst>
    </cacheHierarchy>
    <cacheHierarchy uniqueName="[Measures].[Sum of EmployeeID]" caption="Sum of EmployeeID" measure="1" displayFolder="" measureGroup="Processed_Data 1" count="0" hidden="1">
      <extLst>
        <ext xmlns:x15="http://schemas.microsoft.com/office/spreadsheetml/2010/11/main" uri="{B97F6D7D-B522-45F9-BDA1-12C45D357490}">
          <x15:cacheHierarchy aggregatedColumn="13"/>
        </ext>
      </extLst>
    </cacheHierarchy>
    <cacheHierarchy uniqueName="[Measures].[Sum of Annual_Salary]" caption="Sum of Annual_Salary" measure="1" displayFolder="" measureGroup="Processed_Data 1" count="0" hidden="1">
      <extLst>
        <ext xmlns:x15="http://schemas.microsoft.com/office/spreadsheetml/2010/11/main" uri="{B97F6D7D-B522-45F9-BDA1-12C45D357490}">
          <x15:cacheHierarchy aggregatedColumn="23"/>
        </ext>
      </extLst>
    </cacheHierarchy>
    <cacheHierarchy uniqueName="[Measures].[Sum of PerformanceRating]" caption="Sum of PerformanceRating" measure="1" displayFolder="" measureGroup="Processed_Data 1" count="0" hidden="1">
      <extLst>
        <ext xmlns:x15="http://schemas.microsoft.com/office/spreadsheetml/2010/11/main" uri="{B97F6D7D-B522-45F9-BDA1-12C45D357490}">
          <x15:cacheHierarchy aggregatedColumn="26"/>
        </ext>
      </extLst>
    </cacheHierarchy>
    <cacheHierarchy uniqueName="[Measures].[Count of EmployeeID]" caption="Count of EmployeeID" measure="1" displayFolder="" measureGroup="Processed_Data 1" count="0" oneField="1" hidden="1">
      <fieldsUsage count="1">
        <fieldUsage x="0"/>
      </fieldsUsage>
      <extLst>
        <ext xmlns:x15="http://schemas.microsoft.com/office/spreadsheetml/2010/11/main" uri="{B97F6D7D-B522-45F9-BDA1-12C45D357490}">
          <x15:cacheHierarchy aggregatedColumn="13"/>
        </ext>
      </extLst>
    </cacheHierarchy>
    <cacheHierarchy uniqueName="[Measures].[Average of Annual_Salary]" caption="Average of Annual_Salary" measure="1" displayFolder="" measureGroup="Processed_Data 1" count="0" hidden="1">
      <extLst>
        <ext xmlns:x15="http://schemas.microsoft.com/office/spreadsheetml/2010/11/main" uri="{B97F6D7D-B522-45F9-BDA1-12C45D357490}">
          <x15:cacheHierarchy aggregatedColumn="23"/>
        </ext>
      </extLst>
    </cacheHierarchy>
    <cacheHierarchy uniqueName="[Measures].[Average of PerformanceRating]" caption="Average of PerformanceRating" measure="1" displayFolder="" measureGroup="Processed_Data 1" count="0" hidden="1">
      <extLst>
        <ext xmlns:x15="http://schemas.microsoft.com/office/spreadsheetml/2010/11/main" uri="{B97F6D7D-B522-45F9-BDA1-12C45D357490}">
          <x15:cacheHierarchy aggregatedColumn="26"/>
        </ext>
      </extLst>
    </cacheHierarchy>
    <cacheHierarchy uniqueName="[Measures].[Count of Overtime]" caption="Count of Overtime" measure="1" displayFolder="" measureGroup="Processed_Data 1" count="0" hidden="1">
      <extLst>
        <ext xmlns:x15="http://schemas.microsoft.com/office/spreadsheetml/2010/11/main" uri="{B97F6D7D-B522-45F9-BDA1-12C45D357490}">
          <x15:cacheHierarchy aggregatedColumn="28"/>
        </ext>
      </extLst>
    </cacheHierarchy>
    <cacheHierarchy uniqueName="[Measures].[Count of Performance_Category]" caption="Count of Performance_Category" measure="1" displayFolder="" measureGroup="Processed_Data 1" count="0" hidden="1">
      <extLst>
        <ext xmlns:x15="http://schemas.microsoft.com/office/spreadsheetml/2010/11/main" uri="{B97F6D7D-B522-45F9-BDA1-12C45D357490}">
          <x15:cacheHierarchy aggregatedColumn="27"/>
        </ext>
      </extLst>
    </cacheHierarchy>
  </cacheHierarchies>
  <kpis count="0"/>
  <dimensions count="4">
    <dimension measure="1" name="Measures" uniqueName="[Measures]" caption="Measures"/>
    <dimension name="Processed_Data" uniqueName="[Processed_Data]" caption="Processed_Data"/>
    <dimension name="Processed_Data 1" uniqueName="[Processed_Data 1]" caption="Processed_Data 1"/>
    <dimension name="Table1" uniqueName="[Table1]" caption="Table1"/>
  </dimensions>
  <measureGroups count="3">
    <measureGroup name="Processed_Data" caption="Processed_Data"/>
    <measureGroup name="Processed_Data 1" caption="Processed_Data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60.448882523146" backgroundQuery="1" createdVersion="8" refreshedVersion="8" minRefreshableVersion="3" recordCount="0" supportSubquery="1" supportAdvancedDrill="1" xr:uid="{2FF43536-B084-4DAF-B930-94D1C4E8845E}">
  <cacheSource type="external" connectionId="3"/>
  <cacheFields count="4">
    <cacheField name="[Measures].[Count of EmployeeID]" caption="Count of EmployeeID" numFmtId="0" hierarchy="62" level="32767"/>
    <cacheField name="[Processed_Data 1].[Experience_Level].[Experience_Level]" caption="Experience_Level" numFmtId="0" hierarchy="25" level="1">
      <sharedItems count="3">
        <s v="Junior"/>
        <s v="Mid"/>
        <s v="Senior"/>
      </sharedItems>
    </cacheField>
    <cacheField name="[Measures].[Average of Annual_Salary]" caption="Average of Annual_Salary" numFmtId="0" hierarchy="63" level="32767"/>
    <cacheField name="[Processed_Data 1].[Department].[Department]" caption="Department" numFmtId="0" hierarchy="17" level="1">
      <sharedItems containsSemiMixedTypes="0" containsNonDate="0" containsString="0"/>
    </cacheField>
  </cacheFields>
  <cacheHierarchies count="67">
    <cacheHierarchy uniqueName="[Processed_Data].[Order_ID]" caption="Order_ID" attribute="1" defaultMemberUniqueName="[Processed_Data].[Order_ID].[All]" allUniqueName="[Processed_Data].[Order_ID].[All]" dimensionUniqueName="[Processed_Data]" displayFolder="" count="0" memberValueDatatype="20" unbalanced="0"/>
    <cacheHierarchy uniqueName="[Processed_Data].[Order_Date]" caption="Order_Date" attribute="1" time="1" defaultMemberUniqueName="[Processed_Data].[Order_Date].[All]" allUniqueName="[Processed_Data].[Order_Date].[All]" dimensionUniqueName="[Processed_Data]" displayFolder="" count="0" memberValueDatatype="7" unbalanced="0"/>
    <cacheHierarchy uniqueName="[Processed_Data].[Month]" caption="Month" attribute="1" defaultMemberUniqueName="[Processed_Data].[Month].[All]" allUniqueName="[Processed_Data].[Month].[All]" dimensionUniqueName="[Processed_Data]" displayFolder="" count="0" memberValueDatatype="20" unbalanced="0"/>
    <cacheHierarchy uniqueName="[Processed_Data].[Year]" caption="Year" attribute="1" defaultMemberUniqueName="[Processed_Data].[Year].[All]" allUniqueName="[Processed_Data].[Year].[All]" dimensionUniqueName="[Processed_Data]" displayFolder="" count="0" memberValueDatatype="20" unbalanced="0"/>
    <cacheHierarchy uniqueName="[Processed_Data].[Customer_Name]" caption="Customer_Name" attribute="1" defaultMemberUniqueName="[Processed_Data].[Customer_Name].[All]" allUniqueName="[Processed_Data].[Customer_Name].[All]" dimensionUniqueName="[Processed_Data]" displayFolder="" count="0" memberValueDatatype="130" unbalanced="0"/>
    <cacheHierarchy uniqueName="[Processed_Data].[Region]" caption="Region" attribute="1" defaultMemberUniqueName="[Processed_Data].[Region].[All]" allUniqueName="[Processed_Data].[Region].[All]" dimensionUniqueName="[Processed_Data]" displayFolder="" count="0" memberValueDatatype="130" unbalanced="0"/>
    <cacheHierarchy uniqueName="[Processed_Data].[Product_Category]" caption="Product_Category" attribute="1" defaultMemberUniqueName="[Processed_Data].[Product_Category].[All]" allUniqueName="[Processed_Data].[Product_Category].[All]" dimensionUniqueName="[Processed_Data]" displayFolder="" count="0" memberValueDatatype="130" unbalanced="0"/>
    <cacheHierarchy uniqueName="[Processed_Data].[Product_Name]" caption="Product_Name" attribute="1" defaultMemberUniqueName="[Processed_Data].[Product_Name].[All]" allUniqueName="[Processed_Data].[Product_Name].[All]" dimensionUniqueName="[Processed_Data]" displayFolder="" count="0" memberValueDatatype="130" unbalanced="0"/>
    <cacheHierarchy uniqueName="[Processed_Data].[Quantity]" caption="Quantity" attribute="1" defaultMemberUniqueName="[Processed_Data].[Quantity].[All]" allUniqueName="[Processed_Data].[Quantity].[All]" dimensionUniqueName="[Processed_Data]" displayFolder="" count="0" memberValueDatatype="20" unbalanced="0"/>
    <cacheHierarchy uniqueName="[Processed_Data].[Unit_Price]" caption="Unit_Price" attribute="1" defaultMemberUniqueName="[Processed_Data].[Unit_Price].[All]" allUniqueName="[Processed_Data].[Unit_Price].[All]" dimensionUniqueName="[Processed_Data]" displayFolder="" count="0" memberValueDatatype="20" unbalanced="0"/>
    <cacheHierarchy uniqueName="[Processed_Data].[Total_Sales]" caption="Total_Sales" attribute="1" defaultMemberUniqueName="[Processed_Data].[Total_Sales].[All]" allUniqueName="[Processed_Data].[Total_Sales].[All]" dimensionUniqueName="[Processed_Data]" displayFolder="" count="0" memberValueDatatype="20" unbalanced="0"/>
    <cacheHierarchy uniqueName="[Processed_Data].[Sales_Rep]" caption="Sales_Rep" attribute="1" defaultMemberUniqueName="[Processed_Data].[Sales_Rep].[All]" allUniqueName="[Processed_Data].[Sales_Rep].[All]" dimensionUniqueName="[Processed_Data]" displayFolder="" count="0" memberValueDatatype="130" unbalanced="0"/>
    <cacheHierarchy uniqueName="[Processed_Data].[Sales_Level]" caption="Sales_Level" attribute="1" defaultMemberUniqueName="[Processed_Data].[Sales_Level].[All]" allUniqueName="[Processed_Data].[Sales_Level].[All]" dimensionUniqueName="[Processed_Data]" displayFolder="" count="0" memberValueDatatype="130" unbalanced="0"/>
    <cacheHierarchy uniqueName="[Processed_Data 1].[EmployeeID]" caption="EmployeeID" attribute="1" defaultMemberUniqueName="[Processed_Data 1].[EmployeeID].[All]" allUniqueName="[Processed_Data 1].[EmployeeID].[All]" dimensionUniqueName="[Processed_Data 1]" displayFolder="" count="0" memberValueDatatype="20" unbalanced="0"/>
    <cacheHierarchy uniqueName="[Processed_Data 1].[HireDate]" caption="HireDate" attribute="1" time="1" defaultMemberUniqueName="[Processed_Data 1].[HireDate].[All]" allUniqueName="[Processed_Data 1].[HireDate].[All]" dimensionUniqueName="[Processed_Data 1]" displayFolder="" count="0" memberValueDatatype="7" unbalanced="0"/>
    <cacheHierarchy uniqueName="[Processed_Data 1].[Month]" caption="Month" attribute="1" defaultMemberUniqueName="[Processed_Data 1].[Month].[All]" allUniqueName="[Processed_Data 1].[Month].[All]" dimensionUniqueName="[Processed_Data 1]" displayFolder="" count="0" memberValueDatatype="20" unbalanced="0"/>
    <cacheHierarchy uniqueName="[Processed_Data 1].[Year]" caption="Year" attribute="1" defaultMemberUniqueName="[Processed_Data 1].[Year].[All]" allUniqueName="[Processed_Data 1].[Year].[All]" dimensionUniqueName="[Processed_Data 1]" displayFolder="" count="0" memberValueDatatype="20" unbalanced="0"/>
    <cacheHierarchy uniqueName="[Processed_Data 1].[Department]" caption="Department" attribute="1" defaultMemberUniqueName="[Processed_Data 1].[Department].[All]" allUniqueName="[Processed_Data 1].[Department].[All]" dimensionUniqueName="[Processed_Data 1]" displayFolder="" count="2" memberValueDatatype="130" unbalanced="0">
      <fieldsUsage count="2">
        <fieldUsage x="-1"/>
        <fieldUsage x="3"/>
      </fieldsUsage>
    </cacheHierarchy>
    <cacheHierarchy uniqueName="[Processed_Data 1].[JobRole]" caption="JobRole" attribute="1" defaultMemberUniqueName="[Processed_Data 1].[JobRole].[All]" allUniqueName="[Processed_Data 1].[JobRole].[All]" dimensionUniqueName="[Processed_Data 1]" displayFolder="" count="0" memberValueDatatype="130" unbalanced="0"/>
    <cacheHierarchy uniqueName="[Processed_Data 1].[Gender]" caption="Gender" attribute="1" defaultMemberUniqueName="[Processed_Data 1].[Gender].[All]" allUniqueName="[Processed_Data 1].[Gender].[All]" dimensionUniqueName="[Processed_Data 1]" displayFolder="" count="0" memberValueDatatype="130" unbalanced="0"/>
    <cacheHierarchy uniqueName="[Processed_Data 1].[Age]" caption="Age" attribute="1" defaultMemberUniqueName="[Processed_Data 1].[Age].[All]" allUniqueName="[Processed_Data 1].[Age].[All]" dimensionUniqueName="[Processed_Data 1]" displayFolder="" count="0" memberValueDatatype="20" unbalanced="0"/>
    <cacheHierarchy uniqueName="[Processed_Data 1].[Age_Group]" caption="Age_Group" attribute="1" defaultMemberUniqueName="[Processed_Data 1].[Age_Group].[All]" allUniqueName="[Processed_Data 1].[Age_Group].[All]" dimensionUniqueName="[Processed_Data 1]" displayFolder="" count="2" memberValueDatatype="130" unbalanced="0"/>
    <cacheHierarchy uniqueName="[Processed_Data 1].[MonthlySalary]" caption="MonthlySalary" attribute="1" defaultMemberUniqueName="[Processed_Data 1].[MonthlySalary].[All]" allUniqueName="[Processed_Data 1].[MonthlySalary].[All]" dimensionUniqueName="[Processed_Data 1]" displayFolder="" count="0" memberValueDatatype="20" unbalanced="0"/>
    <cacheHierarchy uniqueName="[Processed_Data 1].[Annual_Salary]" caption="Annual_Salary" attribute="1" defaultMemberUniqueName="[Processed_Data 1].[Annual_Salary].[All]" allUniqueName="[Processed_Data 1].[Annual_Salary].[All]" dimensionUniqueName="[Processed_Data 1]" displayFolder="" count="0" memberValueDatatype="20" unbalanced="0"/>
    <cacheHierarchy uniqueName="[Processed_Data 1].[YearsAtCompany]" caption="YearsAtCompany" attribute="1" defaultMemberUniqueName="[Processed_Data 1].[YearsAtCompany].[All]" allUniqueName="[Processed_Data 1].[YearsAtCompany].[All]" dimensionUniqueName="[Processed_Data 1]" displayFolder="" count="0" memberValueDatatype="20" unbalanced="0"/>
    <cacheHierarchy uniqueName="[Processed_Data 1].[Experience_Level]" caption="Experience_Level" attribute="1" defaultMemberUniqueName="[Processed_Data 1].[Experience_Level].[All]" allUniqueName="[Processed_Data 1].[Experience_Level].[All]" dimensionUniqueName="[Processed_Data 1]" displayFolder="" count="2" memberValueDatatype="130" unbalanced="0">
      <fieldsUsage count="2">
        <fieldUsage x="-1"/>
        <fieldUsage x="1"/>
      </fieldsUsage>
    </cacheHierarchy>
    <cacheHierarchy uniqueName="[Processed_Data 1].[PerformanceRating]" caption="PerformanceRating" attribute="1" defaultMemberUniqueName="[Processed_Data 1].[PerformanceRating].[All]" allUniqueName="[Processed_Data 1].[PerformanceRating].[All]" dimensionUniqueName="[Processed_Data 1]" displayFolder="" count="0" memberValueDatatype="20" unbalanced="0"/>
    <cacheHierarchy uniqueName="[Processed_Data 1].[Performance_Category]" caption="Performance_Category" attribute="1" defaultMemberUniqueName="[Processed_Data 1].[Performance_Category].[All]" allUniqueName="[Processed_Data 1].[Performance_Category].[All]" dimensionUniqueName="[Processed_Data 1]" displayFolder="" count="2" memberValueDatatype="130" unbalanced="0"/>
    <cacheHierarchy uniqueName="[Processed_Data 1].[Overtime]" caption="Overtime" attribute="1" defaultMemberUniqueName="[Processed_Data 1].[Overtime].[All]" allUniqueName="[Processed_Data 1].[Overtime].[All]" dimensionUniqueName="[Processed_Data 1]" displayFolder="" count="0" memberValueDatatype="130" unbalanced="0"/>
    <cacheHierarchy uniqueName="[Processed_Data 1].[WorkLocation]" caption="WorkLocation" attribute="1" defaultMemberUniqueName="[Processed_Data 1].[WorkLocation].[All]" allUniqueName="[Processed_Data 1].[WorkLocation].[All]" dimensionUniqueName="[Processed_Data 1]" displayFolder="" count="0" memberValueDatatype="130" unbalanced="0"/>
    <cacheHierarchy uniqueName="[Processed_Data 1].[Manager]" caption="Manager" attribute="1" defaultMemberUniqueName="[Processed_Data 1].[Manager].[All]" allUniqueName="[Processed_Data 1].[Manager].[All]" dimensionUniqueName="[Processed_Data 1]" displayFolder="" count="0" memberValueDatatype="130" unbalanced="0"/>
    <cacheHierarchy uniqueName="[Table1].[EmployeeID]" caption="EmployeeID" attribute="1" defaultMemberUniqueName="[Table1].[EmployeeID].[All]" allUniqueName="[Table1].[EmployeeID].[All]" dimensionUniqueName="[Table1]" displayFolder="" count="0" memberValueDatatype="20" unbalanced="0"/>
    <cacheHierarchy uniqueName="[Table1].[HireDate]" caption="HireDate" attribute="1" time="1" defaultMemberUniqueName="[Table1].[HireDate].[All]" allUniqueName="[Table1].[Hire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JobRole]" caption="JobRole" attribute="1" defaultMemberUniqueName="[Table1].[JobRole].[All]" allUniqueName="[Table1].[JobRol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MonthlySalary]" caption="MonthlySalary" attribute="1" defaultMemberUniqueName="[Table1].[MonthlySalary].[All]" allUniqueName="[Table1].[MonthlySalary].[All]" dimensionUniqueName="[Table1]" displayFolder="" count="0" memberValueDatatype="6" unbalanced="0"/>
    <cacheHierarchy uniqueName="[Table1].[Annual_Salary]" caption="Annual_Salary" attribute="1" defaultMemberUniqueName="[Table1].[Annual_Salary].[All]" allUniqueName="[Table1].[Annual_Salary].[All]" dimensionUniqueName="[Table1]" displayFolder="" count="0" memberValueDatatype="6"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Experience_Level]" caption="Experience_Level" attribute="1" defaultMemberUniqueName="[Table1].[Experience_Level].[All]" allUniqueName="[Table1].[Experience_Level].[All]" dimensionUniqueName="[Table1]" displayFolder="" count="0" memberValueDatatype="13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Performance_Category]" caption="Performance_Category" attribute="1" defaultMemberUniqueName="[Table1].[Performance_Category].[All]" allUniqueName="[Table1].[Performance_Category].[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WorkLocation]" caption="WorkLocation" attribute="1" defaultMemberUniqueName="[Table1].[WorkLocation].[All]" allUniqueName="[Table1].[WorkLocation].[All]" dimensionUniqueName="[Table1]" displayFolder="" count="0" memberValueDatatype="130" unbalanced="0"/>
    <cacheHierarchy uniqueName="[Table1].[Manager]" caption="Manager" attribute="1" defaultMemberUniqueName="[Table1].[Manager].[All]" allUniqueName="[Table1].[Manager].[All]" dimensionUniqueName="[Table1]" displayFolder="" count="0" memberValueDatatype="130" unbalanced="0"/>
    <cacheHierarchy uniqueName="[Measures].[__XL_Count Table1]" caption="__XL_Count Table1" measure="1" displayFolder="" measureGroup="Table1" count="0" hidden="1"/>
    <cacheHierarchy uniqueName="[Measures].[__XL_Count Processed_Data]" caption="__XL_Count Processed_Data" measure="1" displayFolder="" measureGroup="Processed_Data" count="0" hidden="1"/>
    <cacheHierarchy uniqueName="[Measures].[__XL_Count Processed_Data 1]" caption="__XL_Count Processed_Data 1" measure="1" displayFolder="" measureGroup="Processed_Data 1" count="0" hidden="1"/>
    <cacheHierarchy uniqueName="[Measures].[__No measures defined]" caption="__No measures defined" measure="1" displayFolder="" count="0" hidden="1"/>
    <cacheHierarchy uniqueName="[Measures].[Sum of Total_Sales]" caption="Sum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Average of Total_Sales]" caption="Average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Count of Sales_Rep]" caption="Count of Sales_Rep" measure="1" displayFolder="" measureGroup="Processed_Data" count="0" hidden="1">
      <extLst>
        <ext xmlns:x15="http://schemas.microsoft.com/office/spreadsheetml/2010/11/main" uri="{B97F6D7D-B522-45F9-BDA1-12C45D357490}">
          <x15:cacheHierarchy aggregatedColumn="11"/>
        </ext>
      </extLst>
    </cacheHierarchy>
    <cacheHierarchy uniqueName="[Measures].[Count of Product_Category]" caption="Count of Product_Category" measure="1" displayFolder="" measureGroup="Processed_Data" count="0" hidden="1">
      <extLst>
        <ext xmlns:x15="http://schemas.microsoft.com/office/spreadsheetml/2010/11/main" uri="{B97F6D7D-B522-45F9-BDA1-12C45D357490}">
          <x15:cacheHierarchy aggregatedColumn="6"/>
        </ext>
      </extLst>
    </cacheHierarchy>
    <cacheHierarchy uniqueName="[Measures].[Sum of EmployeeID]" caption="Sum of EmployeeID" measure="1" displayFolder="" measureGroup="Processed_Data 1" count="0" hidden="1">
      <extLst>
        <ext xmlns:x15="http://schemas.microsoft.com/office/spreadsheetml/2010/11/main" uri="{B97F6D7D-B522-45F9-BDA1-12C45D357490}">
          <x15:cacheHierarchy aggregatedColumn="13"/>
        </ext>
      </extLst>
    </cacheHierarchy>
    <cacheHierarchy uniqueName="[Measures].[Sum of Annual_Salary]" caption="Sum of Annual_Salary" measure="1" displayFolder="" measureGroup="Processed_Data 1" count="0" hidden="1">
      <extLst>
        <ext xmlns:x15="http://schemas.microsoft.com/office/spreadsheetml/2010/11/main" uri="{B97F6D7D-B522-45F9-BDA1-12C45D357490}">
          <x15:cacheHierarchy aggregatedColumn="23"/>
        </ext>
      </extLst>
    </cacheHierarchy>
    <cacheHierarchy uniqueName="[Measures].[Sum of PerformanceRating]" caption="Sum of PerformanceRating" measure="1" displayFolder="" measureGroup="Processed_Data 1" count="0" hidden="1">
      <extLst>
        <ext xmlns:x15="http://schemas.microsoft.com/office/spreadsheetml/2010/11/main" uri="{B97F6D7D-B522-45F9-BDA1-12C45D357490}">
          <x15:cacheHierarchy aggregatedColumn="26"/>
        </ext>
      </extLst>
    </cacheHierarchy>
    <cacheHierarchy uniqueName="[Measures].[Count of EmployeeID]" caption="Count of EmployeeID" measure="1" displayFolder="" measureGroup="Processed_Data 1" count="0" oneField="1" hidden="1">
      <fieldsUsage count="1">
        <fieldUsage x="0"/>
      </fieldsUsage>
      <extLst>
        <ext xmlns:x15="http://schemas.microsoft.com/office/spreadsheetml/2010/11/main" uri="{B97F6D7D-B522-45F9-BDA1-12C45D357490}">
          <x15:cacheHierarchy aggregatedColumn="13"/>
        </ext>
      </extLst>
    </cacheHierarchy>
    <cacheHierarchy uniqueName="[Measures].[Average of Annual_Salary]" caption="Average of Annual_Salary" measure="1" displayFolder="" measureGroup="Processed_Data 1" count="0" oneField="1" hidden="1">
      <fieldsUsage count="1">
        <fieldUsage x="2"/>
      </fieldsUsage>
      <extLst>
        <ext xmlns:x15="http://schemas.microsoft.com/office/spreadsheetml/2010/11/main" uri="{B97F6D7D-B522-45F9-BDA1-12C45D357490}">
          <x15:cacheHierarchy aggregatedColumn="23"/>
        </ext>
      </extLst>
    </cacheHierarchy>
    <cacheHierarchy uniqueName="[Measures].[Average of PerformanceRating]" caption="Average of PerformanceRating" measure="1" displayFolder="" measureGroup="Processed_Data 1" count="0" hidden="1">
      <extLst>
        <ext xmlns:x15="http://schemas.microsoft.com/office/spreadsheetml/2010/11/main" uri="{B97F6D7D-B522-45F9-BDA1-12C45D357490}">
          <x15:cacheHierarchy aggregatedColumn="26"/>
        </ext>
      </extLst>
    </cacheHierarchy>
    <cacheHierarchy uniqueName="[Measures].[Count of Overtime]" caption="Count of Overtime" measure="1" displayFolder="" measureGroup="Processed_Data 1" count="0" hidden="1">
      <extLst>
        <ext xmlns:x15="http://schemas.microsoft.com/office/spreadsheetml/2010/11/main" uri="{B97F6D7D-B522-45F9-BDA1-12C45D357490}">
          <x15:cacheHierarchy aggregatedColumn="28"/>
        </ext>
      </extLst>
    </cacheHierarchy>
    <cacheHierarchy uniqueName="[Measures].[Count of Performance_Category]" caption="Count of Performance_Category" measure="1" displayFolder="" measureGroup="Processed_Data 1" count="0" hidden="1">
      <extLst>
        <ext xmlns:x15="http://schemas.microsoft.com/office/spreadsheetml/2010/11/main" uri="{B97F6D7D-B522-45F9-BDA1-12C45D357490}">
          <x15:cacheHierarchy aggregatedColumn="27"/>
        </ext>
      </extLst>
    </cacheHierarchy>
  </cacheHierarchies>
  <kpis count="0"/>
  <dimensions count="4">
    <dimension measure="1" name="Measures" uniqueName="[Measures]" caption="Measures"/>
    <dimension name="Processed_Data" uniqueName="[Processed_Data]" caption="Processed_Data"/>
    <dimension name="Processed_Data 1" uniqueName="[Processed_Data 1]" caption="Processed_Data 1"/>
    <dimension name="Table1" uniqueName="[Table1]" caption="Table1"/>
  </dimensions>
  <measureGroups count="3">
    <measureGroup name="Processed_Data" caption="Processed_Data"/>
    <measureGroup name="Processed_Data 1" caption="Processed_Data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60.448883333331" backgroundQuery="1" createdVersion="8" refreshedVersion="8" minRefreshableVersion="3" recordCount="0" supportSubquery="1" supportAdvancedDrill="1" xr:uid="{3A7A0A1B-B359-4225-94F9-6CF2174CD0C5}">
  <cacheSource type="external" connectionId="3"/>
  <cacheFields count="4">
    <cacheField name="[Measures].[Count of EmployeeID]" caption="Count of EmployeeID" numFmtId="0" hierarchy="62" level="32767"/>
    <cacheField name="[Processed_Data 1].[Overtime].[Overtime]" caption="Overtime" numFmtId="0" hierarchy="28" level="1">
      <sharedItems count="2">
        <s v="No"/>
        <s v="Yes"/>
      </sharedItems>
    </cacheField>
    <cacheField name="[Processed_Data 1].[Experience_Level].[Experience_Level]" caption="Experience_Level" numFmtId="0" hierarchy="25" level="1">
      <sharedItems count="3">
        <s v="Junior"/>
        <s v="Mid"/>
        <s v="Senior"/>
      </sharedItems>
    </cacheField>
    <cacheField name="[Processed_Data 1].[Department].[Department]" caption="Department" numFmtId="0" hierarchy="17" level="1">
      <sharedItems containsSemiMixedTypes="0" containsNonDate="0" containsString="0"/>
    </cacheField>
  </cacheFields>
  <cacheHierarchies count="67">
    <cacheHierarchy uniqueName="[Processed_Data].[Order_ID]" caption="Order_ID" attribute="1" defaultMemberUniqueName="[Processed_Data].[Order_ID].[All]" allUniqueName="[Processed_Data].[Order_ID].[All]" dimensionUniqueName="[Processed_Data]" displayFolder="" count="0" memberValueDatatype="20" unbalanced="0"/>
    <cacheHierarchy uniqueName="[Processed_Data].[Order_Date]" caption="Order_Date" attribute="1" time="1" defaultMemberUniqueName="[Processed_Data].[Order_Date].[All]" allUniqueName="[Processed_Data].[Order_Date].[All]" dimensionUniqueName="[Processed_Data]" displayFolder="" count="0" memberValueDatatype="7" unbalanced="0"/>
    <cacheHierarchy uniqueName="[Processed_Data].[Month]" caption="Month" attribute="1" defaultMemberUniqueName="[Processed_Data].[Month].[All]" allUniqueName="[Processed_Data].[Month].[All]" dimensionUniqueName="[Processed_Data]" displayFolder="" count="0" memberValueDatatype="20" unbalanced="0"/>
    <cacheHierarchy uniqueName="[Processed_Data].[Year]" caption="Year" attribute="1" defaultMemberUniqueName="[Processed_Data].[Year].[All]" allUniqueName="[Processed_Data].[Year].[All]" dimensionUniqueName="[Processed_Data]" displayFolder="" count="0" memberValueDatatype="20" unbalanced="0"/>
    <cacheHierarchy uniqueName="[Processed_Data].[Customer_Name]" caption="Customer_Name" attribute="1" defaultMemberUniqueName="[Processed_Data].[Customer_Name].[All]" allUniqueName="[Processed_Data].[Customer_Name].[All]" dimensionUniqueName="[Processed_Data]" displayFolder="" count="0" memberValueDatatype="130" unbalanced="0"/>
    <cacheHierarchy uniqueName="[Processed_Data].[Region]" caption="Region" attribute="1" defaultMemberUniqueName="[Processed_Data].[Region].[All]" allUniqueName="[Processed_Data].[Region].[All]" dimensionUniqueName="[Processed_Data]" displayFolder="" count="0" memberValueDatatype="130" unbalanced="0"/>
    <cacheHierarchy uniqueName="[Processed_Data].[Product_Category]" caption="Product_Category" attribute="1" defaultMemberUniqueName="[Processed_Data].[Product_Category].[All]" allUniqueName="[Processed_Data].[Product_Category].[All]" dimensionUniqueName="[Processed_Data]" displayFolder="" count="0" memberValueDatatype="130" unbalanced="0"/>
    <cacheHierarchy uniqueName="[Processed_Data].[Product_Name]" caption="Product_Name" attribute="1" defaultMemberUniqueName="[Processed_Data].[Product_Name].[All]" allUniqueName="[Processed_Data].[Product_Name].[All]" dimensionUniqueName="[Processed_Data]" displayFolder="" count="0" memberValueDatatype="130" unbalanced="0"/>
    <cacheHierarchy uniqueName="[Processed_Data].[Quantity]" caption="Quantity" attribute="1" defaultMemberUniqueName="[Processed_Data].[Quantity].[All]" allUniqueName="[Processed_Data].[Quantity].[All]" dimensionUniqueName="[Processed_Data]" displayFolder="" count="0" memberValueDatatype="20" unbalanced="0"/>
    <cacheHierarchy uniqueName="[Processed_Data].[Unit_Price]" caption="Unit_Price" attribute="1" defaultMemberUniqueName="[Processed_Data].[Unit_Price].[All]" allUniqueName="[Processed_Data].[Unit_Price].[All]" dimensionUniqueName="[Processed_Data]" displayFolder="" count="0" memberValueDatatype="20" unbalanced="0"/>
    <cacheHierarchy uniqueName="[Processed_Data].[Total_Sales]" caption="Total_Sales" attribute="1" defaultMemberUniqueName="[Processed_Data].[Total_Sales].[All]" allUniqueName="[Processed_Data].[Total_Sales].[All]" dimensionUniqueName="[Processed_Data]" displayFolder="" count="0" memberValueDatatype="20" unbalanced="0"/>
    <cacheHierarchy uniqueName="[Processed_Data].[Sales_Rep]" caption="Sales_Rep" attribute="1" defaultMemberUniqueName="[Processed_Data].[Sales_Rep].[All]" allUniqueName="[Processed_Data].[Sales_Rep].[All]" dimensionUniqueName="[Processed_Data]" displayFolder="" count="0" memberValueDatatype="130" unbalanced="0"/>
    <cacheHierarchy uniqueName="[Processed_Data].[Sales_Level]" caption="Sales_Level" attribute="1" defaultMemberUniqueName="[Processed_Data].[Sales_Level].[All]" allUniqueName="[Processed_Data].[Sales_Level].[All]" dimensionUniqueName="[Processed_Data]" displayFolder="" count="0" memberValueDatatype="130" unbalanced="0"/>
    <cacheHierarchy uniqueName="[Processed_Data 1].[EmployeeID]" caption="EmployeeID" attribute="1" defaultMemberUniqueName="[Processed_Data 1].[EmployeeID].[All]" allUniqueName="[Processed_Data 1].[EmployeeID].[All]" dimensionUniqueName="[Processed_Data 1]" displayFolder="" count="0" memberValueDatatype="20" unbalanced="0"/>
    <cacheHierarchy uniqueName="[Processed_Data 1].[HireDate]" caption="HireDate" attribute="1" time="1" defaultMemberUniqueName="[Processed_Data 1].[HireDate].[All]" allUniqueName="[Processed_Data 1].[HireDate].[All]" dimensionUniqueName="[Processed_Data 1]" displayFolder="" count="0" memberValueDatatype="7" unbalanced="0"/>
    <cacheHierarchy uniqueName="[Processed_Data 1].[Month]" caption="Month" attribute="1" defaultMemberUniqueName="[Processed_Data 1].[Month].[All]" allUniqueName="[Processed_Data 1].[Month].[All]" dimensionUniqueName="[Processed_Data 1]" displayFolder="" count="0" memberValueDatatype="20" unbalanced="0"/>
    <cacheHierarchy uniqueName="[Processed_Data 1].[Year]" caption="Year" attribute="1" defaultMemberUniqueName="[Processed_Data 1].[Year].[All]" allUniqueName="[Processed_Data 1].[Year].[All]" dimensionUniqueName="[Processed_Data 1]" displayFolder="" count="0" memberValueDatatype="20" unbalanced="0"/>
    <cacheHierarchy uniqueName="[Processed_Data 1].[Department]" caption="Department" attribute="1" defaultMemberUniqueName="[Processed_Data 1].[Department].[All]" allUniqueName="[Processed_Data 1].[Department].[All]" dimensionUniqueName="[Processed_Data 1]" displayFolder="" count="2" memberValueDatatype="130" unbalanced="0">
      <fieldsUsage count="2">
        <fieldUsage x="-1"/>
        <fieldUsage x="3"/>
      </fieldsUsage>
    </cacheHierarchy>
    <cacheHierarchy uniqueName="[Processed_Data 1].[JobRole]" caption="JobRole" attribute="1" defaultMemberUniqueName="[Processed_Data 1].[JobRole].[All]" allUniqueName="[Processed_Data 1].[JobRole].[All]" dimensionUniqueName="[Processed_Data 1]" displayFolder="" count="0" memberValueDatatype="130" unbalanced="0"/>
    <cacheHierarchy uniqueName="[Processed_Data 1].[Gender]" caption="Gender" attribute="1" defaultMemberUniqueName="[Processed_Data 1].[Gender].[All]" allUniqueName="[Processed_Data 1].[Gender].[All]" dimensionUniqueName="[Processed_Data 1]" displayFolder="" count="0" memberValueDatatype="130" unbalanced="0"/>
    <cacheHierarchy uniqueName="[Processed_Data 1].[Age]" caption="Age" attribute="1" defaultMemberUniqueName="[Processed_Data 1].[Age].[All]" allUniqueName="[Processed_Data 1].[Age].[All]" dimensionUniqueName="[Processed_Data 1]" displayFolder="" count="0" memberValueDatatype="20" unbalanced="0"/>
    <cacheHierarchy uniqueName="[Processed_Data 1].[Age_Group]" caption="Age_Group" attribute="1" defaultMemberUniqueName="[Processed_Data 1].[Age_Group].[All]" allUniqueName="[Processed_Data 1].[Age_Group].[All]" dimensionUniqueName="[Processed_Data 1]" displayFolder="" count="2" memberValueDatatype="130" unbalanced="0"/>
    <cacheHierarchy uniqueName="[Processed_Data 1].[MonthlySalary]" caption="MonthlySalary" attribute="1" defaultMemberUniqueName="[Processed_Data 1].[MonthlySalary].[All]" allUniqueName="[Processed_Data 1].[MonthlySalary].[All]" dimensionUniqueName="[Processed_Data 1]" displayFolder="" count="0" memberValueDatatype="20" unbalanced="0"/>
    <cacheHierarchy uniqueName="[Processed_Data 1].[Annual_Salary]" caption="Annual_Salary" attribute="1" defaultMemberUniqueName="[Processed_Data 1].[Annual_Salary].[All]" allUniqueName="[Processed_Data 1].[Annual_Salary].[All]" dimensionUniqueName="[Processed_Data 1]" displayFolder="" count="0" memberValueDatatype="20" unbalanced="0"/>
    <cacheHierarchy uniqueName="[Processed_Data 1].[YearsAtCompany]" caption="YearsAtCompany" attribute="1" defaultMemberUniqueName="[Processed_Data 1].[YearsAtCompany].[All]" allUniqueName="[Processed_Data 1].[YearsAtCompany].[All]" dimensionUniqueName="[Processed_Data 1]" displayFolder="" count="0" memberValueDatatype="20" unbalanced="0"/>
    <cacheHierarchy uniqueName="[Processed_Data 1].[Experience_Level]" caption="Experience_Level" attribute="1" defaultMemberUniqueName="[Processed_Data 1].[Experience_Level].[All]" allUniqueName="[Processed_Data 1].[Experience_Level].[All]" dimensionUniqueName="[Processed_Data 1]" displayFolder="" count="2" memberValueDatatype="130" unbalanced="0">
      <fieldsUsage count="2">
        <fieldUsage x="-1"/>
        <fieldUsage x="2"/>
      </fieldsUsage>
    </cacheHierarchy>
    <cacheHierarchy uniqueName="[Processed_Data 1].[PerformanceRating]" caption="PerformanceRating" attribute="1" defaultMemberUniqueName="[Processed_Data 1].[PerformanceRating].[All]" allUniqueName="[Processed_Data 1].[PerformanceRating].[All]" dimensionUniqueName="[Processed_Data 1]" displayFolder="" count="0" memberValueDatatype="20" unbalanced="0"/>
    <cacheHierarchy uniqueName="[Processed_Data 1].[Performance_Category]" caption="Performance_Category" attribute="1" defaultMemberUniqueName="[Processed_Data 1].[Performance_Category].[All]" allUniqueName="[Processed_Data 1].[Performance_Category].[All]" dimensionUniqueName="[Processed_Data 1]" displayFolder="" count="2" memberValueDatatype="130" unbalanced="0"/>
    <cacheHierarchy uniqueName="[Processed_Data 1].[Overtime]" caption="Overtime" attribute="1" defaultMemberUniqueName="[Processed_Data 1].[Overtime].[All]" allUniqueName="[Processed_Data 1].[Overtime].[All]" dimensionUniqueName="[Processed_Data 1]" displayFolder="" count="2" memberValueDatatype="130" unbalanced="0">
      <fieldsUsage count="2">
        <fieldUsage x="-1"/>
        <fieldUsage x="1"/>
      </fieldsUsage>
    </cacheHierarchy>
    <cacheHierarchy uniqueName="[Processed_Data 1].[WorkLocation]" caption="WorkLocation" attribute="1" defaultMemberUniqueName="[Processed_Data 1].[WorkLocation].[All]" allUniqueName="[Processed_Data 1].[WorkLocation].[All]" dimensionUniqueName="[Processed_Data 1]" displayFolder="" count="0" memberValueDatatype="130" unbalanced="0"/>
    <cacheHierarchy uniqueName="[Processed_Data 1].[Manager]" caption="Manager" attribute="1" defaultMemberUniqueName="[Processed_Data 1].[Manager].[All]" allUniqueName="[Processed_Data 1].[Manager].[All]" dimensionUniqueName="[Processed_Data 1]" displayFolder="" count="0" memberValueDatatype="130" unbalanced="0"/>
    <cacheHierarchy uniqueName="[Table1].[EmployeeID]" caption="EmployeeID" attribute="1" defaultMemberUniqueName="[Table1].[EmployeeID].[All]" allUniqueName="[Table1].[EmployeeID].[All]" dimensionUniqueName="[Table1]" displayFolder="" count="0" memberValueDatatype="20" unbalanced="0"/>
    <cacheHierarchy uniqueName="[Table1].[HireDate]" caption="HireDate" attribute="1" time="1" defaultMemberUniqueName="[Table1].[HireDate].[All]" allUniqueName="[Table1].[Hire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JobRole]" caption="JobRole" attribute="1" defaultMemberUniqueName="[Table1].[JobRole].[All]" allUniqueName="[Table1].[JobRol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MonthlySalary]" caption="MonthlySalary" attribute="1" defaultMemberUniqueName="[Table1].[MonthlySalary].[All]" allUniqueName="[Table1].[MonthlySalary].[All]" dimensionUniqueName="[Table1]" displayFolder="" count="0" memberValueDatatype="6" unbalanced="0"/>
    <cacheHierarchy uniqueName="[Table1].[Annual_Salary]" caption="Annual_Salary" attribute="1" defaultMemberUniqueName="[Table1].[Annual_Salary].[All]" allUniqueName="[Table1].[Annual_Salary].[All]" dimensionUniqueName="[Table1]" displayFolder="" count="0" memberValueDatatype="6"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Experience_Level]" caption="Experience_Level" attribute="1" defaultMemberUniqueName="[Table1].[Experience_Level].[All]" allUniqueName="[Table1].[Experience_Level].[All]" dimensionUniqueName="[Table1]" displayFolder="" count="0" memberValueDatatype="13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Performance_Category]" caption="Performance_Category" attribute="1" defaultMemberUniqueName="[Table1].[Performance_Category].[All]" allUniqueName="[Table1].[Performance_Category].[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WorkLocation]" caption="WorkLocation" attribute="1" defaultMemberUniqueName="[Table1].[WorkLocation].[All]" allUniqueName="[Table1].[WorkLocation].[All]" dimensionUniqueName="[Table1]" displayFolder="" count="0" memberValueDatatype="130" unbalanced="0"/>
    <cacheHierarchy uniqueName="[Table1].[Manager]" caption="Manager" attribute="1" defaultMemberUniqueName="[Table1].[Manager].[All]" allUniqueName="[Table1].[Manager].[All]" dimensionUniqueName="[Table1]" displayFolder="" count="0" memberValueDatatype="130" unbalanced="0"/>
    <cacheHierarchy uniqueName="[Measures].[__XL_Count Table1]" caption="__XL_Count Table1" measure="1" displayFolder="" measureGroup="Table1" count="0" hidden="1"/>
    <cacheHierarchy uniqueName="[Measures].[__XL_Count Processed_Data]" caption="__XL_Count Processed_Data" measure="1" displayFolder="" measureGroup="Processed_Data" count="0" hidden="1"/>
    <cacheHierarchy uniqueName="[Measures].[__XL_Count Processed_Data 1]" caption="__XL_Count Processed_Data 1" measure="1" displayFolder="" measureGroup="Processed_Data 1" count="0" hidden="1"/>
    <cacheHierarchy uniqueName="[Measures].[__No measures defined]" caption="__No measures defined" measure="1" displayFolder="" count="0" hidden="1"/>
    <cacheHierarchy uniqueName="[Measures].[Sum of Total_Sales]" caption="Sum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Average of Total_Sales]" caption="Average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Count of Sales_Rep]" caption="Count of Sales_Rep" measure="1" displayFolder="" measureGroup="Processed_Data" count="0" hidden="1">
      <extLst>
        <ext xmlns:x15="http://schemas.microsoft.com/office/spreadsheetml/2010/11/main" uri="{B97F6D7D-B522-45F9-BDA1-12C45D357490}">
          <x15:cacheHierarchy aggregatedColumn="11"/>
        </ext>
      </extLst>
    </cacheHierarchy>
    <cacheHierarchy uniqueName="[Measures].[Count of Product_Category]" caption="Count of Product_Category" measure="1" displayFolder="" measureGroup="Processed_Data" count="0" hidden="1">
      <extLst>
        <ext xmlns:x15="http://schemas.microsoft.com/office/spreadsheetml/2010/11/main" uri="{B97F6D7D-B522-45F9-BDA1-12C45D357490}">
          <x15:cacheHierarchy aggregatedColumn="6"/>
        </ext>
      </extLst>
    </cacheHierarchy>
    <cacheHierarchy uniqueName="[Measures].[Sum of EmployeeID]" caption="Sum of EmployeeID" measure="1" displayFolder="" measureGroup="Processed_Data 1" count="0" hidden="1">
      <extLst>
        <ext xmlns:x15="http://schemas.microsoft.com/office/spreadsheetml/2010/11/main" uri="{B97F6D7D-B522-45F9-BDA1-12C45D357490}">
          <x15:cacheHierarchy aggregatedColumn="13"/>
        </ext>
      </extLst>
    </cacheHierarchy>
    <cacheHierarchy uniqueName="[Measures].[Sum of Annual_Salary]" caption="Sum of Annual_Salary" measure="1" displayFolder="" measureGroup="Processed_Data 1" count="0" hidden="1">
      <extLst>
        <ext xmlns:x15="http://schemas.microsoft.com/office/spreadsheetml/2010/11/main" uri="{B97F6D7D-B522-45F9-BDA1-12C45D357490}">
          <x15:cacheHierarchy aggregatedColumn="23"/>
        </ext>
      </extLst>
    </cacheHierarchy>
    <cacheHierarchy uniqueName="[Measures].[Sum of PerformanceRating]" caption="Sum of PerformanceRating" measure="1" displayFolder="" measureGroup="Processed_Data 1" count="0" hidden="1">
      <extLst>
        <ext xmlns:x15="http://schemas.microsoft.com/office/spreadsheetml/2010/11/main" uri="{B97F6D7D-B522-45F9-BDA1-12C45D357490}">
          <x15:cacheHierarchy aggregatedColumn="26"/>
        </ext>
      </extLst>
    </cacheHierarchy>
    <cacheHierarchy uniqueName="[Measures].[Count of EmployeeID]" caption="Count of EmployeeID" measure="1" displayFolder="" measureGroup="Processed_Data 1" count="0" oneField="1" hidden="1">
      <fieldsUsage count="1">
        <fieldUsage x="0"/>
      </fieldsUsage>
      <extLst>
        <ext xmlns:x15="http://schemas.microsoft.com/office/spreadsheetml/2010/11/main" uri="{B97F6D7D-B522-45F9-BDA1-12C45D357490}">
          <x15:cacheHierarchy aggregatedColumn="13"/>
        </ext>
      </extLst>
    </cacheHierarchy>
    <cacheHierarchy uniqueName="[Measures].[Average of Annual_Salary]" caption="Average of Annual_Salary" measure="1" displayFolder="" measureGroup="Processed_Data 1" count="0" hidden="1">
      <extLst>
        <ext xmlns:x15="http://schemas.microsoft.com/office/spreadsheetml/2010/11/main" uri="{B97F6D7D-B522-45F9-BDA1-12C45D357490}">
          <x15:cacheHierarchy aggregatedColumn="23"/>
        </ext>
      </extLst>
    </cacheHierarchy>
    <cacheHierarchy uniqueName="[Measures].[Average of PerformanceRating]" caption="Average of PerformanceRating" measure="1" displayFolder="" measureGroup="Processed_Data 1" count="0" hidden="1">
      <extLst>
        <ext xmlns:x15="http://schemas.microsoft.com/office/spreadsheetml/2010/11/main" uri="{B97F6D7D-B522-45F9-BDA1-12C45D357490}">
          <x15:cacheHierarchy aggregatedColumn="26"/>
        </ext>
      </extLst>
    </cacheHierarchy>
    <cacheHierarchy uniqueName="[Measures].[Count of Overtime]" caption="Count of Overtime" measure="1" displayFolder="" measureGroup="Processed_Data 1" count="0" hidden="1">
      <extLst>
        <ext xmlns:x15="http://schemas.microsoft.com/office/spreadsheetml/2010/11/main" uri="{B97F6D7D-B522-45F9-BDA1-12C45D357490}">
          <x15:cacheHierarchy aggregatedColumn="28"/>
        </ext>
      </extLst>
    </cacheHierarchy>
    <cacheHierarchy uniqueName="[Measures].[Count of Performance_Category]" caption="Count of Performance_Category" measure="1" displayFolder="" measureGroup="Processed_Data 1" count="0" hidden="1">
      <extLst>
        <ext xmlns:x15="http://schemas.microsoft.com/office/spreadsheetml/2010/11/main" uri="{B97F6D7D-B522-45F9-BDA1-12C45D357490}">
          <x15:cacheHierarchy aggregatedColumn="27"/>
        </ext>
      </extLst>
    </cacheHierarchy>
  </cacheHierarchies>
  <kpis count="0"/>
  <dimensions count="4">
    <dimension measure="1" name="Measures" uniqueName="[Measures]" caption="Measures"/>
    <dimension name="Processed_Data" uniqueName="[Processed_Data]" caption="Processed_Data"/>
    <dimension name="Processed_Data 1" uniqueName="[Processed_Data 1]" caption="Processed_Data 1"/>
    <dimension name="Table1" uniqueName="[Table1]" caption="Table1"/>
  </dimensions>
  <measureGroups count="3">
    <measureGroup name="Processed_Data" caption="Processed_Data"/>
    <measureGroup name="Processed_Data 1" caption="Processed_Data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60.448883912039" backgroundQuery="1" createdVersion="8" refreshedVersion="8" minRefreshableVersion="3" recordCount="0" supportSubquery="1" supportAdvancedDrill="1" xr:uid="{C5857BC7-23D3-4DF9-A63E-42BC86E677C1}">
  <cacheSource type="external" connectionId="3"/>
  <cacheFields count="4">
    <cacheField name="[Processed_Data 1].[Age_Group].[Age_Group]" caption="Age_Group" numFmtId="0" hierarchy="21" level="1">
      <sharedItems count="3">
        <s v="30-45"/>
        <s v="Above 45"/>
        <s v="Under 30"/>
      </sharedItems>
    </cacheField>
    <cacheField name="[Measures].[Count of EmployeeID]" caption="Count of EmployeeID" numFmtId="0" hierarchy="62" level="32767"/>
    <cacheField name="[Processed_Data 1].[WorkLocation].[WorkLocation]" caption="WorkLocation" numFmtId="0" hierarchy="29" level="1">
      <sharedItems count="3">
        <s v="Hybrid"/>
        <s v="Onsite"/>
        <s v="Remote"/>
      </sharedItems>
    </cacheField>
    <cacheField name="[Processed_Data 1].[Department].[Department]" caption="Department" numFmtId="0" hierarchy="17" level="1">
      <sharedItems containsSemiMixedTypes="0" containsNonDate="0" containsString="0"/>
    </cacheField>
  </cacheFields>
  <cacheHierarchies count="67">
    <cacheHierarchy uniqueName="[Processed_Data].[Order_ID]" caption="Order_ID" attribute="1" defaultMemberUniqueName="[Processed_Data].[Order_ID].[All]" allUniqueName="[Processed_Data].[Order_ID].[All]" dimensionUniqueName="[Processed_Data]" displayFolder="" count="0" memberValueDatatype="20" unbalanced="0"/>
    <cacheHierarchy uniqueName="[Processed_Data].[Order_Date]" caption="Order_Date" attribute="1" time="1" defaultMemberUniqueName="[Processed_Data].[Order_Date].[All]" allUniqueName="[Processed_Data].[Order_Date].[All]" dimensionUniqueName="[Processed_Data]" displayFolder="" count="0" memberValueDatatype="7" unbalanced="0"/>
    <cacheHierarchy uniqueName="[Processed_Data].[Month]" caption="Month" attribute="1" defaultMemberUniqueName="[Processed_Data].[Month].[All]" allUniqueName="[Processed_Data].[Month].[All]" dimensionUniqueName="[Processed_Data]" displayFolder="" count="0" memberValueDatatype="20" unbalanced="0"/>
    <cacheHierarchy uniqueName="[Processed_Data].[Year]" caption="Year" attribute="1" defaultMemberUniqueName="[Processed_Data].[Year].[All]" allUniqueName="[Processed_Data].[Year].[All]" dimensionUniqueName="[Processed_Data]" displayFolder="" count="0" memberValueDatatype="20" unbalanced="0"/>
    <cacheHierarchy uniqueName="[Processed_Data].[Customer_Name]" caption="Customer_Name" attribute="1" defaultMemberUniqueName="[Processed_Data].[Customer_Name].[All]" allUniqueName="[Processed_Data].[Customer_Name].[All]" dimensionUniqueName="[Processed_Data]" displayFolder="" count="0" memberValueDatatype="130" unbalanced="0"/>
    <cacheHierarchy uniqueName="[Processed_Data].[Region]" caption="Region" attribute="1" defaultMemberUniqueName="[Processed_Data].[Region].[All]" allUniqueName="[Processed_Data].[Region].[All]" dimensionUniqueName="[Processed_Data]" displayFolder="" count="0" memberValueDatatype="130" unbalanced="0"/>
    <cacheHierarchy uniqueName="[Processed_Data].[Product_Category]" caption="Product_Category" attribute="1" defaultMemberUniqueName="[Processed_Data].[Product_Category].[All]" allUniqueName="[Processed_Data].[Product_Category].[All]" dimensionUniqueName="[Processed_Data]" displayFolder="" count="0" memberValueDatatype="130" unbalanced="0"/>
    <cacheHierarchy uniqueName="[Processed_Data].[Product_Name]" caption="Product_Name" attribute="1" defaultMemberUniqueName="[Processed_Data].[Product_Name].[All]" allUniqueName="[Processed_Data].[Product_Name].[All]" dimensionUniqueName="[Processed_Data]" displayFolder="" count="0" memberValueDatatype="130" unbalanced="0"/>
    <cacheHierarchy uniqueName="[Processed_Data].[Quantity]" caption="Quantity" attribute="1" defaultMemberUniqueName="[Processed_Data].[Quantity].[All]" allUniqueName="[Processed_Data].[Quantity].[All]" dimensionUniqueName="[Processed_Data]" displayFolder="" count="0" memberValueDatatype="20" unbalanced="0"/>
    <cacheHierarchy uniqueName="[Processed_Data].[Unit_Price]" caption="Unit_Price" attribute="1" defaultMemberUniqueName="[Processed_Data].[Unit_Price].[All]" allUniqueName="[Processed_Data].[Unit_Price].[All]" dimensionUniqueName="[Processed_Data]" displayFolder="" count="0" memberValueDatatype="20" unbalanced="0"/>
    <cacheHierarchy uniqueName="[Processed_Data].[Total_Sales]" caption="Total_Sales" attribute="1" defaultMemberUniqueName="[Processed_Data].[Total_Sales].[All]" allUniqueName="[Processed_Data].[Total_Sales].[All]" dimensionUniqueName="[Processed_Data]" displayFolder="" count="0" memberValueDatatype="20" unbalanced="0"/>
    <cacheHierarchy uniqueName="[Processed_Data].[Sales_Rep]" caption="Sales_Rep" attribute="1" defaultMemberUniqueName="[Processed_Data].[Sales_Rep].[All]" allUniqueName="[Processed_Data].[Sales_Rep].[All]" dimensionUniqueName="[Processed_Data]" displayFolder="" count="0" memberValueDatatype="130" unbalanced="0"/>
    <cacheHierarchy uniqueName="[Processed_Data].[Sales_Level]" caption="Sales_Level" attribute="1" defaultMemberUniqueName="[Processed_Data].[Sales_Level].[All]" allUniqueName="[Processed_Data].[Sales_Level].[All]" dimensionUniqueName="[Processed_Data]" displayFolder="" count="0" memberValueDatatype="130" unbalanced="0"/>
    <cacheHierarchy uniqueName="[Processed_Data 1].[EmployeeID]" caption="EmployeeID" attribute="1" defaultMemberUniqueName="[Processed_Data 1].[EmployeeID].[All]" allUniqueName="[Processed_Data 1].[EmployeeID].[All]" dimensionUniqueName="[Processed_Data 1]" displayFolder="" count="0" memberValueDatatype="20" unbalanced="0"/>
    <cacheHierarchy uniqueName="[Processed_Data 1].[HireDate]" caption="HireDate" attribute="1" time="1" defaultMemberUniqueName="[Processed_Data 1].[HireDate].[All]" allUniqueName="[Processed_Data 1].[HireDate].[All]" dimensionUniqueName="[Processed_Data 1]" displayFolder="" count="0" memberValueDatatype="7" unbalanced="0"/>
    <cacheHierarchy uniqueName="[Processed_Data 1].[Month]" caption="Month" attribute="1" defaultMemberUniqueName="[Processed_Data 1].[Month].[All]" allUniqueName="[Processed_Data 1].[Month].[All]" dimensionUniqueName="[Processed_Data 1]" displayFolder="" count="0" memberValueDatatype="20" unbalanced="0"/>
    <cacheHierarchy uniqueName="[Processed_Data 1].[Year]" caption="Year" attribute="1" defaultMemberUniqueName="[Processed_Data 1].[Year].[All]" allUniqueName="[Processed_Data 1].[Year].[All]" dimensionUniqueName="[Processed_Data 1]" displayFolder="" count="0" memberValueDatatype="20" unbalanced="0"/>
    <cacheHierarchy uniqueName="[Processed_Data 1].[Department]" caption="Department" attribute="1" defaultMemberUniqueName="[Processed_Data 1].[Department].[All]" allUniqueName="[Processed_Data 1].[Department].[All]" dimensionUniqueName="[Processed_Data 1]" displayFolder="" count="2" memberValueDatatype="130" unbalanced="0">
      <fieldsUsage count="2">
        <fieldUsage x="-1"/>
        <fieldUsage x="3"/>
      </fieldsUsage>
    </cacheHierarchy>
    <cacheHierarchy uniqueName="[Processed_Data 1].[JobRole]" caption="JobRole" attribute="1" defaultMemberUniqueName="[Processed_Data 1].[JobRole].[All]" allUniqueName="[Processed_Data 1].[JobRole].[All]" dimensionUniqueName="[Processed_Data 1]" displayFolder="" count="0" memberValueDatatype="130" unbalanced="0"/>
    <cacheHierarchy uniqueName="[Processed_Data 1].[Gender]" caption="Gender" attribute="1" defaultMemberUniqueName="[Processed_Data 1].[Gender].[All]" allUniqueName="[Processed_Data 1].[Gender].[All]" dimensionUniqueName="[Processed_Data 1]" displayFolder="" count="0" memberValueDatatype="130" unbalanced="0"/>
    <cacheHierarchy uniqueName="[Processed_Data 1].[Age]" caption="Age" attribute="1" defaultMemberUniqueName="[Processed_Data 1].[Age].[All]" allUniqueName="[Processed_Data 1].[Age].[All]" dimensionUniqueName="[Processed_Data 1]" displayFolder="" count="0" memberValueDatatype="20" unbalanced="0"/>
    <cacheHierarchy uniqueName="[Processed_Data 1].[Age_Group]" caption="Age_Group" attribute="1" defaultMemberUniqueName="[Processed_Data 1].[Age_Group].[All]" allUniqueName="[Processed_Data 1].[Age_Group].[All]" dimensionUniqueName="[Processed_Data 1]" displayFolder="" count="2" memberValueDatatype="130" unbalanced="0">
      <fieldsUsage count="2">
        <fieldUsage x="-1"/>
        <fieldUsage x="0"/>
      </fieldsUsage>
    </cacheHierarchy>
    <cacheHierarchy uniqueName="[Processed_Data 1].[MonthlySalary]" caption="MonthlySalary" attribute="1" defaultMemberUniqueName="[Processed_Data 1].[MonthlySalary].[All]" allUniqueName="[Processed_Data 1].[MonthlySalary].[All]" dimensionUniqueName="[Processed_Data 1]" displayFolder="" count="0" memberValueDatatype="20" unbalanced="0"/>
    <cacheHierarchy uniqueName="[Processed_Data 1].[Annual_Salary]" caption="Annual_Salary" attribute="1" defaultMemberUniqueName="[Processed_Data 1].[Annual_Salary].[All]" allUniqueName="[Processed_Data 1].[Annual_Salary].[All]" dimensionUniqueName="[Processed_Data 1]" displayFolder="" count="0" memberValueDatatype="20" unbalanced="0"/>
    <cacheHierarchy uniqueName="[Processed_Data 1].[YearsAtCompany]" caption="YearsAtCompany" attribute="1" defaultMemberUniqueName="[Processed_Data 1].[YearsAtCompany].[All]" allUniqueName="[Processed_Data 1].[YearsAtCompany].[All]" dimensionUniqueName="[Processed_Data 1]" displayFolder="" count="0" memberValueDatatype="20" unbalanced="0"/>
    <cacheHierarchy uniqueName="[Processed_Data 1].[Experience_Level]" caption="Experience_Level" attribute="1" defaultMemberUniqueName="[Processed_Data 1].[Experience_Level].[All]" allUniqueName="[Processed_Data 1].[Experience_Level].[All]" dimensionUniqueName="[Processed_Data 1]" displayFolder="" count="2" memberValueDatatype="130" unbalanced="0"/>
    <cacheHierarchy uniqueName="[Processed_Data 1].[PerformanceRating]" caption="PerformanceRating" attribute="1" defaultMemberUniqueName="[Processed_Data 1].[PerformanceRating].[All]" allUniqueName="[Processed_Data 1].[PerformanceRating].[All]" dimensionUniqueName="[Processed_Data 1]" displayFolder="" count="0" memberValueDatatype="20" unbalanced="0"/>
    <cacheHierarchy uniqueName="[Processed_Data 1].[Performance_Category]" caption="Performance_Category" attribute="1" defaultMemberUniqueName="[Processed_Data 1].[Performance_Category].[All]" allUniqueName="[Processed_Data 1].[Performance_Category].[All]" dimensionUniqueName="[Processed_Data 1]" displayFolder="" count="2" memberValueDatatype="130" unbalanced="0"/>
    <cacheHierarchy uniqueName="[Processed_Data 1].[Overtime]" caption="Overtime" attribute="1" defaultMemberUniqueName="[Processed_Data 1].[Overtime].[All]" allUniqueName="[Processed_Data 1].[Overtime].[All]" dimensionUniqueName="[Processed_Data 1]" displayFolder="" count="0" memberValueDatatype="130" unbalanced="0"/>
    <cacheHierarchy uniqueName="[Processed_Data 1].[WorkLocation]" caption="WorkLocation" attribute="1" defaultMemberUniqueName="[Processed_Data 1].[WorkLocation].[All]" allUniqueName="[Processed_Data 1].[WorkLocation].[All]" dimensionUniqueName="[Processed_Data 1]" displayFolder="" count="2" memberValueDatatype="130" unbalanced="0">
      <fieldsUsage count="2">
        <fieldUsage x="-1"/>
        <fieldUsage x="2"/>
      </fieldsUsage>
    </cacheHierarchy>
    <cacheHierarchy uniqueName="[Processed_Data 1].[Manager]" caption="Manager" attribute="1" defaultMemberUniqueName="[Processed_Data 1].[Manager].[All]" allUniqueName="[Processed_Data 1].[Manager].[All]" dimensionUniqueName="[Processed_Data 1]" displayFolder="" count="0" memberValueDatatype="130" unbalanced="0"/>
    <cacheHierarchy uniqueName="[Table1].[EmployeeID]" caption="EmployeeID" attribute="1" defaultMemberUniqueName="[Table1].[EmployeeID].[All]" allUniqueName="[Table1].[EmployeeID].[All]" dimensionUniqueName="[Table1]" displayFolder="" count="0" memberValueDatatype="20" unbalanced="0"/>
    <cacheHierarchy uniqueName="[Table1].[HireDate]" caption="HireDate" attribute="1" time="1" defaultMemberUniqueName="[Table1].[HireDate].[All]" allUniqueName="[Table1].[Hire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JobRole]" caption="JobRole" attribute="1" defaultMemberUniqueName="[Table1].[JobRole].[All]" allUniqueName="[Table1].[JobRol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MonthlySalary]" caption="MonthlySalary" attribute="1" defaultMemberUniqueName="[Table1].[MonthlySalary].[All]" allUniqueName="[Table1].[MonthlySalary].[All]" dimensionUniqueName="[Table1]" displayFolder="" count="0" memberValueDatatype="6" unbalanced="0"/>
    <cacheHierarchy uniqueName="[Table1].[Annual_Salary]" caption="Annual_Salary" attribute="1" defaultMemberUniqueName="[Table1].[Annual_Salary].[All]" allUniqueName="[Table1].[Annual_Salary].[All]" dimensionUniqueName="[Table1]" displayFolder="" count="0" memberValueDatatype="6"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Experience_Level]" caption="Experience_Level" attribute="1" defaultMemberUniqueName="[Table1].[Experience_Level].[All]" allUniqueName="[Table1].[Experience_Level].[All]" dimensionUniqueName="[Table1]" displayFolder="" count="0" memberValueDatatype="13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Performance_Category]" caption="Performance_Category" attribute="1" defaultMemberUniqueName="[Table1].[Performance_Category].[All]" allUniqueName="[Table1].[Performance_Category].[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WorkLocation]" caption="WorkLocation" attribute="1" defaultMemberUniqueName="[Table1].[WorkLocation].[All]" allUniqueName="[Table1].[WorkLocation].[All]" dimensionUniqueName="[Table1]" displayFolder="" count="0" memberValueDatatype="130" unbalanced="0"/>
    <cacheHierarchy uniqueName="[Table1].[Manager]" caption="Manager" attribute="1" defaultMemberUniqueName="[Table1].[Manager].[All]" allUniqueName="[Table1].[Manager].[All]" dimensionUniqueName="[Table1]" displayFolder="" count="0" memberValueDatatype="130" unbalanced="0"/>
    <cacheHierarchy uniqueName="[Measures].[__XL_Count Table1]" caption="__XL_Count Table1" measure="1" displayFolder="" measureGroup="Table1" count="0" hidden="1"/>
    <cacheHierarchy uniqueName="[Measures].[__XL_Count Processed_Data]" caption="__XL_Count Processed_Data" measure="1" displayFolder="" measureGroup="Processed_Data" count="0" hidden="1"/>
    <cacheHierarchy uniqueName="[Measures].[__XL_Count Processed_Data 1]" caption="__XL_Count Processed_Data 1" measure="1" displayFolder="" measureGroup="Processed_Data 1" count="0" hidden="1"/>
    <cacheHierarchy uniqueName="[Measures].[__No measures defined]" caption="__No measures defined" measure="1" displayFolder="" count="0" hidden="1"/>
    <cacheHierarchy uniqueName="[Measures].[Sum of Total_Sales]" caption="Sum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Average of Total_Sales]" caption="Average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Count of Sales_Rep]" caption="Count of Sales_Rep" measure="1" displayFolder="" measureGroup="Processed_Data" count="0" hidden="1">
      <extLst>
        <ext xmlns:x15="http://schemas.microsoft.com/office/spreadsheetml/2010/11/main" uri="{B97F6D7D-B522-45F9-BDA1-12C45D357490}">
          <x15:cacheHierarchy aggregatedColumn="11"/>
        </ext>
      </extLst>
    </cacheHierarchy>
    <cacheHierarchy uniqueName="[Measures].[Count of Product_Category]" caption="Count of Product_Category" measure="1" displayFolder="" measureGroup="Processed_Data" count="0" hidden="1">
      <extLst>
        <ext xmlns:x15="http://schemas.microsoft.com/office/spreadsheetml/2010/11/main" uri="{B97F6D7D-B522-45F9-BDA1-12C45D357490}">
          <x15:cacheHierarchy aggregatedColumn="6"/>
        </ext>
      </extLst>
    </cacheHierarchy>
    <cacheHierarchy uniqueName="[Measures].[Sum of EmployeeID]" caption="Sum of EmployeeID" measure="1" displayFolder="" measureGroup="Processed_Data 1" count="0" hidden="1">
      <extLst>
        <ext xmlns:x15="http://schemas.microsoft.com/office/spreadsheetml/2010/11/main" uri="{B97F6D7D-B522-45F9-BDA1-12C45D357490}">
          <x15:cacheHierarchy aggregatedColumn="13"/>
        </ext>
      </extLst>
    </cacheHierarchy>
    <cacheHierarchy uniqueName="[Measures].[Sum of Annual_Salary]" caption="Sum of Annual_Salary" measure="1" displayFolder="" measureGroup="Processed_Data 1" count="0" hidden="1">
      <extLst>
        <ext xmlns:x15="http://schemas.microsoft.com/office/spreadsheetml/2010/11/main" uri="{B97F6D7D-B522-45F9-BDA1-12C45D357490}">
          <x15:cacheHierarchy aggregatedColumn="23"/>
        </ext>
      </extLst>
    </cacheHierarchy>
    <cacheHierarchy uniqueName="[Measures].[Sum of PerformanceRating]" caption="Sum of PerformanceRating" measure="1" displayFolder="" measureGroup="Processed_Data 1" count="0" hidden="1">
      <extLst>
        <ext xmlns:x15="http://schemas.microsoft.com/office/spreadsheetml/2010/11/main" uri="{B97F6D7D-B522-45F9-BDA1-12C45D357490}">
          <x15:cacheHierarchy aggregatedColumn="26"/>
        </ext>
      </extLst>
    </cacheHierarchy>
    <cacheHierarchy uniqueName="[Measures].[Count of EmployeeID]" caption="Count of EmployeeID" measure="1" displayFolder="" measureGroup="Processed_Data 1" count="0" oneField="1" hidden="1">
      <fieldsUsage count="1">
        <fieldUsage x="1"/>
      </fieldsUsage>
      <extLst>
        <ext xmlns:x15="http://schemas.microsoft.com/office/spreadsheetml/2010/11/main" uri="{B97F6D7D-B522-45F9-BDA1-12C45D357490}">
          <x15:cacheHierarchy aggregatedColumn="13"/>
        </ext>
      </extLst>
    </cacheHierarchy>
    <cacheHierarchy uniqueName="[Measures].[Average of Annual_Salary]" caption="Average of Annual_Salary" measure="1" displayFolder="" measureGroup="Processed_Data 1" count="0" hidden="1">
      <extLst>
        <ext xmlns:x15="http://schemas.microsoft.com/office/spreadsheetml/2010/11/main" uri="{B97F6D7D-B522-45F9-BDA1-12C45D357490}">
          <x15:cacheHierarchy aggregatedColumn="23"/>
        </ext>
      </extLst>
    </cacheHierarchy>
    <cacheHierarchy uniqueName="[Measures].[Average of PerformanceRating]" caption="Average of PerformanceRating" measure="1" displayFolder="" measureGroup="Processed_Data 1" count="0" hidden="1">
      <extLst>
        <ext xmlns:x15="http://schemas.microsoft.com/office/spreadsheetml/2010/11/main" uri="{B97F6D7D-B522-45F9-BDA1-12C45D357490}">
          <x15:cacheHierarchy aggregatedColumn="26"/>
        </ext>
      </extLst>
    </cacheHierarchy>
    <cacheHierarchy uniqueName="[Measures].[Count of Overtime]" caption="Count of Overtime" measure="1" displayFolder="" measureGroup="Processed_Data 1" count="0" hidden="1">
      <extLst>
        <ext xmlns:x15="http://schemas.microsoft.com/office/spreadsheetml/2010/11/main" uri="{B97F6D7D-B522-45F9-BDA1-12C45D357490}">
          <x15:cacheHierarchy aggregatedColumn="28"/>
        </ext>
      </extLst>
    </cacheHierarchy>
    <cacheHierarchy uniqueName="[Measures].[Count of Performance_Category]" caption="Count of Performance_Category" measure="1" displayFolder="" measureGroup="Processed_Data 1" count="0" hidden="1">
      <extLst>
        <ext xmlns:x15="http://schemas.microsoft.com/office/spreadsheetml/2010/11/main" uri="{B97F6D7D-B522-45F9-BDA1-12C45D357490}">
          <x15:cacheHierarchy aggregatedColumn="27"/>
        </ext>
      </extLst>
    </cacheHierarchy>
  </cacheHierarchies>
  <kpis count="0"/>
  <dimensions count="4">
    <dimension measure="1" name="Measures" uniqueName="[Measures]" caption="Measures"/>
    <dimension name="Processed_Data" uniqueName="[Processed_Data]" caption="Processed_Data"/>
    <dimension name="Processed_Data 1" uniqueName="[Processed_Data 1]" caption="Processed_Data 1"/>
    <dimension name="Table1" uniqueName="[Table1]" caption="Table1"/>
  </dimensions>
  <measureGroups count="3">
    <measureGroup name="Processed_Data" caption="Processed_Data"/>
    <measureGroup name="Processed_Data 1" caption="Processed_Data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60.448884606485" backgroundQuery="1" createdVersion="8" refreshedVersion="8" minRefreshableVersion="3" recordCount="0" supportSubquery="1" supportAdvancedDrill="1" xr:uid="{ABAC4970-33B6-4BAF-83FF-0A6DA01AD792}">
  <cacheSource type="external" connectionId="3"/>
  <cacheFields count="3">
    <cacheField name="[Processed_Data 1].[Overtime].[Overtime]" caption="Overtime" numFmtId="0" hierarchy="28" level="1">
      <sharedItems count="2">
        <s v="No"/>
        <s v="Yes"/>
      </sharedItems>
    </cacheField>
    <cacheField name="[Measures].[Count of EmployeeID]" caption="Count of EmployeeID" numFmtId="0" hierarchy="62" level="32767"/>
    <cacheField name="[Processed_Data 1].[Department].[Department]" caption="Department" numFmtId="0" hierarchy="17" level="1">
      <sharedItems containsSemiMixedTypes="0" containsNonDate="0" containsString="0"/>
    </cacheField>
  </cacheFields>
  <cacheHierarchies count="67">
    <cacheHierarchy uniqueName="[Processed_Data].[Order_ID]" caption="Order_ID" attribute="1" defaultMemberUniqueName="[Processed_Data].[Order_ID].[All]" allUniqueName="[Processed_Data].[Order_ID].[All]" dimensionUniqueName="[Processed_Data]" displayFolder="" count="0" memberValueDatatype="20" unbalanced="0"/>
    <cacheHierarchy uniqueName="[Processed_Data].[Order_Date]" caption="Order_Date" attribute="1" time="1" defaultMemberUniqueName="[Processed_Data].[Order_Date].[All]" allUniqueName="[Processed_Data].[Order_Date].[All]" dimensionUniqueName="[Processed_Data]" displayFolder="" count="0" memberValueDatatype="7" unbalanced="0"/>
    <cacheHierarchy uniqueName="[Processed_Data].[Month]" caption="Month" attribute="1" defaultMemberUniqueName="[Processed_Data].[Month].[All]" allUniqueName="[Processed_Data].[Month].[All]" dimensionUniqueName="[Processed_Data]" displayFolder="" count="0" memberValueDatatype="20" unbalanced="0"/>
    <cacheHierarchy uniqueName="[Processed_Data].[Year]" caption="Year" attribute="1" defaultMemberUniqueName="[Processed_Data].[Year].[All]" allUniqueName="[Processed_Data].[Year].[All]" dimensionUniqueName="[Processed_Data]" displayFolder="" count="0" memberValueDatatype="20" unbalanced="0"/>
    <cacheHierarchy uniqueName="[Processed_Data].[Customer_Name]" caption="Customer_Name" attribute="1" defaultMemberUniqueName="[Processed_Data].[Customer_Name].[All]" allUniqueName="[Processed_Data].[Customer_Name].[All]" dimensionUniqueName="[Processed_Data]" displayFolder="" count="0" memberValueDatatype="130" unbalanced="0"/>
    <cacheHierarchy uniqueName="[Processed_Data].[Region]" caption="Region" attribute="1" defaultMemberUniqueName="[Processed_Data].[Region].[All]" allUniqueName="[Processed_Data].[Region].[All]" dimensionUniqueName="[Processed_Data]" displayFolder="" count="0" memberValueDatatype="130" unbalanced="0"/>
    <cacheHierarchy uniqueName="[Processed_Data].[Product_Category]" caption="Product_Category" attribute="1" defaultMemberUniqueName="[Processed_Data].[Product_Category].[All]" allUniqueName="[Processed_Data].[Product_Category].[All]" dimensionUniqueName="[Processed_Data]" displayFolder="" count="0" memberValueDatatype="130" unbalanced="0"/>
    <cacheHierarchy uniqueName="[Processed_Data].[Product_Name]" caption="Product_Name" attribute="1" defaultMemberUniqueName="[Processed_Data].[Product_Name].[All]" allUniqueName="[Processed_Data].[Product_Name].[All]" dimensionUniqueName="[Processed_Data]" displayFolder="" count="0" memberValueDatatype="130" unbalanced="0"/>
    <cacheHierarchy uniqueName="[Processed_Data].[Quantity]" caption="Quantity" attribute="1" defaultMemberUniqueName="[Processed_Data].[Quantity].[All]" allUniqueName="[Processed_Data].[Quantity].[All]" dimensionUniqueName="[Processed_Data]" displayFolder="" count="0" memberValueDatatype="20" unbalanced="0"/>
    <cacheHierarchy uniqueName="[Processed_Data].[Unit_Price]" caption="Unit_Price" attribute="1" defaultMemberUniqueName="[Processed_Data].[Unit_Price].[All]" allUniqueName="[Processed_Data].[Unit_Price].[All]" dimensionUniqueName="[Processed_Data]" displayFolder="" count="0" memberValueDatatype="20" unbalanced="0"/>
    <cacheHierarchy uniqueName="[Processed_Data].[Total_Sales]" caption="Total_Sales" attribute="1" defaultMemberUniqueName="[Processed_Data].[Total_Sales].[All]" allUniqueName="[Processed_Data].[Total_Sales].[All]" dimensionUniqueName="[Processed_Data]" displayFolder="" count="0" memberValueDatatype="20" unbalanced="0"/>
    <cacheHierarchy uniqueName="[Processed_Data].[Sales_Rep]" caption="Sales_Rep" attribute="1" defaultMemberUniqueName="[Processed_Data].[Sales_Rep].[All]" allUniqueName="[Processed_Data].[Sales_Rep].[All]" dimensionUniqueName="[Processed_Data]" displayFolder="" count="0" memberValueDatatype="130" unbalanced="0"/>
    <cacheHierarchy uniqueName="[Processed_Data].[Sales_Level]" caption="Sales_Level" attribute="1" defaultMemberUniqueName="[Processed_Data].[Sales_Level].[All]" allUniqueName="[Processed_Data].[Sales_Level].[All]" dimensionUniqueName="[Processed_Data]" displayFolder="" count="0" memberValueDatatype="130" unbalanced="0"/>
    <cacheHierarchy uniqueName="[Processed_Data 1].[EmployeeID]" caption="EmployeeID" attribute="1" defaultMemberUniqueName="[Processed_Data 1].[EmployeeID].[All]" allUniqueName="[Processed_Data 1].[EmployeeID].[All]" dimensionUniqueName="[Processed_Data 1]" displayFolder="" count="0" memberValueDatatype="20" unbalanced="0"/>
    <cacheHierarchy uniqueName="[Processed_Data 1].[HireDate]" caption="HireDate" attribute="1" time="1" defaultMemberUniqueName="[Processed_Data 1].[HireDate].[All]" allUniqueName="[Processed_Data 1].[HireDate].[All]" dimensionUniqueName="[Processed_Data 1]" displayFolder="" count="0" memberValueDatatype="7" unbalanced="0"/>
    <cacheHierarchy uniqueName="[Processed_Data 1].[Month]" caption="Month" attribute="1" defaultMemberUniqueName="[Processed_Data 1].[Month].[All]" allUniqueName="[Processed_Data 1].[Month].[All]" dimensionUniqueName="[Processed_Data 1]" displayFolder="" count="0" memberValueDatatype="20" unbalanced="0"/>
    <cacheHierarchy uniqueName="[Processed_Data 1].[Year]" caption="Year" attribute="1" defaultMemberUniqueName="[Processed_Data 1].[Year].[All]" allUniqueName="[Processed_Data 1].[Year].[All]" dimensionUniqueName="[Processed_Data 1]" displayFolder="" count="0" memberValueDatatype="20" unbalanced="0"/>
    <cacheHierarchy uniqueName="[Processed_Data 1].[Department]" caption="Department" attribute="1" defaultMemberUniqueName="[Processed_Data 1].[Department].[All]" allUniqueName="[Processed_Data 1].[Department].[All]" dimensionUniqueName="[Processed_Data 1]" displayFolder="" count="2" memberValueDatatype="130" unbalanced="0">
      <fieldsUsage count="2">
        <fieldUsage x="-1"/>
        <fieldUsage x="2"/>
      </fieldsUsage>
    </cacheHierarchy>
    <cacheHierarchy uniqueName="[Processed_Data 1].[JobRole]" caption="JobRole" attribute="1" defaultMemberUniqueName="[Processed_Data 1].[JobRole].[All]" allUniqueName="[Processed_Data 1].[JobRole].[All]" dimensionUniqueName="[Processed_Data 1]" displayFolder="" count="0" memberValueDatatype="130" unbalanced="0"/>
    <cacheHierarchy uniqueName="[Processed_Data 1].[Gender]" caption="Gender" attribute="1" defaultMemberUniqueName="[Processed_Data 1].[Gender].[All]" allUniqueName="[Processed_Data 1].[Gender].[All]" dimensionUniqueName="[Processed_Data 1]" displayFolder="" count="0" memberValueDatatype="130" unbalanced="0"/>
    <cacheHierarchy uniqueName="[Processed_Data 1].[Age]" caption="Age" attribute="1" defaultMemberUniqueName="[Processed_Data 1].[Age].[All]" allUniqueName="[Processed_Data 1].[Age].[All]" dimensionUniqueName="[Processed_Data 1]" displayFolder="" count="0" memberValueDatatype="20" unbalanced="0"/>
    <cacheHierarchy uniqueName="[Processed_Data 1].[Age_Group]" caption="Age_Group" attribute="1" defaultMemberUniqueName="[Processed_Data 1].[Age_Group].[All]" allUniqueName="[Processed_Data 1].[Age_Group].[All]" dimensionUniqueName="[Processed_Data 1]" displayFolder="" count="0" memberValueDatatype="130" unbalanced="0"/>
    <cacheHierarchy uniqueName="[Processed_Data 1].[MonthlySalary]" caption="MonthlySalary" attribute="1" defaultMemberUniqueName="[Processed_Data 1].[MonthlySalary].[All]" allUniqueName="[Processed_Data 1].[MonthlySalary].[All]" dimensionUniqueName="[Processed_Data 1]" displayFolder="" count="0" memberValueDatatype="20" unbalanced="0"/>
    <cacheHierarchy uniqueName="[Processed_Data 1].[Annual_Salary]" caption="Annual_Salary" attribute="1" defaultMemberUniqueName="[Processed_Data 1].[Annual_Salary].[All]" allUniqueName="[Processed_Data 1].[Annual_Salary].[All]" dimensionUniqueName="[Processed_Data 1]" displayFolder="" count="0" memberValueDatatype="20" unbalanced="0"/>
    <cacheHierarchy uniqueName="[Processed_Data 1].[YearsAtCompany]" caption="YearsAtCompany" attribute="1" defaultMemberUniqueName="[Processed_Data 1].[YearsAtCompany].[All]" allUniqueName="[Processed_Data 1].[YearsAtCompany].[All]" dimensionUniqueName="[Processed_Data 1]" displayFolder="" count="0" memberValueDatatype="20" unbalanced="0"/>
    <cacheHierarchy uniqueName="[Processed_Data 1].[Experience_Level]" caption="Experience_Level" attribute="1" defaultMemberUniqueName="[Processed_Data 1].[Experience_Level].[All]" allUniqueName="[Processed_Data 1].[Experience_Level].[All]" dimensionUniqueName="[Processed_Data 1]" displayFolder="" count="2" memberValueDatatype="130" unbalanced="0"/>
    <cacheHierarchy uniqueName="[Processed_Data 1].[PerformanceRating]" caption="PerformanceRating" attribute="1" defaultMemberUniqueName="[Processed_Data 1].[PerformanceRating].[All]" allUniqueName="[Processed_Data 1].[PerformanceRating].[All]" dimensionUniqueName="[Processed_Data 1]" displayFolder="" count="0" memberValueDatatype="20" unbalanced="0"/>
    <cacheHierarchy uniqueName="[Processed_Data 1].[Performance_Category]" caption="Performance_Category" attribute="1" defaultMemberUniqueName="[Processed_Data 1].[Performance_Category].[All]" allUniqueName="[Processed_Data 1].[Performance_Category].[All]" dimensionUniqueName="[Processed_Data 1]" displayFolder="" count="0" memberValueDatatype="130" unbalanced="0"/>
    <cacheHierarchy uniqueName="[Processed_Data 1].[Overtime]" caption="Overtime" attribute="1" defaultMemberUniqueName="[Processed_Data 1].[Overtime].[All]" allUniqueName="[Processed_Data 1].[Overtime].[All]" dimensionUniqueName="[Processed_Data 1]" displayFolder="" count="2" memberValueDatatype="130" unbalanced="0">
      <fieldsUsage count="2">
        <fieldUsage x="-1"/>
        <fieldUsage x="0"/>
      </fieldsUsage>
    </cacheHierarchy>
    <cacheHierarchy uniqueName="[Processed_Data 1].[WorkLocation]" caption="WorkLocation" attribute="1" defaultMemberUniqueName="[Processed_Data 1].[WorkLocation].[All]" allUniqueName="[Processed_Data 1].[WorkLocation].[All]" dimensionUniqueName="[Processed_Data 1]" displayFolder="" count="0" memberValueDatatype="130" unbalanced="0"/>
    <cacheHierarchy uniqueName="[Processed_Data 1].[Manager]" caption="Manager" attribute="1" defaultMemberUniqueName="[Processed_Data 1].[Manager].[All]" allUniqueName="[Processed_Data 1].[Manager].[All]" dimensionUniqueName="[Processed_Data 1]" displayFolder="" count="0" memberValueDatatype="130" unbalanced="0"/>
    <cacheHierarchy uniqueName="[Table1].[EmployeeID]" caption="EmployeeID" attribute="1" defaultMemberUniqueName="[Table1].[EmployeeID].[All]" allUniqueName="[Table1].[EmployeeID].[All]" dimensionUniqueName="[Table1]" displayFolder="" count="0" memberValueDatatype="20" unbalanced="0"/>
    <cacheHierarchy uniqueName="[Table1].[HireDate]" caption="HireDate" attribute="1" time="1" defaultMemberUniqueName="[Table1].[HireDate].[All]" allUniqueName="[Table1].[Hire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JobRole]" caption="JobRole" attribute="1" defaultMemberUniqueName="[Table1].[JobRole].[All]" allUniqueName="[Table1].[JobRol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MonthlySalary]" caption="MonthlySalary" attribute="1" defaultMemberUniqueName="[Table1].[MonthlySalary].[All]" allUniqueName="[Table1].[MonthlySalary].[All]" dimensionUniqueName="[Table1]" displayFolder="" count="0" memberValueDatatype="6" unbalanced="0"/>
    <cacheHierarchy uniqueName="[Table1].[Annual_Salary]" caption="Annual_Salary" attribute="1" defaultMemberUniqueName="[Table1].[Annual_Salary].[All]" allUniqueName="[Table1].[Annual_Salary].[All]" dimensionUniqueName="[Table1]" displayFolder="" count="0" memberValueDatatype="6"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Experience_Level]" caption="Experience_Level" attribute="1" defaultMemberUniqueName="[Table1].[Experience_Level].[All]" allUniqueName="[Table1].[Experience_Level].[All]" dimensionUniqueName="[Table1]" displayFolder="" count="0" memberValueDatatype="13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Performance_Category]" caption="Performance_Category" attribute="1" defaultMemberUniqueName="[Table1].[Performance_Category].[All]" allUniqueName="[Table1].[Performance_Category].[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WorkLocation]" caption="WorkLocation" attribute="1" defaultMemberUniqueName="[Table1].[WorkLocation].[All]" allUniqueName="[Table1].[WorkLocation].[All]" dimensionUniqueName="[Table1]" displayFolder="" count="0" memberValueDatatype="130" unbalanced="0"/>
    <cacheHierarchy uniqueName="[Table1].[Manager]" caption="Manager" attribute="1" defaultMemberUniqueName="[Table1].[Manager].[All]" allUniqueName="[Table1].[Manager].[All]" dimensionUniqueName="[Table1]" displayFolder="" count="0" memberValueDatatype="130" unbalanced="0"/>
    <cacheHierarchy uniqueName="[Measures].[__XL_Count Table1]" caption="__XL_Count Table1" measure="1" displayFolder="" measureGroup="Table1" count="0" hidden="1"/>
    <cacheHierarchy uniqueName="[Measures].[__XL_Count Processed_Data]" caption="__XL_Count Processed_Data" measure="1" displayFolder="" measureGroup="Processed_Data" count="0" hidden="1"/>
    <cacheHierarchy uniqueName="[Measures].[__XL_Count Processed_Data 1]" caption="__XL_Count Processed_Data 1" measure="1" displayFolder="" measureGroup="Processed_Data 1" count="0" hidden="1"/>
    <cacheHierarchy uniqueName="[Measures].[__No measures defined]" caption="__No measures defined" measure="1" displayFolder="" count="0" hidden="1"/>
    <cacheHierarchy uniqueName="[Measures].[Sum of Total_Sales]" caption="Sum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Average of Total_Sales]" caption="Average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Count of Sales_Rep]" caption="Count of Sales_Rep" measure="1" displayFolder="" measureGroup="Processed_Data" count="0" hidden="1">
      <extLst>
        <ext xmlns:x15="http://schemas.microsoft.com/office/spreadsheetml/2010/11/main" uri="{B97F6D7D-B522-45F9-BDA1-12C45D357490}">
          <x15:cacheHierarchy aggregatedColumn="11"/>
        </ext>
      </extLst>
    </cacheHierarchy>
    <cacheHierarchy uniqueName="[Measures].[Count of Product_Category]" caption="Count of Product_Category" measure="1" displayFolder="" measureGroup="Processed_Data" count="0" hidden="1">
      <extLst>
        <ext xmlns:x15="http://schemas.microsoft.com/office/spreadsheetml/2010/11/main" uri="{B97F6D7D-B522-45F9-BDA1-12C45D357490}">
          <x15:cacheHierarchy aggregatedColumn="6"/>
        </ext>
      </extLst>
    </cacheHierarchy>
    <cacheHierarchy uniqueName="[Measures].[Sum of EmployeeID]" caption="Sum of EmployeeID" measure="1" displayFolder="" measureGroup="Processed_Data 1" count="0" hidden="1">
      <extLst>
        <ext xmlns:x15="http://schemas.microsoft.com/office/spreadsheetml/2010/11/main" uri="{B97F6D7D-B522-45F9-BDA1-12C45D357490}">
          <x15:cacheHierarchy aggregatedColumn="13"/>
        </ext>
      </extLst>
    </cacheHierarchy>
    <cacheHierarchy uniqueName="[Measures].[Sum of Annual_Salary]" caption="Sum of Annual_Salary" measure="1" displayFolder="" measureGroup="Processed_Data 1" count="0" hidden="1">
      <extLst>
        <ext xmlns:x15="http://schemas.microsoft.com/office/spreadsheetml/2010/11/main" uri="{B97F6D7D-B522-45F9-BDA1-12C45D357490}">
          <x15:cacheHierarchy aggregatedColumn="23"/>
        </ext>
      </extLst>
    </cacheHierarchy>
    <cacheHierarchy uniqueName="[Measures].[Sum of PerformanceRating]" caption="Sum of PerformanceRating" measure="1" displayFolder="" measureGroup="Processed_Data 1" count="0" hidden="1">
      <extLst>
        <ext xmlns:x15="http://schemas.microsoft.com/office/spreadsheetml/2010/11/main" uri="{B97F6D7D-B522-45F9-BDA1-12C45D357490}">
          <x15:cacheHierarchy aggregatedColumn="26"/>
        </ext>
      </extLst>
    </cacheHierarchy>
    <cacheHierarchy uniqueName="[Measures].[Count of EmployeeID]" caption="Count of EmployeeID" measure="1" displayFolder="" measureGroup="Processed_Data 1" count="0" oneField="1" hidden="1">
      <fieldsUsage count="1">
        <fieldUsage x="1"/>
      </fieldsUsage>
      <extLst>
        <ext xmlns:x15="http://schemas.microsoft.com/office/spreadsheetml/2010/11/main" uri="{B97F6D7D-B522-45F9-BDA1-12C45D357490}">
          <x15:cacheHierarchy aggregatedColumn="13"/>
        </ext>
      </extLst>
    </cacheHierarchy>
    <cacheHierarchy uniqueName="[Measures].[Average of Annual_Salary]" caption="Average of Annual_Salary" measure="1" displayFolder="" measureGroup="Processed_Data 1" count="0" hidden="1">
      <extLst>
        <ext xmlns:x15="http://schemas.microsoft.com/office/spreadsheetml/2010/11/main" uri="{B97F6D7D-B522-45F9-BDA1-12C45D357490}">
          <x15:cacheHierarchy aggregatedColumn="23"/>
        </ext>
      </extLst>
    </cacheHierarchy>
    <cacheHierarchy uniqueName="[Measures].[Average of PerformanceRating]" caption="Average of PerformanceRating" measure="1" displayFolder="" measureGroup="Processed_Data 1" count="0" hidden="1">
      <extLst>
        <ext xmlns:x15="http://schemas.microsoft.com/office/spreadsheetml/2010/11/main" uri="{B97F6D7D-B522-45F9-BDA1-12C45D357490}">
          <x15:cacheHierarchy aggregatedColumn="26"/>
        </ext>
      </extLst>
    </cacheHierarchy>
    <cacheHierarchy uniqueName="[Measures].[Count of Overtime]" caption="Count of Overtime" measure="1" displayFolder="" measureGroup="Processed_Data 1" count="0" hidden="1">
      <extLst>
        <ext xmlns:x15="http://schemas.microsoft.com/office/spreadsheetml/2010/11/main" uri="{B97F6D7D-B522-45F9-BDA1-12C45D357490}">
          <x15:cacheHierarchy aggregatedColumn="28"/>
        </ext>
      </extLst>
    </cacheHierarchy>
    <cacheHierarchy uniqueName="[Measures].[Count of Performance_Category]" caption="Count of Performance_Category" measure="1" displayFolder="" measureGroup="Processed_Data 1" count="0" hidden="1">
      <extLst>
        <ext xmlns:x15="http://schemas.microsoft.com/office/spreadsheetml/2010/11/main" uri="{B97F6D7D-B522-45F9-BDA1-12C45D357490}">
          <x15:cacheHierarchy aggregatedColumn="27"/>
        </ext>
      </extLst>
    </cacheHierarchy>
  </cacheHierarchies>
  <kpis count="0"/>
  <dimensions count="4">
    <dimension measure="1" name="Measures" uniqueName="[Measures]" caption="Measures"/>
    <dimension name="Processed_Data" uniqueName="[Processed_Data]" caption="Processed_Data"/>
    <dimension name="Processed_Data 1" uniqueName="[Processed_Data 1]" caption="Processed_Data 1"/>
    <dimension name="Table1" uniqueName="[Table1]" caption="Table1"/>
  </dimensions>
  <measureGroups count="3">
    <measureGroup name="Processed_Data" caption="Processed_Data"/>
    <measureGroup name="Processed_Data 1" caption="Processed_Data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60.448885185186" backgroundQuery="1" createdVersion="8" refreshedVersion="8" minRefreshableVersion="3" recordCount="0" supportSubquery="1" supportAdvancedDrill="1" xr:uid="{90D2BA1F-50DC-4A1D-A6B7-00772686876A}">
  <cacheSource type="external" connectionId="3"/>
  <cacheFields count="3">
    <cacheField name="[Processed_Data 1].[Overtime].[Overtime]" caption="Overtime" numFmtId="0" hierarchy="28" level="1">
      <sharedItems count="2">
        <s v="No"/>
        <s v="Yes"/>
      </sharedItems>
    </cacheField>
    <cacheField name="[Processed_Data 1].[Department].[Department]" caption="Department" numFmtId="0" hierarchy="17" level="1">
      <sharedItems count="6">
        <s v="Finance"/>
        <s v="HR"/>
        <s v="IT"/>
        <s v="Marketing"/>
        <s v="Operations"/>
        <s v="Sales"/>
      </sharedItems>
    </cacheField>
    <cacheField name="[Measures].[Count of EmployeeID]" caption="Count of EmployeeID" numFmtId="0" hierarchy="62" level="32767"/>
  </cacheFields>
  <cacheHierarchies count="67">
    <cacheHierarchy uniqueName="[Processed_Data].[Order_ID]" caption="Order_ID" attribute="1" defaultMemberUniqueName="[Processed_Data].[Order_ID].[All]" allUniqueName="[Processed_Data].[Order_ID].[All]" dimensionUniqueName="[Processed_Data]" displayFolder="" count="0" memberValueDatatype="20" unbalanced="0"/>
    <cacheHierarchy uniqueName="[Processed_Data].[Order_Date]" caption="Order_Date" attribute="1" time="1" defaultMemberUniqueName="[Processed_Data].[Order_Date].[All]" allUniqueName="[Processed_Data].[Order_Date].[All]" dimensionUniqueName="[Processed_Data]" displayFolder="" count="0" memberValueDatatype="7" unbalanced="0"/>
    <cacheHierarchy uniqueName="[Processed_Data].[Month]" caption="Month" attribute="1" defaultMemberUniqueName="[Processed_Data].[Month].[All]" allUniqueName="[Processed_Data].[Month].[All]" dimensionUniqueName="[Processed_Data]" displayFolder="" count="0" memberValueDatatype="20" unbalanced="0"/>
    <cacheHierarchy uniqueName="[Processed_Data].[Year]" caption="Year" attribute="1" defaultMemberUniqueName="[Processed_Data].[Year].[All]" allUniqueName="[Processed_Data].[Year].[All]" dimensionUniqueName="[Processed_Data]" displayFolder="" count="0" memberValueDatatype="20" unbalanced="0"/>
    <cacheHierarchy uniqueName="[Processed_Data].[Customer_Name]" caption="Customer_Name" attribute="1" defaultMemberUniqueName="[Processed_Data].[Customer_Name].[All]" allUniqueName="[Processed_Data].[Customer_Name].[All]" dimensionUniqueName="[Processed_Data]" displayFolder="" count="0" memberValueDatatype="130" unbalanced="0"/>
    <cacheHierarchy uniqueName="[Processed_Data].[Region]" caption="Region" attribute="1" defaultMemberUniqueName="[Processed_Data].[Region].[All]" allUniqueName="[Processed_Data].[Region].[All]" dimensionUniqueName="[Processed_Data]" displayFolder="" count="0" memberValueDatatype="130" unbalanced="0"/>
    <cacheHierarchy uniqueName="[Processed_Data].[Product_Category]" caption="Product_Category" attribute="1" defaultMemberUniqueName="[Processed_Data].[Product_Category].[All]" allUniqueName="[Processed_Data].[Product_Category].[All]" dimensionUniqueName="[Processed_Data]" displayFolder="" count="0" memberValueDatatype="130" unbalanced="0"/>
    <cacheHierarchy uniqueName="[Processed_Data].[Product_Name]" caption="Product_Name" attribute="1" defaultMemberUniqueName="[Processed_Data].[Product_Name].[All]" allUniqueName="[Processed_Data].[Product_Name].[All]" dimensionUniqueName="[Processed_Data]" displayFolder="" count="0" memberValueDatatype="130" unbalanced="0"/>
    <cacheHierarchy uniqueName="[Processed_Data].[Quantity]" caption="Quantity" attribute="1" defaultMemberUniqueName="[Processed_Data].[Quantity].[All]" allUniqueName="[Processed_Data].[Quantity].[All]" dimensionUniqueName="[Processed_Data]" displayFolder="" count="0" memberValueDatatype="20" unbalanced="0"/>
    <cacheHierarchy uniqueName="[Processed_Data].[Unit_Price]" caption="Unit_Price" attribute="1" defaultMemberUniqueName="[Processed_Data].[Unit_Price].[All]" allUniqueName="[Processed_Data].[Unit_Price].[All]" dimensionUniqueName="[Processed_Data]" displayFolder="" count="0" memberValueDatatype="20" unbalanced="0"/>
    <cacheHierarchy uniqueName="[Processed_Data].[Total_Sales]" caption="Total_Sales" attribute="1" defaultMemberUniqueName="[Processed_Data].[Total_Sales].[All]" allUniqueName="[Processed_Data].[Total_Sales].[All]" dimensionUniqueName="[Processed_Data]" displayFolder="" count="0" memberValueDatatype="20" unbalanced="0"/>
    <cacheHierarchy uniqueName="[Processed_Data].[Sales_Rep]" caption="Sales_Rep" attribute="1" defaultMemberUniqueName="[Processed_Data].[Sales_Rep].[All]" allUniqueName="[Processed_Data].[Sales_Rep].[All]" dimensionUniqueName="[Processed_Data]" displayFolder="" count="0" memberValueDatatype="130" unbalanced="0"/>
    <cacheHierarchy uniqueName="[Processed_Data].[Sales_Level]" caption="Sales_Level" attribute="1" defaultMemberUniqueName="[Processed_Data].[Sales_Level].[All]" allUniqueName="[Processed_Data].[Sales_Level].[All]" dimensionUniqueName="[Processed_Data]" displayFolder="" count="0" memberValueDatatype="130" unbalanced="0"/>
    <cacheHierarchy uniqueName="[Processed_Data 1].[EmployeeID]" caption="EmployeeID" attribute="1" defaultMemberUniqueName="[Processed_Data 1].[EmployeeID].[All]" allUniqueName="[Processed_Data 1].[EmployeeID].[All]" dimensionUniqueName="[Processed_Data 1]" displayFolder="" count="0" memberValueDatatype="20" unbalanced="0"/>
    <cacheHierarchy uniqueName="[Processed_Data 1].[HireDate]" caption="HireDate" attribute="1" time="1" defaultMemberUniqueName="[Processed_Data 1].[HireDate].[All]" allUniqueName="[Processed_Data 1].[HireDate].[All]" dimensionUniqueName="[Processed_Data 1]" displayFolder="" count="0" memberValueDatatype="7" unbalanced="0"/>
    <cacheHierarchy uniqueName="[Processed_Data 1].[Month]" caption="Month" attribute="1" defaultMemberUniqueName="[Processed_Data 1].[Month].[All]" allUniqueName="[Processed_Data 1].[Month].[All]" dimensionUniqueName="[Processed_Data 1]" displayFolder="" count="0" memberValueDatatype="20" unbalanced="0"/>
    <cacheHierarchy uniqueName="[Processed_Data 1].[Year]" caption="Year" attribute="1" defaultMemberUniqueName="[Processed_Data 1].[Year].[All]" allUniqueName="[Processed_Data 1].[Year].[All]" dimensionUniqueName="[Processed_Data 1]" displayFolder="" count="0" memberValueDatatype="20" unbalanced="0"/>
    <cacheHierarchy uniqueName="[Processed_Data 1].[Department]" caption="Department" attribute="1" defaultMemberUniqueName="[Processed_Data 1].[Department].[All]" allUniqueName="[Processed_Data 1].[Department].[All]" dimensionUniqueName="[Processed_Data 1]" displayFolder="" count="2" memberValueDatatype="130" unbalanced="0">
      <fieldsUsage count="2">
        <fieldUsage x="-1"/>
        <fieldUsage x="1"/>
      </fieldsUsage>
    </cacheHierarchy>
    <cacheHierarchy uniqueName="[Processed_Data 1].[JobRole]" caption="JobRole" attribute="1" defaultMemberUniqueName="[Processed_Data 1].[JobRole].[All]" allUniqueName="[Processed_Data 1].[JobRole].[All]" dimensionUniqueName="[Processed_Data 1]" displayFolder="" count="0" memberValueDatatype="130" unbalanced="0"/>
    <cacheHierarchy uniqueName="[Processed_Data 1].[Gender]" caption="Gender" attribute="1" defaultMemberUniqueName="[Processed_Data 1].[Gender].[All]" allUniqueName="[Processed_Data 1].[Gender].[All]" dimensionUniqueName="[Processed_Data 1]" displayFolder="" count="0" memberValueDatatype="130" unbalanced="0"/>
    <cacheHierarchy uniqueName="[Processed_Data 1].[Age]" caption="Age" attribute="1" defaultMemberUniqueName="[Processed_Data 1].[Age].[All]" allUniqueName="[Processed_Data 1].[Age].[All]" dimensionUniqueName="[Processed_Data 1]" displayFolder="" count="0" memberValueDatatype="20" unbalanced="0"/>
    <cacheHierarchy uniqueName="[Processed_Data 1].[Age_Group]" caption="Age_Group" attribute="1" defaultMemberUniqueName="[Processed_Data 1].[Age_Group].[All]" allUniqueName="[Processed_Data 1].[Age_Group].[All]" dimensionUniqueName="[Processed_Data 1]" displayFolder="" count="0" memberValueDatatype="130" unbalanced="0"/>
    <cacheHierarchy uniqueName="[Processed_Data 1].[MonthlySalary]" caption="MonthlySalary" attribute="1" defaultMemberUniqueName="[Processed_Data 1].[MonthlySalary].[All]" allUniqueName="[Processed_Data 1].[MonthlySalary].[All]" dimensionUniqueName="[Processed_Data 1]" displayFolder="" count="0" memberValueDatatype="20" unbalanced="0"/>
    <cacheHierarchy uniqueName="[Processed_Data 1].[Annual_Salary]" caption="Annual_Salary" attribute="1" defaultMemberUniqueName="[Processed_Data 1].[Annual_Salary].[All]" allUniqueName="[Processed_Data 1].[Annual_Salary].[All]" dimensionUniqueName="[Processed_Data 1]" displayFolder="" count="0" memberValueDatatype="20" unbalanced="0"/>
    <cacheHierarchy uniqueName="[Processed_Data 1].[YearsAtCompany]" caption="YearsAtCompany" attribute="1" defaultMemberUniqueName="[Processed_Data 1].[YearsAtCompany].[All]" allUniqueName="[Processed_Data 1].[YearsAtCompany].[All]" dimensionUniqueName="[Processed_Data 1]" displayFolder="" count="0" memberValueDatatype="20" unbalanced="0"/>
    <cacheHierarchy uniqueName="[Processed_Data 1].[Experience_Level]" caption="Experience_Level" attribute="1" defaultMemberUniqueName="[Processed_Data 1].[Experience_Level].[All]" allUniqueName="[Processed_Data 1].[Experience_Level].[All]" dimensionUniqueName="[Processed_Data 1]" displayFolder="" count="2" memberValueDatatype="130" unbalanced="0"/>
    <cacheHierarchy uniqueName="[Processed_Data 1].[PerformanceRating]" caption="PerformanceRating" attribute="1" defaultMemberUniqueName="[Processed_Data 1].[PerformanceRating].[All]" allUniqueName="[Processed_Data 1].[PerformanceRating].[All]" dimensionUniqueName="[Processed_Data 1]" displayFolder="" count="0" memberValueDatatype="20" unbalanced="0"/>
    <cacheHierarchy uniqueName="[Processed_Data 1].[Performance_Category]" caption="Performance_Category" attribute="1" defaultMemberUniqueName="[Processed_Data 1].[Performance_Category].[All]" allUniqueName="[Processed_Data 1].[Performance_Category].[All]" dimensionUniqueName="[Processed_Data 1]" displayFolder="" count="0" memberValueDatatype="130" unbalanced="0"/>
    <cacheHierarchy uniqueName="[Processed_Data 1].[Overtime]" caption="Overtime" attribute="1" defaultMemberUniqueName="[Processed_Data 1].[Overtime].[All]" allUniqueName="[Processed_Data 1].[Overtime].[All]" dimensionUniqueName="[Processed_Data 1]" displayFolder="" count="2" memberValueDatatype="130" unbalanced="0">
      <fieldsUsage count="2">
        <fieldUsage x="-1"/>
        <fieldUsage x="0"/>
      </fieldsUsage>
    </cacheHierarchy>
    <cacheHierarchy uniqueName="[Processed_Data 1].[WorkLocation]" caption="WorkLocation" attribute="1" defaultMemberUniqueName="[Processed_Data 1].[WorkLocation].[All]" allUniqueName="[Processed_Data 1].[WorkLocation].[All]" dimensionUniqueName="[Processed_Data 1]" displayFolder="" count="0" memberValueDatatype="130" unbalanced="0"/>
    <cacheHierarchy uniqueName="[Processed_Data 1].[Manager]" caption="Manager" attribute="1" defaultMemberUniqueName="[Processed_Data 1].[Manager].[All]" allUniqueName="[Processed_Data 1].[Manager].[All]" dimensionUniqueName="[Processed_Data 1]" displayFolder="" count="0" memberValueDatatype="130" unbalanced="0"/>
    <cacheHierarchy uniqueName="[Table1].[EmployeeID]" caption="EmployeeID" attribute="1" defaultMemberUniqueName="[Table1].[EmployeeID].[All]" allUniqueName="[Table1].[EmployeeID].[All]" dimensionUniqueName="[Table1]" displayFolder="" count="0" memberValueDatatype="20" unbalanced="0"/>
    <cacheHierarchy uniqueName="[Table1].[HireDate]" caption="HireDate" attribute="1" time="1" defaultMemberUniqueName="[Table1].[HireDate].[All]" allUniqueName="[Table1].[Hire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JobRole]" caption="JobRole" attribute="1" defaultMemberUniqueName="[Table1].[JobRole].[All]" allUniqueName="[Table1].[JobRol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MonthlySalary]" caption="MonthlySalary" attribute="1" defaultMemberUniqueName="[Table1].[MonthlySalary].[All]" allUniqueName="[Table1].[MonthlySalary].[All]" dimensionUniqueName="[Table1]" displayFolder="" count="0" memberValueDatatype="6" unbalanced="0"/>
    <cacheHierarchy uniqueName="[Table1].[Annual_Salary]" caption="Annual_Salary" attribute="1" defaultMemberUniqueName="[Table1].[Annual_Salary].[All]" allUniqueName="[Table1].[Annual_Salary].[All]" dimensionUniqueName="[Table1]" displayFolder="" count="0" memberValueDatatype="6"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Experience_Level]" caption="Experience_Level" attribute="1" defaultMemberUniqueName="[Table1].[Experience_Level].[All]" allUniqueName="[Table1].[Experience_Level].[All]" dimensionUniqueName="[Table1]" displayFolder="" count="0" memberValueDatatype="13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Performance_Category]" caption="Performance_Category" attribute="1" defaultMemberUniqueName="[Table1].[Performance_Category].[All]" allUniqueName="[Table1].[Performance_Category].[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WorkLocation]" caption="WorkLocation" attribute="1" defaultMemberUniqueName="[Table1].[WorkLocation].[All]" allUniqueName="[Table1].[WorkLocation].[All]" dimensionUniqueName="[Table1]" displayFolder="" count="0" memberValueDatatype="130" unbalanced="0"/>
    <cacheHierarchy uniqueName="[Table1].[Manager]" caption="Manager" attribute="1" defaultMemberUniqueName="[Table1].[Manager].[All]" allUniqueName="[Table1].[Manager].[All]" dimensionUniqueName="[Table1]" displayFolder="" count="0" memberValueDatatype="130" unbalanced="0"/>
    <cacheHierarchy uniqueName="[Measures].[__XL_Count Table1]" caption="__XL_Count Table1" measure="1" displayFolder="" measureGroup="Table1" count="0" hidden="1"/>
    <cacheHierarchy uniqueName="[Measures].[__XL_Count Processed_Data]" caption="__XL_Count Processed_Data" measure="1" displayFolder="" measureGroup="Processed_Data" count="0" hidden="1"/>
    <cacheHierarchy uniqueName="[Measures].[__XL_Count Processed_Data 1]" caption="__XL_Count Processed_Data 1" measure="1" displayFolder="" measureGroup="Processed_Data 1" count="0" hidden="1"/>
    <cacheHierarchy uniqueName="[Measures].[__No measures defined]" caption="__No measures defined" measure="1" displayFolder="" count="0" hidden="1"/>
    <cacheHierarchy uniqueName="[Measures].[Sum of Total_Sales]" caption="Sum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Average of Total_Sales]" caption="Average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Count of Sales_Rep]" caption="Count of Sales_Rep" measure="1" displayFolder="" measureGroup="Processed_Data" count="0" hidden="1">
      <extLst>
        <ext xmlns:x15="http://schemas.microsoft.com/office/spreadsheetml/2010/11/main" uri="{B97F6D7D-B522-45F9-BDA1-12C45D357490}">
          <x15:cacheHierarchy aggregatedColumn="11"/>
        </ext>
      </extLst>
    </cacheHierarchy>
    <cacheHierarchy uniqueName="[Measures].[Count of Product_Category]" caption="Count of Product_Category" measure="1" displayFolder="" measureGroup="Processed_Data" count="0" hidden="1">
      <extLst>
        <ext xmlns:x15="http://schemas.microsoft.com/office/spreadsheetml/2010/11/main" uri="{B97F6D7D-B522-45F9-BDA1-12C45D357490}">
          <x15:cacheHierarchy aggregatedColumn="6"/>
        </ext>
      </extLst>
    </cacheHierarchy>
    <cacheHierarchy uniqueName="[Measures].[Sum of EmployeeID]" caption="Sum of EmployeeID" measure="1" displayFolder="" measureGroup="Processed_Data 1" count="0" hidden="1">
      <extLst>
        <ext xmlns:x15="http://schemas.microsoft.com/office/spreadsheetml/2010/11/main" uri="{B97F6D7D-B522-45F9-BDA1-12C45D357490}">
          <x15:cacheHierarchy aggregatedColumn="13"/>
        </ext>
      </extLst>
    </cacheHierarchy>
    <cacheHierarchy uniqueName="[Measures].[Sum of Annual_Salary]" caption="Sum of Annual_Salary" measure="1" displayFolder="" measureGroup="Processed_Data 1" count="0" hidden="1">
      <extLst>
        <ext xmlns:x15="http://schemas.microsoft.com/office/spreadsheetml/2010/11/main" uri="{B97F6D7D-B522-45F9-BDA1-12C45D357490}">
          <x15:cacheHierarchy aggregatedColumn="23"/>
        </ext>
      </extLst>
    </cacheHierarchy>
    <cacheHierarchy uniqueName="[Measures].[Sum of PerformanceRating]" caption="Sum of PerformanceRating" measure="1" displayFolder="" measureGroup="Processed_Data 1" count="0" hidden="1">
      <extLst>
        <ext xmlns:x15="http://schemas.microsoft.com/office/spreadsheetml/2010/11/main" uri="{B97F6D7D-B522-45F9-BDA1-12C45D357490}">
          <x15:cacheHierarchy aggregatedColumn="26"/>
        </ext>
      </extLst>
    </cacheHierarchy>
    <cacheHierarchy uniqueName="[Measures].[Count of EmployeeID]" caption="Count of EmployeeID" measure="1" displayFolder="" measureGroup="Processed_Data 1" count="0" oneField="1" hidden="1">
      <fieldsUsage count="1">
        <fieldUsage x="2"/>
      </fieldsUsage>
      <extLst>
        <ext xmlns:x15="http://schemas.microsoft.com/office/spreadsheetml/2010/11/main" uri="{B97F6D7D-B522-45F9-BDA1-12C45D357490}">
          <x15:cacheHierarchy aggregatedColumn="13"/>
        </ext>
      </extLst>
    </cacheHierarchy>
    <cacheHierarchy uniqueName="[Measures].[Average of Annual_Salary]" caption="Average of Annual_Salary" measure="1" displayFolder="" measureGroup="Processed_Data 1" count="0" hidden="1">
      <extLst>
        <ext xmlns:x15="http://schemas.microsoft.com/office/spreadsheetml/2010/11/main" uri="{B97F6D7D-B522-45F9-BDA1-12C45D357490}">
          <x15:cacheHierarchy aggregatedColumn="23"/>
        </ext>
      </extLst>
    </cacheHierarchy>
    <cacheHierarchy uniqueName="[Measures].[Average of PerformanceRating]" caption="Average of PerformanceRating" measure="1" displayFolder="" measureGroup="Processed_Data 1" count="0" hidden="1">
      <extLst>
        <ext xmlns:x15="http://schemas.microsoft.com/office/spreadsheetml/2010/11/main" uri="{B97F6D7D-B522-45F9-BDA1-12C45D357490}">
          <x15:cacheHierarchy aggregatedColumn="26"/>
        </ext>
      </extLst>
    </cacheHierarchy>
    <cacheHierarchy uniqueName="[Measures].[Count of Overtime]" caption="Count of Overtime" measure="1" displayFolder="" measureGroup="Processed_Data 1" count="0" hidden="1">
      <extLst>
        <ext xmlns:x15="http://schemas.microsoft.com/office/spreadsheetml/2010/11/main" uri="{B97F6D7D-B522-45F9-BDA1-12C45D357490}">
          <x15:cacheHierarchy aggregatedColumn="28"/>
        </ext>
      </extLst>
    </cacheHierarchy>
    <cacheHierarchy uniqueName="[Measures].[Count of Performance_Category]" caption="Count of Performance_Category" measure="1" displayFolder="" measureGroup="Processed_Data 1" count="0" hidden="1">
      <extLst>
        <ext xmlns:x15="http://schemas.microsoft.com/office/spreadsheetml/2010/11/main" uri="{B97F6D7D-B522-45F9-BDA1-12C45D357490}">
          <x15:cacheHierarchy aggregatedColumn="27"/>
        </ext>
      </extLst>
    </cacheHierarchy>
  </cacheHierarchies>
  <kpis count="0"/>
  <dimensions count="4">
    <dimension measure="1" name="Measures" uniqueName="[Measures]" caption="Measures"/>
    <dimension name="Processed_Data" uniqueName="[Processed_Data]" caption="Processed_Data"/>
    <dimension name="Processed_Data 1" uniqueName="[Processed_Data 1]" caption="Processed_Data 1"/>
    <dimension name="Table1" uniqueName="[Table1]" caption="Table1"/>
  </dimensions>
  <measureGroups count="3">
    <measureGroup name="Processed_Data" caption="Processed_Data"/>
    <measureGroup name="Processed_Data 1" caption="Processed_Data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60.448885879632" backgroundQuery="1" createdVersion="8" refreshedVersion="8" minRefreshableVersion="3" recordCount="0" supportSubquery="1" supportAdvancedDrill="1" xr:uid="{4A376E4A-8A9C-4DCE-B2E2-9CF217DAC50B}">
  <cacheSource type="external" connectionId="3"/>
  <cacheFields count="3">
    <cacheField name="[Processed_Data 1].[Overtime].[Overtime]" caption="Overtime" numFmtId="0" hierarchy="28" level="1">
      <sharedItems count="2">
        <s v="No"/>
        <s v="Yes"/>
      </sharedItems>
    </cacheField>
    <cacheField name="[Processed_Data 1].[Department].[Department]" caption="Department" numFmtId="0" hierarchy="17" level="1">
      <sharedItems count="6">
        <s v="Finance"/>
        <s v="HR"/>
        <s v="IT"/>
        <s v="Marketing"/>
        <s v="Operations"/>
        <s v="Sales"/>
      </sharedItems>
    </cacheField>
    <cacheField name="[Measures].[Count of EmployeeID]" caption="Count of EmployeeID" numFmtId="0" hierarchy="62" level="32767"/>
  </cacheFields>
  <cacheHierarchies count="67">
    <cacheHierarchy uniqueName="[Processed_Data].[Order_ID]" caption="Order_ID" attribute="1" defaultMemberUniqueName="[Processed_Data].[Order_ID].[All]" allUniqueName="[Processed_Data].[Order_ID].[All]" dimensionUniqueName="[Processed_Data]" displayFolder="" count="0" memberValueDatatype="20" unbalanced="0"/>
    <cacheHierarchy uniqueName="[Processed_Data].[Order_Date]" caption="Order_Date" attribute="1" time="1" defaultMemberUniqueName="[Processed_Data].[Order_Date].[All]" allUniqueName="[Processed_Data].[Order_Date].[All]" dimensionUniqueName="[Processed_Data]" displayFolder="" count="0" memberValueDatatype="7" unbalanced="0"/>
    <cacheHierarchy uniqueName="[Processed_Data].[Month]" caption="Month" attribute="1" defaultMemberUniqueName="[Processed_Data].[Month].[All]" allUniqueName="[Processed_Data].[Month].[All]" dimensionUniqueName="[Processed_Data]" displayFolder="" count="0" memberValueDatatype="20" unbalanced="0"/>
    <cacheHierarchy uniqueName="[Processed_Data].[Year]" caption="Year" attribute="1" defaultMemberUniqueName="[Processed_Data].[Year].[All]" allUniqueName="[Processed_Data].[Year].[All]" dimensionUniqueName="[Processed_Data]" displayFolder="" count="0" memberValueDatatype="20" unbalanced="0"/>
    <cacheHierarchy uniqueName="[Processed_Data].[Customer_Name]" caption="Customer_Name" attribute="1" defaultMemberUniqueName="[Processed_Data].[Customer_Name].[All]" allUniqueName="[Processed_Data].[Customer_Name].[All]" dimensionUniqueName="[Processed_Data]" displayFolder="" count="0" memberValueDatatype="130" unbalanced="0"/>
    <cacheHierarchy uniqueName="[Processed_Data].[Region]" caption="Region" attribute="1" defaultMemberUniqueName="[Processed_Data].[Region].[All]" allUniqueName="[Processed_Data].[Region].[All]" dimensionUniqueName="[Processed_Data]" displayFolder="" count="0" memberValueDatatype="130" unbalanced="0"/>
    <cacheHierarchy uniqueName="[Processed_Data].[Product_Category]" caption="Product_Category" attribute="1" defaultMemberUniqueName="[Processed_Data].[Product_Category].[All]" allUniqueName="[Processed_Data].[Product_Category].[All]" dimensionUniqueName="[Processed_Data]" displayFolder="" count="0" memberValueDatatype="130" unbalanced="0"/>
    <cacheHierarchy uniqueName="[Processed_Data].[Product_Name]" caption="Product_Name" attribute="1" defaultMemberUniqueName="[Processed_Data].[Product_Name].[All]" allUniqueName="[Processed_Data].[Product_Name].[All]" dimensionUniqueName="[Processed_Data]" displayFolder="" count="0" memberValueDatatype="130" unbalanced="0"/>
    <cacheHierarchy uniqueName="[Processed_Data].[Quantity]" caption="Quantity" attribute="1" defaultMemberUniqueName="[Processed_Data].[Quantity].[All]" allUniqueName="[Processed_Data].[Quantity].[All]" dimensionUniqueName="[Processed_Data]" displayFolder="" count="0" memberValueDatatype="20" unbalanced="0"/>
    <cacheHierarchy uniqueName="[Processed_Data].[Unit_Price]" caption="Unit_Price" attribute="1" defaultMemberUniqueName="[Processed_Data].[Unit_Price].[All]" allUniqueName="[Processed_Data].[Unit_Price].[All]" dimensionUniqueName="[Processed_Data]" displayFolder="" count="0" memberValueDatatype="20" unbalanced="0"/>
    <cacheHierarchy uniqueName="[Processed_Data].[Total_Sales]" caption="Total_Sales" attribute="1" defaultMemberUniqueName="[Processed_Data].[Total_Sales].[All]" allUniqueName="[Processed_Data].[Total_Sales].[All]" dimensionUniqueName="[Processed_Data]" displayFolder="" count="0" memberValueDatatype="20" unbalanced="0"/>
    <cacheHierarchy uniqueName="[Processed_Data].[Sales_Rep]" caption="Sales_Rep" attribute="1" defaultMemberUniqueName="[Processed_Data].[Sales_Rep].[All]" allUniqueName="[Processed_Data].[Sales_Rep].[All]" dimensionUniqueName="[Processed_Data]" displayFolder="" count="0" memberValueDatatype="130" unbalanced="0"/>
    <cacheHierarchy uniqueName="[Processed_Data].[Sales_Level]" caption="Sales_Level" attribute="1" defaultMemberUniqueName="[Processed_Data].[Sales_Level].[All]" allUniqueName="[Processed_Data].[Sales_Level].[All]" dimensionUniqueName="[Processed_Data]" displayFolder="" count="0" memberValueDatatype="130" unbalanced="0"/>
    <cacheHierarchy uniqueName="[Processed_Data 1].[EmployeeID]" caption="EmployeeID" attribute="1" defaultMemberUniqueName="[Processed_Data 1].[EmployeeID].[All]" allUniqueName="[Processed_Data 1].[EmployeeID].[All]" dimensionUniqueName="[Processed_Data 1]" displayFolder="" count="0" memberValueDatatype="20" unbalanced="0"/>
    <cacheHierarchy uniqueName="[Processed_Data 1].[HireDate]" caption="HireDate" attribute="1" time="1" defaultMemberUniqueName="[Processed_Data 1].[HireDate].[All]" allUniqueName="[Processed_Data 1].[HireDate].[All]" dimensionUniqueName="[Processed_Data 1]" displayFolder="" count="0" memberValueDatatype="7" unbalanced="0"/>
    <cacheHierarchy uniqueName="[Processed_Data 1].[Month]" caption="Month" attribute="1" defaultMemberUniqueName="[Processed_Data 1].[Month].[All]" allUniqueName="[Processed_Data 1].[Month].[All]" dimensionUniqueName="[Processed_Data 1]" displayFolder="" count="0" memberValueDatatype="20" unbalanced="0"/>
    <cacheHierarchy uniqueName="[Processed_Data 1].[Year]" caption="Year" attribute="1" defaultMemberUniqueName="[Processed_Data 1].[Year].[All]" allUniqueName="[Processed_Data 1].[Year].[All]" dimensionUniqueName="[Processed_Data 1]" displayFolder="" count="0" memberValueDatatype="20" unbalanced="0"/>
    <cacheHierarchy uniqueName="[Processed_Data 1].[Department]" caption="Department" attribute="1" defaultMemberUniqueName="[Processed_Data 1].[Department].[All]" allUniqueName="[Processed_Data 1].[Department].[All]" dimensionUniqueName="[Processed_Data 1]" displayFolder="" count="2" memberValueDatatype="130" unbalanced="0">
      <fieldsUsage count="2">
        <fieldUsage x="-1"/>
        <fieldUsage x="1"/>
      </fieldsUsage>
    </cacheHierarchy>
    <cacheHierarchy uniqueName="[Processed_Data 1].[JobRole]" caption="JobRole" attribute="1" defaultMemberUniqueName="[Processed_Data 1].[JobRole].[All]" allUniqueName="[Processed_Data 1].[JobRole].[All]" dimensionUniqueName="[Processed_Data 1]" displayFolder="" count="0" memberValueDatatype="130" unbalanced="0"/>
    <cacheHierarchy uniqueName="[Processed_Data 1].[Gender]" caption="Gender" attribute="1" defaultMemberUniqueName="[Processed_Data 1].[Gender].[All]" allUniqueName="[Processed_Data 1].[Gender].[All]" dimensionUniqueName="[Processed_Data 1]" displayFolder="" count="0" memberValueDatatype="130" unbalanced="0"/>
    <cacheHierarchy uniqueName="[Processed_Data 1].[Age]" caption="Age" attribute="1" defaultMemberUniqueName="[Processed_Data 1].[Age].[All]" allUniqueName="[Processed_Data 1].[Age].[All]" dimensionUniqueName="[Processed_Data 1]" displayFolder="" count="0" memberValueDatatype="20" unbalanced="0"/>
    <cacheHierarchy uniqueName="[Processed_Data 1].[Age_Group]" caption="Age_Group" attribute="1" defaultMemberUniqueName="[Processed_Data 1].[Age_Group].[All]" allUniqueName="[Processed_Data 1].[Age_Group].[All]" dimensionUniqueName="[Processed_Data 1]" displayFolder="" count="0" memberValueDatatype="130" unbalanced="0"/>
    <cacheHierarchy uniqueName="[Processed_Data 1].[MonthlySalary]" caption="MonthlySalary" attribute="1" defaultMemberUniqueName="[Processed_Data 1].[MonthlySalary].[All]" allUniqueName="[Processed_Data 1].[MonthlySalary].[All]" dimensionUniqueName="[Processed_Data 1]" displayFolder="" count="0" memberValueDatatype="20" unbalanced="0"/>
    <cacheHierarchy uniqueName="[Processed_Data 1].[Annual_Salary]" caption="Annual_Salary" attribute="1" defaultMemberUniqueName="[Processed_Data 1].[Annual_Salary].[All]" allUniqueName="[Processed_Data 1].[Annual_Salary].[All]" dimensionUniqueName="[Processed_Data 1]" displayFolder="" count="0" memberValueDatatype="20" unbalanced="0"/>
    <cacheHierarchy uniqueName="[Processed_Data 1].[YearsAtCompany]" caption="YearsAtCompany" attribute="1" defaultMemberUniqueName="[Processed_Data 1].[YearsAtCompany].[All]" allUniqueName="[Processed_Data 1].[YearsAtCompany].[All]" dimensionUniqueName="[Processed_Data 1]" displayFolder="" count="0" memberValueDatatype="20" unbalanced="0"/>
    <cacheHierarchy uniqueName="[Processed_Data 1].[Experience_Level]" caption="Experience_Level" attribute="1" defaultMemberUniqueName="[Processed_Data 1].[Experience_Level].[All]" allUniqueName="[Processed_Data 1].[Experience_Level].[All]" dimensionUniqueName="[Processed_Data 1]" displayFolder="" count="2" memberValueDatatype="130" unbalanced="0"/>
    <cacheHierarchy uniqueName="[Processed_Data 1].[PerformanceRating]" caption="PerformanceRating" attribute="1" defaultMemberUniqueName="[Processed_Data 1].[PerformanceRating].[All]" allUniqueName="[Processed_Data 1].[PerformanceRating].[All]" dimensionUniqueName="[Processed_Data 1]" displayFolder="" count="0" memberValueDatatype="20" unbalanced="0"/>
    <cacheHierarchy uniqueName="[Processed_Data 1].[Performance_Category]" caption="Performance_Category" attribute="1" defaultMemberUniqueName="[Processed_Data 1].[Performance_Category].[All]" allUniqueName="[Processed_Data 1].[Performance_Category].[All]" dimensionUniqueName="[Processed_Data 1]" displayFolder="" count="0" memberValueDatatype="130" unbalanced="0"/>
    <cacheHierarchy uniqueName="[Processed_Data 1].[Overtime]" caption="Overtime" attribute="1" defaultMemberUniqueName="[Processed_Data 1].[Overtime].[All]" allUniqueName="[Processed_Data 1].[Overtime].[All]" dimensionUniqueName="[Processed_Data 1]" displayFolder="" count="2" memberValueDatatype="130" unbalanced="0">
      <fieldsUsage count="2">
        <fieldUsage x="-1"/>
        <fieldUsage x="0"/>
      </fieldsUsage>
    </cacheHierarchy>
    <cacheHierarchy uniqueName="[Processed_Data 1].[WorkLocation]" caption="WorkLocation" attribute="1" defaultMemberUniqueName="[Processed_Data 1].[WorkLocation].[All]" allUniqueName="[Processed_Data 1].[WorkLocation].[All]" dimensionUniqueName="[Processed_Data 1]" displayFolder="" count="0" memberValueDatatype="130" unbalanced="0"/>
    <cacheHierarchy uniqueName="[Processed_Data 1].[Manager]" caption="Manager" attribute="1" defaultMemberUniqueName="[Processed_Data 1].[Manager].[All]" allUniqueName="[Processed_Data 1].[Manager].[All]" dimensionUniqueName="[Processed_Data 1]" displayFolder="" count="0" memberValueDatatype="130" unbalanced="0"/>
    <cacheHierarchy uniqueName="[Table1].[EmployeeID]" caption="EmployeeID" attribute="1" defaultMemberUniqueName="[Table1].[EmployeeID].[All]" allUniqueName="[Table1].[EmployeeID].[All]" dimensionUniqueName="[Table1]" displayFolder="" count="0" memberValueDatatype="20" unbalanced="0"/>
    <cacheHierarchy uniqueName="[Table1].[HireDate]" caption="HireDate" attribute="1" time="1" defaultMemberUniqueName="[Table1].[HireDate].[All]" allUniqueName="[Table1].[Hire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JobRole]" caption="JobRole" attribute="1" defaultMemberUniqueName="[Table1].[JobRole].[All]" allUniqueName="[Table1].[JobRol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MonthlySalary]" caption="MonthlySalary" attribute="1" defaultMemberUniqueName="[Table1].[MonthlySalary].[All]" allUniqueName="[Table1].[MonthlySalary].[All]" dimensionUniqueName="[Table1]" displayFolder="" count="0" memberValueDatatype="6" unbalanced="0"/>
    <cacheHierarchy uniqueName="[Table1].[Annual_Salary]" caption="Annual_Salary" attribute="1" defaultMemberUniqueName="[Table1].[Annual_Salary].[All]" allUniqueName="[Table1].[Annual_Salary].[All]" dimensionUniqueName="[Table1]" displayFolder="" count="0" memberValueDatatype="6"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Experience_Level]" caption="Experience_Level" attribute="1" defaultMemberUniqueName="[Table1].[Experience_Level].[All]" allUniqueName="[Table1].[Experience_Level].[All]" dimensionUniqueName="[Table1]" displayFolder="" count="0" memberValueDatatype="13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Performance_Category]" caption="Performance_Category" attribute="1" defaultMemberUniqueName="[Table1].[Performance_Category].[All]" allUniqueName="[Table1].[Performance_Category].[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WorkLocation]" caption="WorkLocation" attribute="1" defaultMemberUniqueName="[Table1].[WorkLocation].[All]" allUniqueName="[Table1].[WorkLocation].[All]" dimensionUniqueName="[Table1]" displayFolder="" count="0" memberValueDatatype="130" unbalanced="0"/>
    <cacheHierarchy uniqueName="[Table1].[Manager]" caption="Manager" attribute="1" defaultMemberUniqueName="[Table1].[Manager].[All]" allUniqueName="[Table1].[Manager].[All]" dimensionUniqueName="[Table1]" displayFolder="" count="0" memberValueDatatype="130" unbalanced="0"/>
    <cacheHierarchy uniqueName="[Measures].[__XL_Count Table1]" caption="__XL_Count Table1" measure="1" displayFolder="" measureGroup="Table1" count="0" hidden="1"/>
    <cacheHierarchy uniqueName="[Measures].[__XL_Count Processed_Data]" caption="__XL_Count Processed_Data" measure="1" displayFolder="" measureGroup="Processed_Data" count="0" hidden="1"/>
    <cacheHierarchy uniqueName="[Measures].[__XL_Count Processed_Data 1]" caption="__XL_Count Processed_Data 1" measure="1" displayFolder="" measureGroup="Processed_Data 1" count="0" hidden="1"/>
    <cacheHierarchy uniqueName="[Measures].[__No measures defined]" caption="__No measures defined" measure="1" displayFolder="" count="0" hidden="1"/>
    <cacheHierarchy uniqueName="[Measures].[Sum of Total_Sales]" caption="Sum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Average of Total_Sales]" caption="Average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Count of Sales_Rep]" caption="Count of Sales_Rep" measure="1" displayFolder="" measureGroup="Processed_Data" count="0" hidden="1">
      <extLst>
        <ext xmlns:x15="http://schemas.microsoft.com/office/spreadsheetml/2010/11/main" uri="{B97F6D7D-B522-45F9-BDA1-12C45D357490}">
          <x15:cacheHierarchy aggregatedColumn="11"/>
        </ext>
      </extLst>
    </cacheHierarchy>
    <cacheHierarchy uniqueName="[Measures].[Count of Product_Category]" caption="Count of Product_Category" measure="1" displayFolder="" measureGroup="Processed_Data" count="0" hidden="1">
      <extLst>
        <ext xmlns:x15="http://schemas.microsoft.com/office/spreadsheetml/2010/11/main" uri="{B97F6D7D-B522-45F9-BDA1-12C45D357490}">
          <x15:cacheHierarchy aggregatedColumn="6"/>
        </ext>
      </extLst>
    </cacheHierarchy>
    <cacheHierarchy uniqueName="[Measures].[Sum of EmployeeID]" caption="Sum of EmployeeID" measure="1" displayFolder="" measureGroup="Processed_Data 1" count="0" hidden="1">
      <extLst>
        <ext xmlns:x15="http://schemas.microsoft.com/office/spreadsheetml/2010/11/main" uri="{B97F6D7D-B522-45F9-BDA1-12C45D357490}">
          <x15:cacheHierarchy aggregatedColumn="13"/>
        </ext>
      </extLst>
    </cacheHierarchy>
    <cacheHierarchy uniqueName="[Measures].[Sum of Annual_Salary]" caption="Sum of Annual_Salary" measure="1" displayFolder="" measureGroup="Processed_Data 1" count="0" hidden="1">
      <extLst>
        <ext xmlns:x15="http://schemas.microsoft.com/office/spreadsheetml/2010/11/main" uri="{B97F6D7D-B522-45F9-BDA1-12C45D357490}">
          <x15:cacheHierarchy aggregatedColumn="23"/>
        </ext>
      </extLst>
    </cacheHierarchy>
    <cacheHierarchy uniqueName="[Measures].[Sum of PerformanceRating]" caption="Sum of PerformanceRating" measure="1" displayFolder="" measureGroup="Processed_Data 1" count="0" hidden="1">
      <extLst>
        <ext xmlns:x15="http://schemas.microsoft.com/office/spreadsheetml/2010/11/main" uri="{B97F6D7D-B522-45F9-BDA1-12C45D357490}">
          <x15:cacheHierarchy aggregatedColumn="26"/>
        </ext>
      </extLst>
    </cacheHierarchy>
    <cacheHierarchy uniqueName="[Measures].[Count of EmployeeID]" caption="Count of EmployeeID" measure="1" displayFolder="" measureGroup="Processed_Data 1" count="0" oneField="1" hidden="1">
      <fieldsUsage count="1">
        <fieldUsage x="2"/>
      </fieldsUsage>
      <extLst>
        <ext xmlns:x15="http://schemas.microsoft.com/office/spreadsheetml/2010/11/main" uri="{B97F6D7D-B522-45F9-BDA1-12C45D357490}">
          <x15:cacheHierarchy aggregatedColumn="13"/>
        </ext>
      </extLst>
    </cacheHierarchy>
    <cacheHierarchy uniqueName="[Measures].[Average of Annual_Salary]" caption="Average of Annual_Salary" measure="1" displayFolder="" measureGroup="Processed_Data 1" count="0" hidden="1">
      <extLst>
        <ext xmlns:x15="http://schemas.microsoft.com/office/spreadsheetml/2010/11/main" uri="{B97F6D7D-B522-45F9-BDA1-12C45D357490}">
          <x15:cacheHierarchy aggregatedColumn="23"/>
        </ext>
      </extLst>
    </cacheHierarchy>
    <cacheHierarchy uniqueName="[Measures].[Average of PerformanceRating]" caption="Average of PerformanceRating" measure="1" displayFolder="" measureGroup="Processed_Data 1" count="0" hidden="1">
      <extLst>
        <ext xmlns:x15="http://schemas.microsoft.com/office/spreadsheetml/2010/11/main" uri="{B97F6D7D-B522-45F9-BDA1-12C45D357490}">
          <x15:cacheHierarchy aggregatedColumn="26"/>
        </ext>
      </extLst>
    </cacheHierarchy>
    <cacheHierarchy uniqueName="[Measures].[Count of Overtime]" caption="Count of Overtime" measure="1" displayFolder="" measureGroup="Processed_Data 1" count="0" hidden="1">
      <extLst>
        <ext xmlns:x15="http://schemas.microsoft.com/office/spreadsheetml/2010/11/main" uri="{B97F6D7D-B522-45F9-BDA1-12C45D357490}">
          <x15:cacheHierarchy aggregatedColumn="28"/>
        </ext>
      </extLst>
    </cacheHierarchy>
    <cacheHierarchy uniqueName="[Measures].[Count of Performance_Category]" caption="Count of Performance_Category" measure="1" displayFolder="" measureGroup="Processed_Data 1" count="0" hidden="1">
      <extLst>
        <ext xmlns:x15="http://schemas.microsoft.com/office/spreadsheetml/2010/11/main" uri="{B97F6D7D-B522-45F9-BDA1-12C45D357490}">
          <x15:cacheHierarchy aggregatedColumn="27"/>
        </ext>
      </extLst>
    </cacheHierarchy>
  </cacheHierarchies>
  <kpis count="0"/>
  <dimensions count="4">
    <dimension measure="1" name="Measures" uniqueName="[Measures]" caption="Measures"/>
    <dimension name="Processed_Data" uniqueName="[Processed_Data]" caption="Processed_Data"/>
    <dimension name="Processed_Data 1" uniqueName="[Processed_Data 1]" caption="Processed_Data 1"/>
    <dimension name="Table1" uniqueName="[Table1]" caption="Table1"/>
  </dimensions>
  <measureGroups count="3">
    <measureGroup name="Processed_Data" caption="Processed_Data"/>
    <measureGroup name="Processed_Data 1" caption="Processed_Data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60.448886458333" backgroundQuery="1" createdVersion="8" refreshedVersion="8" minRefreshableVersion="3" recordCount="0" supportSubquery="1" supportAdvancedDrill="1" xr:uid="{22077562-DE1A-40BB-AE08-1F5BDE28864C}">
  <cacheSource type="external" connectionId="3"/>
  <cacheFields count="2">
    <cacheField name="[Processed_Data 1].[Department].[Department]" caption="Department" numFmtId="0" hierarchy="17" level="1">
      <sharedItems count="6">
        <s v="Finance"/>
        <s v="HR"/>
        <s v="IT"/>
        <s v="Marketing"/>
        <s v="Operations"/>
        <s v="Sales"/>
      </sharedItems>
    </cacheField>
    <cacheField name="[Measures].[Count of EmployeeID]" caption="Count of EmployeeID" numFmtId="0" hierarchy="62" level="32767"/>
  </cacheFields>
  <cacheHierarchies count="67">
    <cacheHierarchy uniqueName="[Processed_Data].[Order_ID]" caption="Order_ID" attribute="1" defaultMemberUniqueName="[Processed_Data].[Order_ID].[All]" allUniqueName="[Processed_Data].[Order_ID].[All]" dimensionUniqueName="[Processed_Data]" displayFolder="" count="2" memberValueDatatype="20" unbalanced="0"/>
    <cacheHierarchy uniqueName="[Processed_Data].[Order_Date]" caption="Order_Date" attribute="1" time="1" defaultMemberUniqueName="[Processed_Data].[Order_Date].[All]" allUniqueName="[Processed_Data].[Order_Date].[All]" dimensionUniqueName="[Processed_Data]" displayFolder="" count="2" memberValueDatatype="7" unbalanced="0"/>
    <cacheHierarchy uniqueName="[Processed_Data].[Month]" caption="Month" attribute="1" defaultMemberUniqueName="[Processed_Data].[Month].[All]" allUniqueName="[Processed_Data].[Month].[All]" dimensionUniqueName="[Processed_Data]" displayFolder="" count="2" memberValueDatatype="20" unbalanced="0"/>
    <cacheHierarchy uniqueName="[Processed_Data].[Year]" caption="Year" attribute="1" defaultMemberUniqueName="[Processed_Data].[Year].[All]" allUniqueName="[Processed_Data].[Year].[All]" dimensionUniqueName="[Processed_Data]" displayFolder="" count="2" memberValueDatatype="20" unbalanced="0"/>
    <cacheHierarchy uniqueName="[Processed_Data].[Customer_Name]" caption="Customer_Name" attribute="1" defaultMemberUniqueName="[Processed_Data].[Customer_Name].[All]" allUniqueName="[Processed_Data].[Customer_Name].[All]" dimensionUniqueName="[Processed_Data]" displayFolder="" count="2" memberValueDatatype="130" unbalanced="0"/>
    <cacheHierarchy uniqueName="[Processed_Data].[Region]" caption="Region" attribute="1" defaultMemberUniqueName="[Processed_Data].[Region].[All]" allUniqueName="[Processed_Data].[Region].[All]" dimensionUniqueName="[Processed_Data]" displayFolder="" count="2" memberValueDatatype="130" unbalanced="0"/>
    <cacheHierarchy uniqueName="[Processed_Data].[Product_Category]" caption="Product_Category" attribute="1" defaultMemberUniqueName="[Processed_Data].[Product_Category].[All]" allUniqueName="[Processed_Data].[Product_Category].[All]" dimensionUniqueName="[Processed_Data]" displayFolder="" count="2" memberValueDatatype="130" unbalanced="0"/>
    <cacheHierarchy uniqueName="[Processed_Data].[Product_Name]" caption="Product_Name" attribute="1" defaultMemberUniqueName="[Processed_Data].[Product_Name].[All]" allUniqueName="[Processed_Data].[Product_Name].[All]" dimensionUniqueName="[Processed_Data]" displayFolder="" count="2" memberValueDatatype="130" unbalanced="0"/>
    <cacheHierarchy uniqueName="[Processed_Data].[Quantity]" caption="Quantity" attribute="1" defaultMemberUniqueName="[Processed_Data].[Quantity].[All]" allUniqueName="[Processed_Data].[Quantity].[All]" dimensionUniqueName="[Processed_Data]" displayFolder="" count="2" memberValueDatatype="20" unbalanced="0"/>
    <cacheHierarchy uniqueName="[Processed_Data].[Unit_Price]" caption="Unit_Price" attribute="1" defaultMemberUniqueName="[Processed_Data].[Unit_Price].[All]" allUniqueName="[Processed_Data].[Unit_Price].[All]" dimensionUniqueName="[Processed_Data]" displayFolder="" count="2" memberValueDatatype="20" unbalanced="0"/>
    <cacheHierarchy uniqueName="[Processed_Data].[Total_Sales]" caption="Total_Sales" attribute="1" defaultMemberUniqueName="[Processed_Data].[Total_Sales].[All]" allUniqueName="[Processed_Data].[Total_Sales].[All]" dimensionUniqueName="[Processed_Data]" displayFolder="" count="2" memberValueDatatype="20" unbalanced="0"/>
    <cacheHierarchy uniqueName="[Processed_Data].[Sales_Rep]" caption="Sales_Rep" attribute="1" defaultMemberUniqueName="[Processed_Data].[Sales_Rep].[All]" allUniqueName="[Processed_Data].[Sales_Rep].[All]" dimensionUniqueName="[Processed_Data]" displayFolder="" count="2" memberValueDatatype="130" unbalanced="0"/>
    <cacheHierarchy uniqueName="[Processed_Data].[Sales_Level]" caption="Sales_Level" attribute="1" defaultMemberUniqueName="[Processed_Data].[Sales_Level].[All]" allUniqueName="[Processed_Data].[Sales_Level].[All]" dimensionUniqueName="[Processed_Data]" displayFolder="" count="2" memberValueDatatype="130" unbalanced="0"/>
    <cacheHierarchy uniqueName="[Processed_Data 1].[EmployeeID]" caption="EmployeeID" attribute="1" defaultMemberUniqueName="[Processed_Data 1].[EmployeeID].[All]" allUniqueName="[Processed_Data 1].[EmployeeID].[All]" dimensionUniqueName="[Processed_Data 1]" displayFolder="" count="2" memberValueDatatype="20" unbalanced="0"/>
    <cacheHierarchy uniqueName="[Processed_Data 1].[HireDate]" caption="HireDate" attribute="1" time="1" defaultMemberUniqueName="[Processed_Data 1].[HireDate].[All]" allUniqueName="[Processed_Data 1].[HireDate].[All]" dimensionUniqueName="[Processed_Data 1]" displayFolder="" count="2" memberValueDatatype="7" unbalanced="0"/>
    <cacheHierarchy uniqueName="[Processed_Data 1].[Month]" caption="Month" attribute="1" defaultMemberUniqueName="[Processed_Data 1].[Month].[All]" allUniqueName="[Processed_Data 1].[Month].[All]" dimensionUniqueName="[Processed_Data 1]" displayFolder="" count="2" memberValueDatatype="20" unbalanced="0"/>
    <cacheHierarchy uniqueName="[Processed_Data 1].[Year]" caption="Year" attribute="1" defaultMemberUniqueName="[Processed_Data 1].[Year].[All]" allUniqueName="[Processed_Data 1].[Year].[All]" dimensionUniqueName="[Processed_Data 1]" displayFolder="" count="2" memberValueDatatype="20" unbalanced="0"/>
    <cacheHierarchy uniqueName="[Processed_Data 1].[Department]" caption="Department" attribute="1" defaultMemberUniqueName="[Processed_Data 1].[Department].[All]" allUniqueName="[Processed_Data 1].[Department].[All]" dimensionUniqueName="[Processed_Data 1]" displayFolder="" count="2" memberValueDatatype="130" unbalanced="0">
      <fieldsUsage count="2">
        <fieldUsage x="-1"/>
        <fieldUsage x="0"/>
      </fieldsUsage>
    </cacheHierarchy>
    <cacheHierarchy uniqueName="[Processed_Data 1].[JobRole]" caption="JobRole" attribute="1" defaultMemberUniqueName="[Processed_Data 1].[JobRole].[All]" allUniqueName="[Processed_Data 1].[JobRole].[All]" dimensionUniqueName="[Processed_Data 1]" displayFolder="" count="2" memberValueDatatype="130" unbalanced="0"/>
    <cacheHierarchy uniqueName="[Processed_Data 1].[Gender]" caption="Gender" attribute="1" defaultMemberUniqueName="[Processed_Data 1].[Gender].[All]" allUniqueName="[Processed_Data 1].[Gender].[All]" dimensionUniqueName="[Processed_Data 1]" displayFolder="" count="2" memberValueDatatype="130" unbalanced="0"/>
    <cacheHierarchy uniqueName="[Processed_Data 1].[Age]" caption="Age" attribute="1" defaultMemberUniqueName="[Processed_Data 1].[Age].[All]" allUniqueName="[Processed_Data 1].[Age].[All]" dimensionUniqueName="[Processed_Data 1]" displayFolder="" count="2" memberValueDatatype="20" unbalanced="0"/>
    <cacheHierarchy uniqueName="[Processed_Data 1].[Age_Group]" caption="Age_Group" attribute="1" defaultMemberUniqueName="[Processed_Data 1].[Age_Group].[All]" allUniqueName="[Processed_Data 1].[Age_Group].[All]" dimensionUniqueName="[Processed_Data 1]" displayFolder="" count="2" memberValueDatatype="130" unbalanced="0"/>
    <cacheHierarchy uniqueName="[Processed_Data 1].[MonthlySalary]" caption="MonthlySalary" attribute="1" defaultMemberUniqueName="[Processed_Data 1].[MonthlySalary].[All]" allUniqueName="[Processed_Data 1].[MonthlySalary].[All]" dimensionUniqueName="[Processed_Data 1]" displayFolder="" count="2" memberValueDatatype="20" unbalanced="0"/>
    <cacheHierarchy uniqueName="[Processed_Data 1].[Annual_Salary]" caption="Annual_Salary" attribute="1" defaultMemberUniqueName="[Processed_Data 1].[Annual_Salary].[All]" allUniqueName="[Processed_Data 1].[Annual_Salary].[All]" dimensionUniqueName="[Processed_Data 1]" displayFolder="" count="2" memberValueDatatype="20" unbalanced="0"/>
    <cacheHierarchy uniqueName="[Processed_Data 1].[YearsAtCompany]" caption="YearsAtCompany" attribute="1" defaultMemberUniqueName="[Processed_Data 1].[YearsAtCompany].[All]" allUniqueName="[Processed_Data 1].[YearsAtCompany].[All]" dimensionUniqueName="[Processed_Data 1]" displayFolder="" count="2" memberValueDatatype="20" unbalanced="0"/>
    <cacheHierarchy uniqueName="[Processed_Data 1].[Experience_Level]" caption="Experience_Level" attribute="1" defaultMemberUniqueName="[Processed_Data 1].[Experience_Level].[All]" allUniqueName="[Processed_Data 1].[Experience_Level].[All]" dimensionUniqueName="[Processed_Data 1]" displayFolder="" count="2" memberValueDatatype="130" unbalanced="0"/>
    <cacheHierarchy uniqueName="[Processed_Data 1].[PerformanceRating]" caption="PerformanceRating" attribute="1" defaultMemberUniqueName="[Processed_Data 1].[PerformanceRating].[All]" allUniqueName="[Processed_Data 1].[PerformanceRating].[All]" dimensionUniqueName="[Processed_Data 1]" displayFolder="" count="2" memberValueDatatype="20" unbalanced="0"/>
    <cacheHierarchy uniqueName="[Processed_Data 1].[Performance_Category]" caption="Performance_Category" attribute="1" defaultMemberUniqueName="[Processed_Data 1].[Performance_Category].[All]" allUniqueName="[Processed_Data 1].[Performance_Category].[All]" dimensionUniqueName="[Processed_Data 1]" displayFolder="" count="2" memberValueDatatype="130" unbalanced="0"/>
    <cacheHierarchy uniqueName="[Processed_Data 1].[Overtime]" caption="Overtime" attribute="1" defaultMemberUniqueName="[Processed_Data 1].[Overtime].[All]" allUniqueName="[Processed_Data 1].[Overtime].[All]" dimensionUniqueName="[Processed_Data 1]" displayFolder="" count="2" memberValueDatatype="130" unbalanced="0"/>
    <cacheHierarchy uniqueName="[Processed_Data 1].[WorkLocation]" caption="WorkLocation" attribute="1" defaultMemberUniqueName="[Processed_Data 1].[WorkLocation].[All]" allUniqueName="[Processed_Data 1].[WorkLocation].[All]" dimensionUniqueName="[Processed_Data 1]" displayFolder="" count="2" memberValueDatatype="130" unbalanced="0"/>
    <cacheHierarchy uniqueName="[Processed_Data 1].[Manager]" caption="Manager" attribute="1" defaultMemberUniqueName="[Processed_Data 1].[Manager].[All]" allUniqueName="[Processed_Data 1].[Manager].[All]" dimensionUniqueName="[Processed_Data 1]" displayFolder="" count="2" memberValueDatatype="130" unbalanced="0"/>
    <cacheHierarchy uniqueName="[Table1].[EmployeeID]" caption="EmployeeID" attribute="1" defaultMemberUniqueName="[Table1].[EmployeeID].[All]" allUniqueName="[Table1].[EmployeeID].[All]" dimensionUniqueName="[Table1]" displayFolder="" count="2" memberValueDatatype="20" unbalanced="0"/>
    <cacheHierarchy uniqueName="[Table1].[HireDate]" caption="HireDate" attribute="1" time="1" defaultMemberUniqueName="[Table1].[HireDate].[All]" allUniqueName="[Table1].[HireDate].[All]" dimensionUniqueName="[Table1]" displayFolder="" count="2" memberValueDatatype="7" unbalanced="0"/>
    <cacheHierarchy uniqueName="[Table1].[Month]" caption="Month" attribute="1" defaultMemberUniqueName="[Table1].[Month].[All]" allUniqueName="[Table1].[Month].[All]" dimensionUniqueName="[Table1]" displayFolder="" count="2" memberValueDatatype="20" unbalanced="0"/>
    <cacheHierarchy uniqueName="[Table1].[Year]" caption="Year" attribute="1" defaultMemberUniqueName="[Table1].[Year].[All]" allUniqueName="[Table1].[Year].[All]" dimensionUniqueName="[Table1]" displayFolder="" count="2"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JobRole]" caption="JobRole" attribute="1" defaultMemberUniqueName="[Table1].[JobRole].[All]" allUniqueName="[Table1].[JobRol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MonthlySalary]" caption="MonthlySalary" attribute="1" defaultMemberUniqueName="[Table1].[MonthlySalary].[All]" allUniqueName="[Table1].[MonthlySalary].[All]" dimensionUniqueName="[Table1]" displayFolder="" count="2" memberValueDatatype="6" unbalanced="0"/>
    <cacheHierarchy uniqueName="[Table1].[Annual_Salary]" caption="Annual_Salary" attribute="1" defaultMemberUniqueName="[Table1].[Annual_Salary].[All]" allUniqueName="[Table1].[Annual_Salary].[All]" dimensionUniqueName="[Table1]" displayFolder="" count="2" memberValueDatatype="6" unbalanced="0"/>
    <cacheHierarchy uniqueName="[Table1].[YearsAtCompany]" caption="YearsAtCompany" attribute="1" defaultMemberUniqueName="[Table1].[YearsAtCompany].[All]" allUniqueName="[Table1].[YearsAtCompany].[All]" dimensionUniqueName="[Table1]" displayFolder="" count="2" memberValueDatatype="20" unbalanced="0"/>
    <cacheHierarchy uniqueName="[Table1].[Experience_Level]" caption="Experience_Level" attribute="1" defaultMemberUniqueName="[Table1].[Experience_Level].[All]" allUniqueName="[Table1].[Experience_Level].[All]" dimensionUniqueName="[Table1]" displayFolder="" count="2" memberValueDatatype="130" unbalanced="0"/>
    <cacheHierarchy uniqueName="[Table1].[PerformanceRating]" caption="PerformanceRating" attribute="1" defaultMemberUniqueName="[Table1].[PerformanceRating].[All]" allUniqueName="[Table1].[PerformanceRating].[All]" dimensionUniqueName="[Table1]" displayFolder="" count="2" memberValueDatatype="20" unbalanced="0"/>
    <cacheHierarchy uniqueName="[Table1].[Performance_Category]" caption="Performance_Category" attribute="1" defaultMemberUniqueName="[Table1].[Performance_Category].[All]" allUniqueName="[Table1].[Performance_Category].[All]" dimensionUniqueName="[Table1]" displayFolder="" count="2"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WorkLocation]" caption="WorkLocation" attribute="1" defaultMemberUniqueName="[Table1].[WorkLocation].[All]" allUniqueName="[Table1].[WorkLocation].[All]" dimensionUniqueName="[Table1]" displayFolder="" count="2" memberValueDatatype="130" unbalanced="0"/>
    <cacheHierarchy uniqueName="[Table1].[Manager]" caption="Manager" attribute="1" defaultMemberUniqueName="[Table1].[Manager].[All]" allUniqueName="[Table1].[Manager].[All]" dimensionUniqueName="[Table1]" displayFolder="" count="2" memberValueDatatype="130" unbalanced="0"/>
    <cacheHierarchy uniqueName="[Measures].[__XL_Count Table1]" caption="__XL_Count Table1" measure="1" displayFolder="" measureGroup="Table1" count="0" hidden="1"/>
    <cacheHierarchy uniqueName="[Measures].[__XL_Count Processed_Data]" caption="__XL_Count Processed_Data" measure="1" displayFolder="" measureGroup="Processed_Data" count="0" hidden="1"/>
    <cacheHierarchy uniqueName="[Measures].[__XL_Count Processed_Data 1]" caption="__XL_Count Processed_Data 1" measure="1" displayFolder="" measureGroup="Processed_Data 1" count="0" hidden="1"/>
    <cacheHierarchy uniqueName="[Measures].[__No measures defined]" caption="__No measures defined" measure="1" displayFolder="" count="0" hidden="1"/>
    <cacheHierarchy uniqueName="[Measures].[Sum of Total_Sales]" caption="Sum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Average of Total_Sales]" caption="Average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Count of Sales_Rep]" caption="Count of Sales_Rep" measure="1" displayFolder="" measureGroup="Processed_Data" count="0" hidden="1">
      <extLst>
        <ext xmlns:x15="http://schemas.microsoft.com/office/spreadsheetml/2010/11/main" uri="{B97F6D7D-B522-45F9-BDA1-12C45D357490}">
          <x15:cacheHierarchy aggregatedColumn="11"/>
        </ext>
      </extLst>
    </cacheHierarchy>
    <cacheHierarchy uniqueName="[Measures].[Count of Product_Category]" caption="Count of Product_Category" measure="1" displayFolder="" measureGroup="Processed_Data" count="0" hidden="1">
      <extLst>
        <ext xmlns:x15="http://schemas.microsoft.com/office/spreadsheetml/2010/11/main" uri="{B97F6D7D-B522-45F9-BDA1-12C45D357490}">
          <x15:cacheHierarchy aggregatedColumn="6"/>
        </ext>
      </extLst>
    </cacheHierarchy>
    <cacheHierarchy uniqueName="[Measures].[Sum of EmployeeID]" caption="Sum of EmployeeID" measure="1" displayFolder="" measureGroup="Processed_Data 1" count="0" hidden="1">
      <extLst>
        <ext xmlns:x15="http://schemas.microsoft.com/office/spreadsheetml/2010/11/main" uri="{B97F6D7D-B522-45F9-BDA1-12C45D357490}">
          <x15:cacheHierarchy aggregatedColumn="13"/>
        </ext>
      </extLst>
    </cacheHierarchy>
    <cacheHierarchy uniqueName="[Measures].[Sum of Annual_Salary]" caption="Sum of Annual_Salary" measure="1" displayFolder="" measureGroup="Processed_Data 1" count="0" hidden="1">
      <extLst>
        <ext xmlns:x15="http://schemas.microsoft.com/office/spreadsheetml/2010/11/main" uri="{B97F6D7D-B522-45F9-BDA1-12C45D357490}">
          <x15:cacheHierarchy aggregatedColumn="23"/>
        </ext>
      </extLst>
    </cacheHierarchy>
    <cacheHierarchy uniqueName="[Measures].[Sum of PerformanceRating]" caption="Sum of PerformanceRating" measure="1" displayFolder="" measureGroup="Processed_Data 1" count="0" hidden="1">
      <extLst>
        <ext xmlns:x15="http://schemas.microsoft.com/office/spreadsheetml/2010/11/main" uri="{B97F6D7D-B522-45F9-BDA1-12C45D357490}">
          <x15:cacheHierarchy aggregatedColumn="26"/>
        </ext>
      </extLst>
    </cacheHierarchy>
    <cacheHierarchy uniqueName="[Measures].[Count of EmployeeID]" caption="Count of EmployeeID" measure="1" displayFolder="" measureGroup="Processed_Data 1" count="0" oneField="1" hidden="1">
      <fieldsUsage count="1">
        <fieldUsage x="1"/>
      </fieldsUsage>
      <extLst>
        <ext xmlns:x15="http://schemas.microsoft.com/office/spreadsheetml/2010/11/main" uri="{B97F6D7D-B522-45F9-BDA1-12C45D357490}">
          <x15:cacheHierarchy aggregatedColumn="13"/>
        </ext>
      </extLst>
    </cacheHierarchy>
    <cacheHierarchy uniqueName="[Measures].[Average of Annual_Salary]" caption="Average of Annual_Salary" measure="1" displayFolder="" measureGroup="Processed_Data 1" count="0" hidden="1">
      <extLst>
        <ext xmlns:x15="http://schemas.microsoft.com/office/spreadsheetml/2010/11/main" uri="{B97F6D7D-B522-45F9-BDA1-12C45D357490}">
          <x15:cacheHierarchy aggregatedColumn="23"/>
        </ext>
      </extLst>
    </cacheHierarchy>
    <cacheHierarchy uniqueName="[Measures].[Average of PerformanceRating]" caption="Average of PerformanceRating" measure="1" displayFolder="" measureGroup="Processed_Data 1" count="0" hidden="1">
      <extLst>
        <ext xmlns:x15="http://schemas.microsoft.com/office/spreadsheetml/2010/11/main" uri="{B97F6D7D-B522-45F9-BDA1-12C45D357490}">
          <x15:cacheHierarchy aggregatedColumn="26"/>
        </ext>
      </extLst>
    </cacheHierarchy>
    <cacheHierarchy uniqueName="[Measures].[Count of Overtime]" caption="Count of Overtime" measure="1" displayFolder="" measureGroup="Processed_Data 1" count="0" hidden="1">
      <extLst>
        <ext xmlns:x15="http://schemas.microsoft.com/office/spreadsheetml/2010/11/main" uri="{B97F6D7D-B522-45F9-BDA1-12C45D357490}">
          <x15:cacheHierarchy aggregatedColumn="28"/>
        </ext>
      </extLst>
    </cacheHierarchy>
    <cacheHierarchy uniqueName="[Measures].[Count of Performance_Category]" caption="Count of Performance_Category" measure="1" displayFolder="" measureGroup="Processed_Data 1" count="0" hidden="1">
      <extLst>
        <ext xmlns:x15="http://schemas.microsoft.com/office/spreadsheetml/2010/11/main" uri="{B97F6D7D-B522-45F9-BDA1-12C45D357490}">
          <x15:cacheHierarchy aggregatedColumn="27"/>
        </ext>
      </extLst>
    </cacheHierarchy>
  </cacheHierarchies>
  <kpis count="0"/>
  <dimensions count="4">
    <dimension measure="1" name="Measures" uniqueName="[Measures]" caption="Measures"/>
    <dimension name="Processed_Data" uniqueName="[Processed_Data]" caption="Processed_Data"/>
    <dimension name="Processed_Data 1" uniqueName="[Processed_Data 1]" caption="Processed_Data 1"/>
    <dimension name="Table1" uniqueName="[Table1]" caption="Table1"/>
  </dimensions>
  <measureGroups count="3">
    <measureGroup name="Processed_Data" caption="Processed_Data"/>
    <measureGroup name="Processed_Data 1" caption="Processed_Data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ES" refreshedDate="46060.439048842592" backgroundQuery="1" createdVersion="3" refreshedVersion="8" minRefreshableVersion="3" recordCount="0" supportSubquery="1" supportAdvancedDrill="1" xr:uid="{63ABF44F-D9AD-4F3A-8CED-CA2573E3D71F}">
  <cacheSource type="external" connectionId="3">
    <extLst>
      <ext xmlns:x14="http://schemas.microsoft.com/office/spreadsheetml/2009/9/main" uri="{F057638F-6D5F-4e77-A914-E7F072B9BCA8}">
        <x14:sourceConnection name="ThisWorkbookDataModel"/>
      </ext>
    </extLst>
  </cacheSource>
  <cacheFields count="0"/>
  <cacheHierarchies count="67">
    <cacheHierarchy uniqueName="[Processed_Data].[Order_ID]" caption="Order_ID" attribute="1" defaultMemberUniqueName="[Processed_Data].[Order_ID].[All]" allUniqueName="[Processed_Data].[Order_ID].[All]" dimensionUniqueName="[Processed_Data]" displayFolder="" count="0" memberValueDatatype="20" unbalanced="0"/>
    <cacheHierarchy uniqueName="[Processed_Data].[Order_Date]" caption="Order_Date" attribute="1" time="1" defaultMemberUniqueName="[Processed_Data].[Order_Date].[All]" allUniqueName="[Processed_Data].[Order_Date].[All]" dimensionUniqueName="[Processed_Data]" displayFolder="" count="0" memberValueDatatype="7" unbalanced="0"/>
    <cacheHierarchy uniqueName="[Processed_Data].[Month]" caption="Month" attribute="1" defaultMemberUniqueName="[Processed_Data].[Month].[All]" allUniqueName="[Processed_Data].[Month].[All]" dimensionUniqueName="[Processed_Data]" displayFolder="" count="0" memberValueDatatype="20" unbalanced="0"/>
    <cacheHierarchy uniqueName="[Processed_Data].[Year]" caption="Year" attribute="1" defaultMemberUniqueName="[Processed_Data].[Year].[All]" allUniqueName="[Processed_Data].[Year].[All]" dimensionUniqueName="[Processed_Data]" displayFolder="" count="0" memberValueDatatype="20" unbalanced="0"/>
    <cacheHierarchy uniqueName="[Processed_Data].[Customer_Name]" caption="Customer_Name" attribute="1" defaultMemberUniqueName="[Processed_Data].[Customer_Name].[All]" allUniqueName="[Processed_Data].[Customer_Name].[All]" dimensionUniqueName="[Processed_Data]" displayFolder="" count="0" memberValueDatatype="130" unbalanced="0"/>
    <cacheHierarchy uniqueName="[Processed_Data].[Region]" caption="Region" attribute="1" defaultMemberUniqueName="[Processed_Data].[Region].[All]" allUniqueName="[Processed_Data].[Region].[All]" dimensionUniqueName="[Processed_Data]" displayFolder="" count="0" memberValueDatatype="130" unbalanced="0"/>
    <cacheHierarchy uniqueName="[Processed_Data].[Product_Category]" caption="Product_Category" attribute="1" defaultMemberUniqueName="[Processed_Data].[Product_Category].[All]" allUniqueName="[Processed_Data].[Product_Category].[All]" dimensionUniqueName="[Processed_Data]" displayFolder="" count="0" memberValueDatatype="130" unbalanced="0"/>
    <cacheHierarchy uniqueName="[Processed_Data].[Product_Name]" caption="Product_Name" attribute="1" defaultMemberUniqueName="[Processed_Data].[Product_Name].[All]" allUniqueName="[Processed_Data].[Product_Name].[All]" dimensionUniqueName="[Processed_Data]" displayFolder="" count="0" memberValueDatatype="130" unbalanced="0"/>
    <cacheHierarchy uniqueName="[Processed_Data].[Quantity]" caption="Quantity" attribute="1" defaultMemberUniqueName="[Processed_Data].[Quantity].[All]" allUniqueName="[Processed_Data].[Quantity].[All]" dimensionUniqueName="[Processed_Data]" displayFolder="" count="0" memberValueDatatype="20" unbalanced="0"/>
    <cacheHierarchy uniqueName="[Processed_Data].[Unit_Price]" caption="Unit_Price" attribute="1" defaultMemberUniqueName="[Processed_Data].[Unit_Price].[All]" allUniqueName="[Processed_Data].[Unit_Price].[All]" dimensionUniqueName="[Processed_Data]" displayFolder="" count="0" memberValueDatatype="20" unbalanced="0"/>
    <cacheHierarchy uniqueName="[Processed_Data].[Total_Sales]" caption="Total_Sales" attribute="1" defaultMemberUniqueName="[Processed_Data].[Total_Sales].[All]" allUniqueName="[Processed_Data].[Total_Sales].[All]" dimensionUniqueName="[Processed_Data]" displayFolder="" count="0" memberValueDatatype="20" unbalanced="0"/>
    <cacheHierarchy uniqueName="[Processed_Data].[Sales_Rep]" caption="Sales_Rep" attribute="1" defaultMemberUniqueName="[Processed_Data].[Sales_Rep].[All]" allUniqueName="[Processed_Data].[Sales_Rep].[All]" dimensionUniqueName="[Processed_Data]" displayFolder="" count="0" memberValueDatatype="130" unbalanced="0"/>
    <cacheHierarchy uniqueName="[Processed_Data].[Sales_Level]" caption="Sales_Level" attribute="1" defaultMemberUniqueName="[Processed_Data].[Sales_Level].[All]" allUniqueName="[Processed_Data].[Sales_Level].[All]" dimensionUniqueName="[Processed_Data]" displayFolder="" count="0" memberValueDatatype="130" unbalanced="0"/>
    <cacheHierarchy uniqueName="[Processed_Data 1].[EmployeeID]" caption="EmployeeID" attribute="1" defaultMemberUniqueName="[Processed_Data 1].[EmployeeID].[All]" allUniqueName="[Processed_Data 1].[EmployeeID].[All]" dimensionUniqueName="[Processed_Data 1]" displayFolder="" count="0" memberValueDatatype="20" unbalanced="0"/>
    <cacheHierarchy uniqueName="[Processed_Data 1].[HireDate]" caption="HireDate" attribute="1" time="1" defaultMemberUniqueName="[Processed_Data 1].[HireDate].[All]" allUniqueName="[Processed_Data 1].[HireDate].[All]" dimensionUniqueName="[Processed_Data 1]" displayFolder="" count="0" memberValueDatatype="7" unbalanced="0"/>
    <cacheHierarchy uniqueName="[Processed_Data 1].[Month]" caption="Month" attribute="1" defaultMemberUniqueName="[Processed_Data 1].[Month].[All]" allUniqueName="[Processed_Data 1].[Month].[All]" dimensionUniqueName="[Processed_Data 1]" displayFolder="" count="0" memberValueDatatype="20" unbalanced="0"/>
    <cacheHierarchy uniqueName="[Processed_Data 1].[Year]" caption="Year" attribute="1" defaultMemberUniqueName="[Processed_Data 1].[Year].[All]" allUniqueName="[Processed_Data 1].[Year].[All]" dimensionUniqueName="[Processed_Data 1]" displayFolder="" count="0" memberValueDatatype="20" unbalanced="0"/>
    <cacheHierarchy uniqueName="[Processed_Data 1].[Department]" caption="Department" attribute="1" defaultMemberUniqueName="[Processed_Data 1].[Department].[All]" allUniqueName="[Processed_Data 1].[Department].[All]" dimensionUniqueName="[Processed_Data 1]" displayFolder="" count="2" memberValueDatatype="130" unbalanced="0"/>
    <cacheHierarchy uniqueName="[Processed_Data 1].[JobRole]" caption="JobRole" attribute="1" defaultMemberUniqueName="[Processed_Data 1].[JobRole].[All]" allUniqueName="[Processed_Data 1].[JobRole].[All]" dimensionUniqueName="[Processed_Data 1]" displayFolder="" count="0" memberValueDatatype="130" unbalanced="0"/>
    <cacheHierarchy uniqueName="[Processed_Data 1].[Gender]" caption="Gender" attribute="1" defaultMemberUniqueName="[Processed_Data 1].[Gender].[All]" allUniqueName="[Processed_Data 1].[Gender].[All]" dimensionUniqueName="[Processed_Data 1]" displayFolder="" count="0" memberValueDatatype="130" unbalanced="0"/>
    <cacheHierarchy uniqueName="[Processed_Data 1].[Age]" caption="Age" attribute="1" defaultMemberUniqueName="[Processed_Data 1].[Age].[All]" allUniqueName="[Processed_Data 1].[Age].[All]" dimensionUniqueName="[Processed_Data 1]" displayFolder="" count="0" memberValueDatatype="20" unbalanced="0"/>
    <cacheHierarchy uniqueName="[Processed_Data 1].[Age_Group]" caption="Age_Group" attribute="1" defaultMemberUniqueName="[Processed_Data 1].[Age_Group].[All]" allUniqueName="[Processed_Data 1].[Age_Group].[All]" dimensionUniqueName="[Processed_Data 1]" displayFolder="" count="2" memberValueDatatype="130" unbalanced="0"/>
    <cacheHierarchy uniqueName="[Processed_Data 1].[MonthlySalary]" caption="MonthlySalary" attribute="1" defaultMemberUniqueName="[Processed_Data 1].[MonthlySalary].[All]" allUniqueName="[Processed_Data 1].[MonthlySalary].[All]" dimensionUniqueName="[Processed_Data 1]" displayFolder="" count="0" memberValueDatatype="20" unbalanced="0"/>
    <cacheHierarchy uniqueName="[Processed_Data 1].[Annual_Salary]" caption="Annual_Salary" attribute="1" defaultMemberUniqueName="[Processed_Data 1].[Annual_Salary].[All]" allUniqueName="[Processed_Data 1].[Annual_Salary].[All]" dimensionUniqueName="[Processed_Data 1]" displayFolder="" count="0" memberValueDatatype="20" unbalanced="0"/>
    <cacheHierarchy uniqueName="[Processed_Data 1].[YearsAtCompany]" caption="YearsAtCompany" attribute="1" defaultMemberUniqueName="[Processed_Data 1].[YearsAtCompany].[All]" allUniqueName="[Processed_Data 1].[YearsAtCompany].[All]" dimensionUniqueName="[Processed_Data 1]" displayFolder="" count="0" memberValueDatatype="20" unbalanced="0"/>
    <cacheHierarchy uniqueName="[Processed_Data 1].[Experience_Level]" caption="Experience_Level" attribute="1" defaultMemberUniqueName="[Processed_Data 1].[Experience_Level].[All]" allUniqueName="[Processed_Data 1].[Experience_Level].[All]" dimensionUniqueName="[Processed_Data 1]" displayFolder="" count="2" memberValueDatatype="130" unbalanced="0"/>
    <cacheHierarchy uniqueName="[Processed_Data 1].[PerformanceRating]" caption="PerformanceRating" attribute="1" defaultMemberUniqueName="[Processed_Data 1].[PerformanceRating].[All]" allUniqueName="[Processed_Data 1].[PerformanceRating].[All]" dimensionUniqueName="[Processed_Data 1]" displayFolder="" count="0" memberValueDatatype="20" unbalanced="0"/>
    <cacheHierarchy uniqueName="[Processed_Data 1].[Performance_Category]" caption="Performance_Category" attribute="1" defaultMemberUniqueName="[Processed_Data 1].[Performance_Category].[All]" allUniqueName="[Processed_Data 1].[Performance_Category].[All]" dimensionUniqueName="[Processed_Data 1]" displayFolder="" count="0" memberValueDatatype="130" unbalanced="0"/>
    <cacheHierarchy uniqueName="[Processed_Data 1].[Overtime]" caption="Overtime" attribute="1" defaultMemberUniqueName="[Processed_Data 1].[Overtime].[All]" allUniqueName="[Processed_Data 1].[Overtime].[All]" dimensionUniqueName="[Processed_Data 1]" displayFolder="" count="0" memberValueDatatype="130" unbalanced="0"/>
    <cacheHierarchy uniqueName="[Processed_Data 1].[WorkLocation]" caption="WorkLocation" attribute="1" defaultMemberUniqueName="[Processed_Data 1].[WorkLocation].[All]" allUniqueName="[Processed_Data 1].[WorkLocation].[All]" dimensionUniqueName="[Processed_Data 1]" displayFolder="" count="0" memberValueDatatype="130" unbalanced="0"/>
    <cacheHierarchy uniqueName="[Processed_Data 1].[Manager]" caption="Manager" attribute="1" defaultMemberUniqueName="[Processed_Data 1].[Manager].[All]" allUniqueName="[Processed_Data 1].[Manager].[All]" dimensionUniqueName="[Processed_Data 1]" displayFolder="" count="0" memberValueDatatype="130" unbalanced="0"/>
    <cacheHierarchy uniqueName="[Table1].[EmployeeID]" caption="EmployeeID" attribute="1" defaultMemberUniqueName="[Table1].[EmployeeID].[All]" allUniqueName="[Table1].[EmployeeID].[All]" dimensionUniqueName="[Table1]" displayFolder="" count="0" memberValueDatatype="20" unbalanced="0"/>
    <cacheHierarchy uniqueName="[Table1].[HireDate]" caption="HireDate" attribute="1" time="1" defaultMemberUniqueName="[Table1].[HireDate].[All]" allUniqueName="[Table1].[Hire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JobRole]" caption="JobRole" attribute="1" defaultMemberUniqueName="[Table1].[JobRole].[All]" allUniqueName="[Table1].[JobRol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MonthlySalary]" caption="MonthlySalary" attribute="1" defaultMemberUniqueName="[Table1].[MonthlySalary].[All]" allUniqueName="[Table1].[MonthlySalary].[All]" dimensionUniqueName="[Table1]" displayFolder="" count="0" memberValueDatatype="6" unbalanced="0"/>
    <cacheHierarchy uniqueName="[Table1].[Annual_Salary]" caption="Annual_Salary" attribute="1" defaultMemberUniqueName="[Table1].[Annual_Salary].[All]" allUniqueName="[Table1].[Annual_Salary].[All]" dimensionUniqueName="[Table1]" displayFolder="" count="0" memberValueDatatype="6"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Experience_Level]" caption="Experience_Level" attribute="1" defaultMemberUniqueName="[Table1].[Experience_Level].[All]" allUniqueName="[Table1].[Experience_Level].[All]" dimensionUniqueName="[Table1]" displayFolder="" count="0" memberValueDatatype="13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Performance_Category]" caption="Performance_Category" attribute="1" defaultMemberUniqueName="[Table1].[Performance_Category].[All]" allUniqueName="[Table1].[Performance_Category].[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WorkLocation]" caption="WorkLocation" attribute="1" defaultMemberUniqueName="[Table1].[WorkLocation].[All]" allUniqueName="[Table1].[WorkLocation].[All]" dimensionUniqueName="[Table1]" displayFolder="" count="0" memberValueDatatype="130" unbalanced="0"/>
    <cacheHierarchy uniqueName="[Table1].[Manager]" caption="Manager" attribute="1" defaultMemberUniqueName="[Table1].[Manager].[All]" allUniqueName="[Table1].[Manager].[All]" dimensionUniqueName="[Table1]" displayFolder="" count="0" memberValueDatatype="130" unbalanced="0"/>
    <cacheHierarchy uniqueName="[Measures].[__XL_Count Table1]" caption="__XL_Count Table1" measure="1" displayFolder="" measureGroup="Table1" count="0" hidden="1"/>
    <cacheHierarchy uniqueName="[Measures].[__XL_Count Processed_Data]" caption="__XL_Count Processed_Data" measure="1" displayFolder="" measureGroup="Processed_Data" count="0" hidden="1"/>
    <cacheHierarchy uniqueName="[Measures].[__XL_Count Processed_Data 1]" caption="__XL_Count Processed_Data 1" measure="1" displayFolder="" measureGroup="Processed_Data 1" count="0" hidden="1"/>
    <cacheHierarchy uniqueName="[Measures].[__No measures defined]" caption="__No measures defined" measure="1" displayFolder="" count="0" hidden="1"/>
    <cacheHierarchy uniqueName="[Measures].[Sum of Total_Sales]" caption="Sum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Processed_Data" count="0" hidden="1">
      <extLst>
        <ext xmlns:x15="http://schemas.microsoft.com/office/spreadsheetml/2010/11/main" uri="{B97F6D7D-B522-45F9-BDA1-12C45D357490}">
          <x15:cacheHierarchy aggregatedColumn="0"/>
        </ext>
      </extLst>
    </cacheHierarchy>
    <cacheHierarchy uniqueName="[Measures].[Average of Total_Sales]" caption="Average of Total_Sales" measure="1" displayFolder="" measureGroup="Processed_Data" count="0" hidden="1">
      <extLst>
        <ext xmlns:x15="http://schemas.microsoft.com/office/spreadsheetml/2010/11/main" uri="{B97F6D7D-B522-45F9-BDA1-12C45D357490}">
          <x15:cacheHierarchy aggregatedColumn="10"/>
        </ext>
      </extLst>
    </cacheHierarchy>
    <cacheHierarchy uniqueName="[Measures].[Count of Sales_Rep]" caption="Count of Sales_Rep" measure="1" displayFolder="" measureGroup="Processed_Data" count="0" hidden="1">
      <extLst>
        <ext xmlns:x15="http://schemas.microsoft.com/office/spreadsheetml/2010/11/main" uri="{B97F6D7D-B522-45F9-BDA1-12C45D357490}">
          <x15:cacheHierarchy aggregatedColumn="11"/>
        </ext>
      </extLst>
    </cacheHierarchy>
    <cacheHierarchy uniqueName="[Measures].[Count of Product_Category]" caption="Count of Product_Category" measure="1" displayFolder="" measureGroup="Processed_Data" count="0" hidden="1">
      <extLst>
        <ext xmlns:x15="http://schemas.microsoft.com/office/spreadsheetml/2010/11/main" uri="{B97F6D7D-B522-45F9-BDA1-12C45D357490}">
          <x15:cacheHierarchy aggregatedColumn="6"/>
        </ext>
      </extLst>
    </cacheHierarchy>
    <cacheHierarchy uniqueName="[Measures].[Sum of EmployeeID]" caption="Sum of EmployeeID" measure="1" displayFolder="" measureGroup="Processed_Data 1" count="0" hidden="1">
      <extLst>
        <ext xmlns:x15="http://schemas.microsoft.com/office/spreadsheetml/2010/11/main" uri="{B97F6D7D-B522-45F9-BDA1-12C45D357490}">
          <x15:cacheHierarchy aggregatedColumn="13"/>
        </ext>
      </extLst>
    </cacheHierarchy>
    <cacheHierarchy uniqueName="[Measures].[Sum of Annual_Salary]" caption="Sum of Annual_Salary" measure="1" displayFolder="" measureGroup="Processed_Data 1" count="0" hidden="1">
      <extLst>
        <ext xmlns:x15="http://schemas.microsoft.com/office/spreadsheetml/2010/11/main" uri="{B97F6D7D-B522-45F9-BDA1-12C45D357490}">
          <x15:cacheHierarchy aggregatedColumn="23"/>
        </ext>
      </extLst>
    </cacheHierarchy>
    <cacheHierarchy uniqueName="[Measures].[Sum of PerformanceRating]" caption="Sum of PerformanceRating" measure="1" displayFolder="" measureGroup="Processed_Data 1" count="0" hidden="1">
      <extLst>
        <ext xmlns:x15="http://schemas.microsoft.com/office/spreadsheetml/2010/11/main" uri="{B97F6D7D-B522-45F9-BDA1-12C45D357490}">
          <x15:cacheHierarchy aggregatedColumn="26"/>
        </ext>
      </extLst>
    </cacheHierarchy>
    <cacheHierarchy uniqueName="[Measures].[Count of EmployeeID]" caption="Count of EmployeeID" measure="1" displayFolder="" measureGroup="Processed_Data 1" count="0" hidden="1">
      <extLst>
        <ext xmlns:x15="http://schemas.microsoft.com/office/spreadsheetml/2010/11/main" uri="{B97F6D7D-B522-45F9-BDA1-12C45D357490}">
          <x15:cacheHierarchy aggregatedColumn="13"/>
        </ext>
      </extLst>
    </cacheHierarchy>
    <cacheHierarchy uniqueName="[Measures].[Average of Annual_Salary]" caption="Average of Annual_Salary" measure="1" displayFolder="" measureGroup="Processed_Data 1" count="0" hidden="1">
      <extLst>
        <ext xmlns:x15="http://schemas.microsoft.com/office/spreadsheetml/2010/11/main" uri="{B97F6D7D-B522-45F9-BDA1-12C45D357490}">
          <x15:cacheHierarchy aggregatedColumn="23"/>
        </ext>
      </extLst>
    </cacheHierarchy>
    <cacheHierarchy uniqueName="[Measures].[Average of PerformanceRating]" caption="Average of PerformanceRating" measure="1" displayFolder="" measureGroup="Processed_Data 1" count="0" hidden="1">
      <extLst>
        <ext xmlns:x15="http://schemas.microsoft.com/office/spreadsheetml/2010/11/main" uri="{B97F6D7D-B522-45F9-BDA1-12C45D357490}">
          <x15:cacheHierarchy aggregatedColumn="26"/>
        </ext>
      </extLst>
    </cacheHierarchy>
    <cacheHierarchy uniqueName="[Measures].[Count of Overtime]" caption="Count of Overtime" measure="1" displayFolder="" measureGroup="Processed_Data 1" count="0" hidden="1">
      <extLst>
        <ext xmlns:x15="http://schemas.microsoft.com/office/spreadsheetml/2010/11/main" uri="{B97F6D7D-B522-45F9-BDA1-12C45D357490}">
          <x15:cacheHierarchy aggregatedColumn="28"/>
        </ext>
      </extLst>
    </cacheHierarchy>
    <cacheHierarchy uniqueName="[Measures].[Count of Performance_Category]" caption="Count of Performance_Category" measure="1" displayFolder="" measureGroup="Processed_Data 1"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9289308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5D525B-6080-437B-8D80-96A11AFDEEB1}" name="PivotTable9" cacheId="10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F4" firstHeaderRow="1" firstDataRow="1" firstDataCol="1"/>
  <pivotFields count="3">
    <pivotField axis="axisRow" allDrilled="1" subtotalTop="0" showAll="0" sortType="descending" defaultSubtotal="0" defaultAttributeDrillState="1">
      <items count="2">
        <item x="1"/>
        <item x="0"/>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EmployeeID" fld="1" subtotal="count" showDataAs="percentOfTotal" baseField="0" baseItem="0" numFmtId="1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500_Employees.xlsx!Processed_Data">
        <x15:activeTabTopLevelEntity name="[Processed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8808CB-A60F-4E61-9C98-75D06704B9E4}" name="PivotTable1" cacheId="10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Count of EmployeeID" fld="0" subtotal="count" baseField="0" baseItem="0"/>
    <dataField name="Average of Annual_Salary" fld="1" subtotal="average" baseField="0" baseItem="0" numFmtId="165"/>
    <dataField name="Average of PerformanceRating" fld="2" subtotal="average" baseField="0" baseItem="0"/>
  </dataFields>
  <formats count="1">
    <format dxfId="85">
      <pivotArea outline="0" collapsedLevelsAreSubtotals="1" fieldPosition="0">
        <references count="1">
          <reference field="4294967294" count="1" selected="0">
            <x v="1"/>
          </reference>
        </references>
      </pivotArea>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ID"/>
    <pivotHierarchy dragToData="1" caption="Average of Annual_Salary"/>
    <pivotHierarchy dragToData="1" caption="Average of PerformanceRating"/>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500_Employees.xlsx!Processed_Data">
        <x15:activeTabTopLevelEntity name="[Processed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0D4715-2DCE-431B-9191-F6F3AF7569AB}" name="PivotTable14" cacheId="10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27:C31" firstHeaderRow="0"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2"/>
  </colFields>
  <colItems count="2">
    <i>
      <x/>
    </i>
    <i i="1">
      <x v="1"/>
    </i>
  </colItems>
  <dataFields count="2">
    <dataField name="Count of EmployeeID" fld="0" subtotal="count" baseField="0" baseItem="0"/>
    <dataField name="Average of Annual_Salary" fld="2" subtotal="average" baseField="1" baseItem="0" numFmtId="165"/>
  </dataFields>
  <formats count="1">
    <format dxfId="86">
      <pivotArea outline="0" collapsedLevelsAreSubtotals="1" fieldPosition="0">
        <references count="1">
          <reference field="4294967294" count="1" selected="0">
            <x v="1"/>
          </reference>
        </references>
      </pivotArea>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ID"/>
    <pivotHierarchy dragToData="1" caption="Average of Annual_Salary"/>
    <pivotHierarchy dragToData="1" caption="Average of PerformanceRating"/>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500_Employees.xlsx!Processed_Data">
        <x15:activeTabTopLevelEntity name="[Processed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4DB44E-00BE-40D3-A930-461D7CD8AF42}" name="PivotTable13" cacheId="10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F19:I24" firstHeaderRow="1" firstDataRow="2" firstDataCol="1"/>
  <pivotFields count="4">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4">
    <i>
      <x/>
    </i>
    <i>
      <x v="1"/>
    </i>
    <i>
      <x v="2"/>
    </i>
    <i t="grand">
      <x/>
    </i>
  </rowItems>
  <colFields count="1">
    <field x="2"/>
  </colFields>
  <colItems count="3">
    <i>
      <x/>
    </i>
    <i>
      <x v="1"/>
    </i>
    <i t="grand">
      <x/>
    </i>
  </colItems>
  <dataFields count="1">
    <dataField name="Count of EmployeeID" fld="0" subtotal="count"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ID"/>
    <pivotHierarchy dragToData="1" caption="Average of Annual_Salary"/>
    <pivotHierarchy dragToData="1" caption="Average of PerformanceRating"/>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500_Employees.xlsx!Processed_Data">
        <x15:activeTabTopLevelEntity name="[Processed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0714CF-5471-41BA-BC99-BB44CC38EA1F}" name="PivotTable12" cacheId="10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9:C23" firstHeaderRow="0"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2"/>
  </colFields>
  <colItems count="2">
    <i>
      <x/>
    </i>
    <i i="1">
      <x v="1"/>
    </i>
  </colItems>
  <dataFields count="2">
    <dataField name="Count of EmployeeID" fld="0" subtotal="count" baseField="0" baseItem="0"/>
    <dataField name="Average of PerformanceRating" fld="2" subtotal="average" baseField="1" baseItem="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ID"/>
    <pivotHierarchy dragToData="1" caption="Average of Annual_Salary"/>
    <pivotHierarchy dragToData="1" caption="Average of PerformanceRating"/>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500_Employees.xlsx!Processed_Data">
        <x15:activeTabTopLevelEntity name="[Processed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BF4A49-E00B-49D9-93F9-80BACB1E097F}" name="PivotTable16" cacheId="10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35:E40" firstHeaderRow="1" firstDataRow="2" firstDataCol="1"/>
  <pivotFields count="4">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4">
    <i>
      <x/>
    </i>
    <i>
      <x v="1"/>
    </i>
    <i>
      <x v="2"/>
    </i>
    <i t="grand">
      <x/>
    </i>
  </rowItems>
  <colFields count="1">
    <field x="2"/>
  </colFields>
  <colItems count="4">
    <i>
      <x/>
    </i>
    <i>
      <x v="1"/>
    </i>
    <i>
      <x v="2"/>
    </i>
    <i t="grand">
      <x/>
    </i>
  </colItems>
  <dataFields count="1">
    <dataField name="Count of EmployeeID" fld="1" subtotal="count"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ID"/>
    <pivotHierarchy dragToData="1" caption="Average of Annual_Salary"/>
    <pivotHierarchy dragToData="1" caption="Average of PerformanceRating"/>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500_Employees.xlsx!Processed_Data">
        <x15:activeTabTopLevelEntity name="[Processed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CC4227-BE60-41FB-87F0-7C7B861AD595}" name="PivotTable10" cacheId="10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I5" firstHeaderRow="1" firstDataRow="1" firstDataCol="1"/>
  <pivotFields count="3">
    <pivotField axis="axisRow" allDrilled="1" subtotalTop="0" showAll="0" sortType="descending" defaultSubtotal="0" defaultAttributeDrillState="1">
      <items count="3">
        <item x="2"/>
        <item x="1"/>
        <item x="0"/>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EmployeeID" fld="1" subtotal="count" showDataAs="percentOfTotal" baseField="0" baseItem="0" numFmtId="1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500_Employees.xlsx!Processed_Data">
        <x15:activeTabTopLevelEntity name="[Processed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78EA53-4837-4309-86DE-F0FC3F5E3D7E}" name="PivotTable15" cacheId="10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F27:I32" firstHeaderRow="1" firstDataRow="2" firstDataCol="1"/>
  <pivotFields count="4">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1"/>
  </colFields>
  <colItems count="3">
    <i>
      <x/>
    </i>
    <i>
      <x v="1"/>
    </i>
    <i t="grand">
      <x/>
    </i>
  </colItems>
  <dataFields count="1">
    <dataField name="Count of EmployeeID" fld="0" subtotal="count" showDataAs="percentOfRow" baseField="2" baseItem="0" numFmtId="1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ID"/>
    <pivotHierarchy dragToData="1" caption="Average of Annual_Salary"/>
    <pivotHierarchy dragToData="1" caption="Average of PerformanceRating"/>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500_Employees.xlsx!Processed_Data">
        <x15:activeTabTopLevelEntity name="[Processed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D09830-2A62-40A7-BA51-DF2E93FA4207}" name="PivotTable2" cacheId="10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8"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Count of EmployeeID" fld="1" subtotal="count" baseField="0" baseItem="0"/>
  </dataFields>
  <chartFormats count="2">
    <chartFormat chart="1" format="6"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500_Employees.xlsx!Processed_Data">
        <x15:activeTabTopLevelEntity name="[Processed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660C7D-5934-4A3D-8CFB-5B74C4C2BF02}" name="PivotTable3" cacheId="9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8"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4"/>
    </i>
    <i>
      <x/>
    </i>
    <i>
      <x v="2"/>
    </i>
    <i>
      <x v="5"/>
    </i>
    <i>
      <x v="1"/>
    </i>
    <i>
      <x v="3"/>
    </i>
    <i t="grand">
      <x/>
    </i>
  </rowItems>
  <colItems count="1">
    <i/>
  </colItems>
  <dataFields count="1">
    <dataField name="Average of Annual_Salary" fld="1" subtotal="average" baseField="0" baseItem="0" numFmtId="165"/>
  </dataFields>
  <formats count="1">
    <format dxfId="84">
      <pivotArea outline="0" collapsedLevelsAreSubtotals="1" fieldPosition="0"/>
    </format>
  </formats>
  <chartFormats count="2">
    <chartFormat chart="0" format="8"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nnual_Salary"/>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500_Employees.xlsx!Processed_Data">
        <x15:activeTabTopLevelEntity name="[Processed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7515B9-ED1F-4EA2-803B-91A798AF58A9}" name="PivotTable4" cacheId="10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EmployeeID" fld="1" subtotal="count" baseField="0" baseItem="0"/>
  </dataFields>
  <chartFormats count="8">
    <chartFormat chart="2" format="26" series="1">
      <pivotArea type="data" outline="0" fieldPosition="0">
        <references count="1">
          <reference field="4294967294" count="1" selected="0">
            <x v="0"/>
          </reference>
        </references>
      </pivotArea>
    </chartFormat>
    <chartFormat chart="2" format="27">
      <pivotArea type="data" outline="0" fieldPosition="0">
        <references count="2">
          <reference field="4294967294" count="1" selected="0">
            <x v="0"/>
          </reference>
          <reference field="0" count="1" selected="0">
            <x v="0"/>
          </reference>
        </references>
      </pivotArea>
    </chartFormat>
    <chartFormat chart="2" format="28">
      <pivotArea type="data" outline="0" fieldPosition="0">
        <references count="2">
          <reference field="4294967294" count="1" selected="0">
            <x v="0"/>
          </reference>
          <reference field="0" count="1" selected="0">
            <x v="1"/>
          </reference>
        </references>
      </pivotArea>
    </chartFormat>
    <chartFormat chart="2" format="29">
      <pivotArea type="data" outline="0" fieldPosition="0">
        <references count="2">
          <reference field="4294967294" count="1" selected="0">
            <x v="0"/>
          </reference>
          <reference field="0" count="1" selected="0">
            <x v="2"/>
          </reference>
        </references>
      </pivotArea>
    </chartFormat>
    <chartFormat chart="6" format="34" series="1">
      <pivotArea type="data" outline="0" fieldPosition="0">
        <references count="1">
          <reference field="4294967294" count="1" selected="0">
            <x v="0"/>
          </reference>
        </references>
      </pivotArea>
    </chartFormat>
    <chartFormat chart="6" format="35">
      <pivotArea type="data" outline="0" fieldPosition="0">
        <references count="2">
          <reference field="4294967294" count="1" selected="0">
            <x v="0"/>
          </reference>
          <reference field="0" count="1" selected="0">
            <x v="0"/>
          </reference>
        </references>
      </pivotArea>
    </chartFormat>
    <chartFormat chart="6" format="36">
      <pivotArea type="data" outline="0" fieldPosition="0">
        <references count="2">
          <reference field="4294967294" count="1" selected="0">
            <x v="0"/>
          </reference>
          <reference field="0" count="1" selected="0">
            <x v="1"/>
          </reference>
        </references>
      </pivotArea>
    </chartFormat>
    <chartFormat chart="6" format="37">
      <pivotArea type="data" outline="0" fieldPosition="0">
        <references count="2">
          <reference field="4294967294" count="1" selected="0">
            <x v="0"/>
          </reference>
          <reference field="0" count="1" selected="0">
            <x v="2"/>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500_Employees.xlsx!Processed_Data">
        <x15:activeTabTopLevelEntity name="[Processed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EBF7EB4-3A31-40CD-B405-02145ED2519B}" name="PivotTable5" cacheId="9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EmployeeID" fld="1" subtotal="count" baseField="0" baseItem="0"/>
  </dataFields>
  <chartFormats count="8">
    <chartFormat chart="1" format="17" series="1">
      <pivotArea type="data" outline="0" fieldPosition="0">
        <references count="1">
          <reference field="4294967294" count="1" selected="0">
            <x v="0"/>
          </reference>
        </references>
      </pivotArea>
    </chartFormat>
    <chartFormat chart="1" format="18">
      <pivotArea type="data" outline="0" fieldPosition="0">
        <references count="2">
          <reference field="4294967294" count="1" selected="0">
            <x v="0"/>
          </reference>
          <reference field="0" count="1" selected="0">
            <x v="0"/>
          </reference>
        </references>
      </pivotArea>
    </chartFormat>
    <chartFormat chart="1" format="19">
      <pivotArea type="data" outline="0" fieldPosition="0">
        <references count="2">
          <reference field="4294967294" count="1" selected="0">
            <x v="0"/>
          </reference>
          <reference field="0" count="1" selected="0">
            <x v="1"/>
          </reference>
        </references>
      </pivotArea>
    </chartFormat>
    <chartFormat chart="1" format="20">
      <pivotArea type="data" outline="0" fieldPosition="0">
        <references count="2">
          <reference field="4294967294" count="1" selected="0">
            <x v="0"/>
          </reference>
          <reference field="0" count="1" selected="0">
            <x v="2"/>
          </reference>
        </references>
      </pivotArea>
    </chartFormat>
    <chartFormat chart="5" format="25" series="1">
      <pivotArea type="data" outline="0" fieldPosition="0">
        <references count="1">
          <reference field="4294967294" count="1" selected="0">
            <x v="0"/>
          </reference>
        </references>
      </pivotArea>
    </chartFormat>
    <chartFormat chart="5" format="26">
      <pivotArea type="data" outline="0" fieldPosition="0">
        <references count="2">
          <reference field="4294967294" count="1" selected="0">
            <x v="0"/>
          </reference>
          <reference field="0" count="1" selected="0">
            <x v="0"/>
          </reference>
        </references>
      </pivotArea>
    </chartFormat>
    <chartFormat chart="5" format="27">
      <pivotArea type="data" outline="0" fieldPosition="0">
        <references count="2">
          <reference field="4294967294" count="1" selected="0">
            <x v="0"/>
          </reference>
          <reference field="0" count="1" selected="0">
            <x v="1"/>
          </reference>
        </references>
      </pivotArea>
    </chartFormat>
    <chartFormat chart="5" format="28">
      <pivotArea type="data" outline="0" fieldPosition="0">
        <references count="2">
          <reference field="4294967294" count="1" selected="0">
            <x v="0"/>
          </reference>
          <reference field="0" count="1" selected="0">
            <x v="2"/>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500_Employees.xlsx!Processed_Data">
        <x15:activeTabTopLevelEntity name="[Processed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4D0ADA1-2C87-4552-8159-0F7A82E06C6E}" name="PivotTable11" cacheId="10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1:I9" firstHeaderRow="1" firstDataRow="2" firstDataCol="1"/>
  <pivotFields count="3">
    <pivotField axis="axisCol" allDrilled="1" subtotalTop="0" showAll="0" sortType="descending" defaultSubtotal="0" defaultAttributeDrillState="1">
      <items count="2">
        <item x="1"/>
        <item x="0"/>
      </items>
    </pivotField>
    <pivotField axis="axisRow" allDrilled="1" subtotalTop="0" showAll="0" defaultSubtotal="0" defaultAttributeDrillState="1">
      <items count="6">
        <item x="2"/>
        <item x="3"/>
        <item x="4"/>
        <item x="0"/>
        <item x="1"/>
        <item x="5"/>
      </items>
    </pivotField>
    <pivotField dataField="1" subtotalTop="0" showAll="0" defaultSubtotal="0"/>
  </pivotFields>
  <rowFields count="1">
    <field x="1"/>
  </rowFields>
  <rowItems count="7">
    <i>
      <x/>
    </i>
    <i>
      <x v="1"/>
    </i>
    <i>
      <x v="2"/>
    </i>
    <i>
      <x v="3"/>
    </i>
    <i>
      <x v="4"/>
    </i>
    <i>
      <x v="5"/>
    </i>
    <i t="grand">
      <x/>
    </i>
  </rowItems>
  <colFields count="1">
    <field x="0"/>
  </colFields>
  <colItems count="3">
    <i>
      <x/>
    </i>
    <i>
      <x v="1"/>
    </i>
    <i t="grand">
      <x/>
    </i>
  </colItems>
  <dataFields count="1">
    <dataField name="Count of EmployeeID" fld="2" subtotal="count" showDataAs="percentOfRow" baseField="1" baseItem="3" numFmtId="1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500_Employees.xlsx!Processed_Data">
        <x15:activeTabTopLevelEntity name="[Processed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3BE35AF-0DC9-4F31-949D-35583C7ACC9F}" name="PivotTable6" cacheId="10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D9"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0"/>
  </colFields>
  <colItems count="3">
    <i>
      <x/>
    </i>
    <i>
      <x v="1"/>
    </i>
    <i t="grand">
      <x/>
    </i>
  </colItems>
  <dataFields count="1">
    <dataField name="Count of EmployeeID" fld="2" subtotal="count" baseField="1" baseItem="0"/>
  </dataFields>
  <chartFormats count="4">
    <chartFormat chart="0" format="6" series="1">
      <pivotArea type="data" outline="0" fieldPosition="0">
        <references count="2">
          <reference field="4294967294" count="1" selected="0">
            <x v="0"/>
          </reference>
          <reference field="0" count="1" selected="0">
            <x v="0"/>
          </reference>
        </references>
      </pivotArea>
    </chartFormat>
    <chartFormat chart="0" format="7" series="1">
      <pivotArea type="data" outline="0" fieldPosition="0">
        <references count="2">
          <reference field="4294967294" count="1" selected="0">
            <x v="0"/>
          </reference>
          <reference field="0" count="1" selected="0">
            <x v="1"/>
          </reference>
        </references>
      </pivotArea>
    </chartFormat>
    <chartFormat chart="11" format="12" series="1">
      <pivotArea type="data" outline="0" fieldPosition="0">
        <references count="2">
          <reference field="4294967294" count="1" selected="0">
            <x v="0"/>
          </reference>
          <reference field="0" count="1" selected="0">
            <x v="0"/>
          </reference>
        </references>
      </pivotArea>
    </chartFormat>
    <chartFormat chart="11" format="13" series="1">
      <pivotArea type="data" outline="0" fieldPosition="0">
        <references count="2">
          <reference field="4294967294" count="1" selected="0">
            <x v="0"/>
          </reference>
          <reference field="0" count="1" selected="0">
            <x v="1"/>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500_Employees.xlsx!Processed_Data">
        <x15:activeTabTopLevelEntity name="[Processed_Data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2EC6962-F1A0-4814-8CBE-0282CF8CBC0C}" autoFormatId="16" applyNumberFormats="0" applyBorderFormats="0" applyFontFormats="0" applyPatternFormats="0" applyAlignmentFormats="0" applyWidthHeightFormats="0">
  <queryTableRefresh nextId="19">
    <queryTableFields count="18">
      <queryTableField id="1" name="EmployeeID" tableColumnId="1"/>
      <queryTableField id="2" name="HireDate" tableColumnId="2"/>
      <queryTableField id="3" name="Month" tableColumnId="3"/>
      <queryTableField id="4" name="Year" tableColumnId="4"/>
      <queryTableField id="5" name="Department" tableColumnId="5"/>
      <queryTableField id="6" name="JobRole" tableColumnId="6"/>
      <queryTableField id="7" name="Gender" tableColumnId="7"/>
      <queryTableField id="8" name="Age" tableColumnId="8"/>
      <queryTableField id="9" name="Age_Group" tableColumnId="9"/>
      <queryTableField id="10" name="MonthlySalary" tableColumnId="10"/>
      <queryTableField id="11" name="Annual_Salary" tableColumnId="11"/>
      <queryTableField id="12" name="YearsAtCompany" tableColumnId="12"/>
      <queryTableField id="13" name="Experience_Level" tableColumnId="13"/>
      <queryTableField id="14" name="PerformanceRating" tableColumnId="14"/>
      <queryTableField id="15" name="Performance_Category" tableColumnId="15"/>
      <queryTableField id="16" name="Overtime" tableColumnId="16"/>
      <queryTableField id="17" name="WorkLocation" tableColumnId="17"/>
      <queryTableField id="18" name="Manager" tableColumnId="18"/>
    </queryTableFields>
  </queryTableRefresh>
  <extLst>
    <ext xmlns:x15="http://schemas.microsoft.com/office/spreadsheetml/2010/11/main" uri="{883FBD77-0823-4a55-B5E3-86C4891E6966}">
      <x15:queryTable sourceDataName="Query - Table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A91E053-BC39-40CF-85CF-9D70A06BF987}" sourceName="[Processed_Data 1].[Department]">
  <pivotTables>
    <pivotTable tabId="6" name="PivotTable3"/>
    <pivotTable tabId="8" name="PivotTable5"/>
    <pivotTable tabId="7" name="PivotTable4"/>
    <pivotTable tabId="4" name="PivotTable1"/>
    <pivotTable tabId="4" name="PivotTable10"/>
    <pivotTable tabId="4" name="PivotTable12"/>
    <pivotTable tabId="4" name="PivotTable13"/>
    <pivotTable tabId="4" name="PivotTable14"/>
    <pivotTable tabId="4" name="PivotTable15"/>
    <pivotTable tabId="4" name="PivotTable16"/>
    <pivotTable tabId="4" name="PivotTable9"/>
    <pivotTable tabId="9" name="PivotTable11"/>
    <pivotTable tabId="9" name="PivotTable6"/>
    <pivotTable tabId="5" name="PivotTable2"/>
  </pivotTables>
  <data>
    <olap pivotCacheId="928930825">
      <levels count="2">
        <level uniqueName="[Processed_Data 1].[Department].[(All)]" sourceCaption="(All)" count="0"/>
        <level uniqueName="[Processed_Data 1].[Department].[Department]" sourceCaption="Department" count="6">
          <ranges>
            <range startItem="0">
              <i n="[Processed_Data 1].[Department].&amp;[Finance]" c="Finance"/>
              <i n="[Processed_Data 1].[Department].&amp;[HR]" c="HR"/>
              <i n="[Processed_Data 1].[Department].&amp;[IT]" c="IT"/>
              <i n="[Processed_Data 1].[Department].&amp;[Marketing]" c="Marketing"/>
              <i n="[Processed_Data 1].[Department].&amp;[Operations]" c="Operations"/>
              <i n="[Processed_Data 1].[Department].&amp;[Sales]" c="Sales"/>
            </range>
          </ranges>
        </level>
      </levels>
      <selections count="1">
        <selection n="[Processed_Data 1].[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Level" xr10:uid="{8D69BA6F-D97E-4D08-8640-E1E521FC6D14}" sourceName="[Processed_Data 1].[Experience_Level]">
  <pivotTables>
    <pivotTable tabId="6" name="PivotTable3"/>
    <pivotTable tabId="5" name="PivotTable2"/>
    <pivotTable tabId="8" name="PivotTable5"/>
    <pivotTable tabId="4" name="PivotTable1"/>
    <pivotTable tabId="4" name="PivotTable10"/>
    <pivotTable tabId="4" name="PivotTable12"/>
    <pivotTable tabId="4" name="PivotTable13"/>
    <pivotTable tabId="4" name="PivotTable14"/>
    <pivotTable tabId="4" name="PivotTable15"/>
    <pivotTable tabId="4" name="PivotTable16"/>
    <pivotTable tabId="4" name="PivotTable9"/>
    <pivotTable tabId="9" name="PivotTable11"/>
    <pivotTable tabId="9" name="PivotTable6"/>
    <pivotTable tabId="7" name="PivotTable4"/>
  </pivotTables>
  <data>
    <olap pivotCacheId="928930825">
      <levels count="2">
        <level uniqueName="[Processed_Data 1].[Experience_Level].[(All)]" sourceCaption="(All)" count="0"/>
        <level uniqueName="[Processed_Data 1].[Experience_Level].[Experience_Level]" sourceCaption="Experience_Level" count="3">
          <ranges>
            <range startItem="0">
              <i n="[Processed_Data 1].[Experience_Level].&amp;[Junior]" c="Junior"/>
              <i n="[Processed_Data 1].[Experience_Level].&amp;[Mid]" c="Mid"/>
              <i n="[Processed_Data 1].[Experience_Level].&amp;[Senior]" c="Senior"/>
            </range>
          </ranges>
        </level>
      </levels>
      <selections count="1">
        <selection n="[Processed_Data 1].[Experience_Lev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DCABF22-5F60-4F20-878F-EC14B55687C7}" cache="Slicer_Department" caption="Department" columnCount="3" level="1" rowHeight="241300"/>
  <slicer name="Experience_Level" xr10:uid="{66997832-7446-403B-AA7C-AFD0A776CBA7}" cache="Slicer_Experience_Level" caption="Experience_Level" columnCount="2"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5C75BB-C5A8-44B5-A138-E5A03F76540B}" name="Processed_Data" displayName="Processed_Data" ref="A1:R501" tableType="queryTable" totalsRowShown="0">
  <autoFilter ref="A1:R501" xr:uid="{F35C75BB-C5A8-44B5-A138-E5A03F76540B}"/>
  <tableColumns count="18">
    <tableColumn id="1" xr3:uid="{588E918D-19BF-4994-8C6B-892FD2F4C1C2}" uniqueName="1" name="EmployeeID" queryTableFieldId="1"/>
    <tableColumn id="2" xr3:uid="{E8100923-60E1-4C8D-AA42-66871808ED04}" uniqueName="2" name="HireDate" queryTableFieldId="2" dataDxfId="83"/>
    <tableColumn id="3" xr3:uid="{531D90EB-160F-4996-9E5A-83A085293980}" uniqueName="3" name="Month" queryTableFieldId="3"/>
    <tableColumn id="4" xr3:uid="{7004F8CD-ACC2-4916-B128-E0FCC6214ADE}" uniqueName="4" name="Year" queryTableFieldId="4"/>
    <tableColumn id="5" xr3:uid="{6EEBEA7F-8BE6-45B4-BEC6-370F337ED5F8}" uniqueName="5" name="Department" queryTableFieldId="5" dataDxfId="82"/>
    <tableColumn id="6" xr3:uid="{6E58E4D2-AC65-4522-A788-838C79F5B061}" uniqueName="6" name="JobRole" queryTableFieldId="6" dataDxfId="81"/>
    <tableColumn id="7" xr3:uid="{46757777-33E7-482D-9AA3-6D55145C82C2}" uniqueName="7" name="Gender" queryTableFieldId="7" dataDxfId="80"/>
    <tableColumn id="8" xr3:uid="{7454C9F4-6D0E-4213-B3E7-A955C2E3559A}" uniqueName="8" name="Age" queryTableFieldId="8"/>
    <tableColumn id="9" xr3:uid="{95418DC8-3510-47BA-B571-46EDBA9CD0AF}" uniqueName="9" name="Age_Group" queryTableFieldId="9"/>
    <tableColumn id="10" xr3:uid="{3DE26132-53E8-4383-B954-5AD4BDA19D0B}" uniqueName="10" name="MonthlySalary" queryTableFieldId="10"/>
    <tableColumn id="11" xr3:uid="{E5228D77-2719-48A9-B16A-D306FEBDFB87}" uniqueName="11" name="Annual_Salary" queryTableFieldId="11"/>
    <tableColumn id="12" xr3:uid="{A07EF01B-A549-4287-97E5-562DA6CB6A80}" uniqueName="12" name="YearsAtCompany" queryTableFieldId="12"/>
    <tableColumn id="13" xr3:uid="{4CDB9B88-91B2-4638-971A-40548DA5639E}" uniqueName="13" name="Experience_Level" queryTableFieldId="13" dataDxfId="79"/>
    <tableColumn id="14" xr3:uid="{13A099CB-F3AB-4807-A27B-C48ADF50D1AB}" uniqueName="14" name="PerformanceRating" queryTableFieldId="14"/>
    <tableColumn id="15" xr3:uid="{AE358B44-4B8A-4E99-92B5-14989765ECDE}" uniqueName="15" name="Performance_Category" queryTableFieldId="15"/>
    <tableColumn id="16" xr3:uid="{725A77FA-B5AB-4BFB-B69A-81FA44180875}" uniqueName="16" name="Overtime" queryTableFieldId="16" dataDxfId="78"/>
    <tableColumn id="17" xr3:uid="{B324CF3D-B26D-44A0-A54F-2C3A81D2E296}" uniqueName="17" name="WorkLocation" queryTableFieldId="17" dataDxfId="77"/>
    <tableColumn id="18" xr3:uid="{E5C5D059-7C3A-4ED4-8DE6-F0DE45094413}" uniqueName="18" name="Manager" queryTableFieldId="18" dataDxfId="7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C6530C-3852-4AD1-BF64-D519BC0A534E}" name="Table1" displayName="Table1" ref="A1:L501" totalsRowShown="0">
  <autoFilter ref="A1:L501" xr:uid="{81C6530C-3852-4AD1-BF64-D519BC0A534E}"/>
  <tableColumns count="12">
    <tableColumn id="1" xr3:uid="{C0070981-B779-4442-B825-9EC5F02A642D}" name="EmployeeID"/>
    <tableColumn id="2" xr3:uid="{1AD17596-0CAD-4CE6-8355-87B0B4DDC182}" name="HireDate" dataDxfId="75"/>
    <tableColumn id="3" xr3:uid="{15D0A720-EB41-4368-ACC7-4B9D7E569394}" name="Department"/>
    <tableColumn id="4" xr3:uid="{063E6178-C0E4-4BA8-B0D5-A389505311D8}" name="JobRole"/>
    <tableColumn id="5" xr3:uid="{DFAD120D-4491-4D6E-850E-7BBCBBC46B51}" name="Gender"/>
    <tableColumn id="6" xr3:uid="{F7FB0022-3940-4060-AB6B-F670E3942C30}" name="Age"/>
    <tableColumn id="7" xr3:uid="{CC3EB8EE-2C82-4BD4-A8FA-720187D41B55}" name="MonthlySalary"/>
    <tableColumn id="8" xr3:uid="{115F6462-6675-46BC-942C-7CB43CB92AC0}" name="YearsAtCompany"/>
    <tableColumn id="9" xr3:uid="{0EE45252-5265-45A1-BEAF-3AEECA83A7F0}" name="PerformanceRating"/>
    <tableColumn id="10" xr3:uid="{50EAA8C7-EFA1-4B97-A754-83610EA2ABD4}" name="Overtime"/>
    <tableColumn id="11" xr3:uid="{D8619A0E-41E2-42B5-ACEE-5DB956DA7D51}" name="WorkLocation"/>
    <tableColumn id="12" xr3:uid="{C22C9EE5-52B7-4DDF-8E17-693688188D85}" name="Manage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3A3BB-F981-4E54-991C-935F247FA8D4}">
  <dimension ref="AB9:AB13"/>
  <sheetViews>
    <sheetView tabSelected="1" zoomScale="85" zoomScaleNormal="85" workbookViewId="0">
      <selection activeCell="AB23" sqref="AB23"/>
    </sheetView>
  </sheetViews>
  <sheetFormatPr defaultRowHeight="15" x14ac:dyDescent="0.25"/>
  <cols>
    <col min="28" max="28" width="55.42578125" bestFit="1" customWidth="1"/>
  </cols>
  <sheetData>
    <row r="9" spans="28:28" ht="15.75" x14ac:dyDescent="0.25">
      <c r="AB9" s="11" t="s">
        <v>68</v>
      </c>
    </row>
    <row r="10" spans="28:28" ht="15.75" x14ac:dyDescent="0.25">
      <c r="AB10" s="11" t="s">
        <v>69</v>
      </c>
    </row>
    <row r="11" spans="28:28" ht="15.75" x14ac:dyDescent="0.25">
      <c r="AB11" s="11" t="s">
        <v>70</v>
      </c>
    </row>
    <row r="12" spans="28:28" ht="15.75" x14ac:dyDescent="0.25">
      <c r="AB12" s="11" t="s">
        <v>71</v>
      </c>
    </row>
    <row r="13" spans="28:28" ht="15.75" x14ac:dyDescent="0.25">
      <c r="AB13" s="11" t="s">
        <v>72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50EA0-7C22-4DFA-8993-BE734472BE72}">
  <dimension ref="A1:I40"/>
  <sheetViews>
    <sheetView workbookViewId="0">
      <selection activeCell="E7" sqref="E7"/>
    </sheetView>
  </sheetViews>
  <sheetFormatPr defaultRowHeight="15" x14ac:dyDescent="0.25"/>
  <cols>
    <col min="1" max="1" width="20" bestFit="1" customWidth="1"/>
    <col min="2" max="2" width="16.28515625" bestFit="1" customWidth="1"/>
    <col min="3" max="3" width="6.85546875" bestFit="1" customWidth="1"/>
    <col min="4" max="4" width="8" bestFit="1" customWidth="1"/>
    <col min="5" max="5" width="13.140625" bestFit="1" customWidth="1"/>
    <col min="6" max="6" width="20" bestFit="1" customWidth="1"/>
    <col min="7" max="7" width="16.28515625" bestFit="1" customWidth="1"/>
    <col min="8" max="8" width="7.140625" bestFit="1" customWidth="1"/>
    <col min="9" max="9" width="11.28515625" bestFit="1" customWidth="1"/>
    <col min="10" max="10" width="8" bestFit="1" customWidth="1"/>
    <col min="11" max="11" width="11.28515625" bestFit="1" customWidth="1"/>
  </cols>
  <sheetData>
    <row r="1" spans="1:9" x14ac:dyDescent="0.25">
      <c r="A1" t="s">
        <v>58</v>
      </c>
      <c r="B1" t="s">
        <v>59</v>
      </c>
      <c r="C1" t="s">
        <v>60</v>
      </c>
      <c r="E1" s="4" t="s">
        <v>61</v>
      </c>
      <c r="F1" t="s">
        <v>58</v>
      </c>
      <c r="H1" s="4" t="s">
        <v>61</v>
      </c>
      <c r="I1" t="s">
        <v>58</v>
      </c>
    </row>
    <row r="2" spans="1:9" x14ac:dyDescent="0.25">
      <c r="A2" s="13">
        <v>500</v>
      </c>
      <c r="B2" s="3">
        <v>144494.51999999999</v>
      </c>
      <c r="C2" s="13">
        <v>2.9780000000000002</v>
      </c>
      <c r="E2" s="5" t="s">
        <v>15</v>
      </c>
      <c r="F2" s="6">
        <v>0.498</v>
      </c>
      <c r="H2" s="5" t="s">
        <v>50</v>
      </c>
      <c r="I2" s="6">
        <v>0.45600000000000002</v>
      </c>
    </row>
    <row r="3" spans="1:9" x14ac:dyDescent="0.25">
      <c r="E3" s="5" t="s">
        <v>20</v>
      </c>
      <c r="F3" s="6">
        <v>0.502</v>
      </c>
      <c r="H3" s="5" t="s">
        <v>56</v>
      </c>
      <c r="I3" s="6">
        <v>0.35</v>
      </c>
    </row>
    <row r="4" spans="1:9" ht="40.5" x14ac:dyDescent="0.35">
      <c r="A4" s="7" t="s">
        <v>63</v>
      </c>
      <c r="B4" s="8">
        <f>A2</f>
        <v>500</v>
      </c>
      <c r="E4" s="5" t="s">
        <v>62</v>
      </c>
      <c r="F4" s="6">
        <v>1</v>
      </c>
      <c r="H4" s="5" t="s">
        <v>57</v>
      </c>
      <c r="I4" s="6">
        <v>0.19400000000000001</v>
      </c>
    </row>
    <row r="5" spans="1:9" ht="40.5" x14ac:dyDescent="0.35">
      <c r="A5" s="7" t="s">
        <v>64</v>
      </c>
      <c r="B5" s="9">
        <f>B2</f>
        <v>144494.51999999999</v>
      </c>
      <c r="H5" s="5" t="s">
        <v>62</v>
      </c>
      <c r="I5" s="6">
        <v>1</v>
      </c>
    </row>
    <row r="6" spans="1:9" ht="60.75" x14ac:dyDescent="0.35">
      <c r="A6" s="7" t="s">
        <v>65</v>
      </c>
      <c r="B6" s="8">
        <f>C2</f>
        <v>2.9780000000000002</v>
      </c>
    </row>
    <row r="7" spans="1:9" ht="40.5" x14ac:dyDescent="0.35">
      <c r="A7" s="7" t="s">
        <v>67</v>
      </c>
      <c r="B7" s="10">
        <f>F2</f>
        <v>0.498</v>
      </c>
    </row>
    <row r="8" spans="1:9" ht="40.5" x14ac:dyDescent="0.35">
      <c r="A8" s="7" t="s">
        <v>66</v>
      </c>
      <c r="B8" s="10">
        <f>I2</f>
        <v>0.45600000000000002</v>
      </c>
    </row>
    <row r="18" spans="1:9" ht="105" x14ac:dyDescent="0.25">
      <c r="B18" s="12" t="s">
        <v>74</v>
      </c>
      <c r="C18" s="12" t="s">
        <v>75</v>
      </c>
      <c r="F18" s="12" t="s">
        <v>76</v>
      </c>
    </row>
    <row r="19" spans="1:9" x14ac:dyDescent="0.25">
      <c r="A19" s="4" t="s">
        <v>61</v>
      </c>
      <c r="B19" t="s">
        <v>58</v>
      </c>
      <c r="C19" t="s">
        <v>60</v>
      </c>
      <c r="F19" s="4" t="s">
        <v>58</v>
      </c>
      <c r="G19" s="4" t="s">
        <v>73</v>
      </c>
    </row>
    <row r="20" spans="1:9" x14ac:dyDescent="0.25">
      <c r="A20" s="5" t="s">
        <v>49</v>
      </c>
      <c r="B20" s="13">
        <v>198</v>
      </c>
      <c r="C20" s="13">
        <v>2.8838383838383836</v>
      </c>
      <c r="F20" s="4" t="s">
        <v>61</v>
      </c>
      <c r="G20" t="s">
        <v>20</v>
      </c>
      <c r="H20" t="s">
        <v>15</v>
      </c>
      <c r="I20" t="s">
        <v>62</v>
      </c>
    </row>
    <row r="21" spans="1:9" x14ac:dyDescent="0.25">
      <c r="A21" s="5" t="s">
        <v>52</v>
      </c>
      <c r="B21" s="13">
        <v>192</v>
      </c>
      <c r="C21" s="13">
        <v>3.125</v>
      </c>
      <c r="F21" s="5" t="s">
        <v>49</v>
      </c>
      <c r="G21" s="13">
        <v>96</v>
      </c>
      <c r="H21" s="13">
        <v>102</v>
      </c>
      <c r="I21" s="13">
        <v>198</v>
      </c>
    </row>
    <row r="22" spans="1:9" x14ac:dyDescent="0.25">
      <c r="A22" s="5" t="s">
        <v>53</v>
      </c>
      <c r="B22" s="13">
        <v>110</v>
      </c>
      <c r="C22" s="13">
        <v>2.8909090909090911</v>
      </c>
      <c r="F22" s="5" t="s">
        <v>52</v>
      </c>
      <c r="G22" s="13">
        <v>89</v>
      </c>
      <c r="H22" s="13">
        <v>103</v>
      </c>
      <c r="I22" s="13">
        <v>192</v>
      </c>
    </row>
    <row r="23" spans="1:9" x14ac:dyDescent="0.25">
      <c r="A23" s="5" t="s">
        <v>62</v>
      </c>
      <c r="B23" s="13">
        <v>500</v>
      </c>
      <c r="C23" s="13">
        <v>2.9780000000000002</v>
      </c>
      <c r="F23" s="5" t="s">
        <v>53</v>
      </c>
      <c r="G23" s="13">
        <v>66</v>
      </c>
      <c r="H23" s="13">
        <v>44</v>
      </c>
      <c r="I23" s="13">
        <v>110</v>
      </c>
    </row>
    <row r="24" spans="1:9" x14ac:dyDescent="0.25">
      <c r="F24" s="5" t="s">
        <v>62</v>
      </c>
      <c r="G24" s="13">
        <v>251</v>
      </c>
      <c r="H24" s="13">
        <v>249</v>
      </c>
      <c r="I24" s="13">
        <v>500</v>
      </c>
    </row>
    <row r="27" spans="1:9" x14ac:dyDescent="0.25">
      <c r="A27" s="4" t="s">
        <v>61</v>
      </c>
      <c r="B27" t="s">
        <v>58</v>
      </c>
      <c r="C27" t="s">
        <v>59</v>
      </c>
      <c r="F27" s="4" t="s">
        <v>58</v>
      </c>
      <c r="G27" s="4" t="s">
        <v>73</v>
      </c>
    </row>
    <row r="28" spans="1:9" x14ac:dyDescent="0.25">
      <c r="A28" s="5" t="s">
        <v>57</v>
      </c>
      <c r="B28" s="13">
        <v>97</v>
      </c>
      <c r="C28" s="3">
        <v>133513.48453608248</v>
      </c>
      <c r="F28" s="4" t="s">
        <v>61</v>
      </c>
      <c r="G28" t="s">
        <v>20</v>
      </c>
      <c r="H28" t="s">
        <v>15</v>
      </c>
      <c r="I28" t="s">
        <v>62</v>
      </c>
    </row>
    <row r="29" spans="1:9" x14ac:dyDescent="0.25">
      <c r="A29" s="5" t="s">
        <v>56</v>
      </c>
      <c r="B29" s="13">
        <v>175</v>
      </c>
      <c r="C29" s="3">
        <v>140552.22857142857</v>
      </c>
      <c r="F29" s="5" t="s">
        <v>57</v>
      </c>
      <c r="G29" s="6">
        <v>0.49484536082474229</v>
      </c>
      <c r="H29" s="6">
        <v>0.50515463917525771</v>
      </c>
      <c r="I29" s="6">
        <v>1</v>
      </c>
    </row>
    <row r="30" spans="1:9" x14ac:dyDescent="0.25">
      <c r="A30" s="5" t="s">
        <v>50</v>
      </c>
      <c r="B30" s="13">
        <v>228</v>
      </c>
      <c r="C30" s="3">
        <v>152192.15789473685</v>
      </c>
      <c r="F30" s="5" t="s">
        <v>56</v>
      </c>
      <c r="G30" s="6">
        <v>0.49142857142857144</v>
      </c>
      <c r="H30" s="6">
        <v>0.50857142857142856</v>
      </c>
      <c r="I30" s="6">
        <v>1</v>
      </c>
    </row>
    <row r="31" spans="1:9" x14ac:dyDescent="0.25">
      <c r="A31" s="5" t="s">
        <v>62</v>
      </c>
      <c r="B31" s="13">
        <v>500</v>
      </c>
      <c r="C31" s="3">
        <v>144494.51999999999</v>
      </c>
      <c r="F31" s="5" t="s">
        <v>50</v>
      </c>
      <c r="G31" s="6">
        <v>0.51315789473684215</v>
      </c>
      <c r="H31" s="6">
        <v>0.48684210526315791</v>
      </c>
      <c r="I31" s="6">
        <v>1</v>
      </c>
    </row>
    <row r="32" spans="1:9" x14ac:dyDescent="0.25">
      <c r="F32" s="5" t="s">
        <v>62</v>
      </c>
      <c r="G32" s="6">
        <v>0.502</v>
      </c>
      <c r="H32" s="6">
        <v>0.498</v>
      </c>
      <c r="I32" s="6">
        <v>1</v>
      </c>
    </row>
    <row r="35" spans="1:5" x14ac:dyDescent="0.25">
      <c r="A35" s="4" t="s">
        <v>58</v>
      </c>
      <c r="B35" s="4" t="s">
        <v>73</v>
      </c>
    </row>
    <row r="36" spans="1:5" x14ac:dyDescent="0.25">
      <c r="A36" s="4" t="s">
        <v>61</v>
      </c>
      <c r="B36" t="s">
        <v>27</v>
      </c>
      <c r="C36" t="s">
        <v>32</v>
      </c>
      <c r="D36" t="s">
        <v>16</v>
      </c>
      <c r="E36" t="s">
        <v>62</v>
      </c>
    </row>
    <row r="37" spans="1:5" x14ac:dyDescent="0.25">
      <c r="A37" s="5" t="s">
        <v>49</v>
      </c>
      <c r="B37" s="13">
        <v>68</v>
      </c>
      <c r="C37" s="13">
        <v>71</v>
      </c>
      <c r="D37" s="13">
        <v>59</v>
      </c>
      <c r="E37" s="13">
        <v>198</v>
      </c>
    </row>
    <row r="38" spans="1:5" x14ac:dyDescent="0.25">
      <c r="A38" s="5" t="s">
        <v>52</v>
      </c>
      <c r="B38" s="13">
        <v>60</v>
      </c>
      <c r="C38" s="13">
        <v>63</v>
      </c>
      <c r="D38" s="13">
        <v>69</v>
      </c>
      <c r="E38" s="13">
        <v>192</v>
      </c>
    </row>
    <row r="39" spans="1:5" x14ac:dyDescent="0.25">
      <c r="A39" s="5" t="s">
        <v>53</v>
      </c>
      <c r="B39" s="13">
        <v>29</v>
      </c>
      <c r="C39" s="13">
        <v>42</v>
      </c>
      <c r="D39" s="13">
        <v>39</v>
      </c>
      <c r="E39" s="13">
        <v>110</v>
      </c>
    </row>
    <row r="40" spans="1:5" x14ac:dyDescent="0.25">
      <c r="A40" s="5" t="s">
        <v>62</v>
      </c>
      <c r="B40" s="13">
        <v>157</v>
      </c>
      <c r="C40" s="13">
        <v>176</v>
      </c>
      <c r="D40" s="13">
        <v>167</v>
      </c>
      <c r="E40" s="13">
        <v>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52FD6-73AC-4BDD-AEA9-444F73ACC018}">
  <dimension ref="A1:B8"/>
  <sheetViews>
    <sheetView workbookViewId="0">
      <selection activeCell="B3" sqref="B3"/>
    </sheetView>
  </sheetViews>
  <sheetFormatPr defaultRowHeight="15" x14ac:dyDescent="0.25"/>
  <cols>
    <col min="1" max="1" width="13.140625" bestFit="1" customWidth="1"/>
    <col min="2" max="2" width="20" bestFit="1" customWidth="1"/>
  </cols>
  <sheetData>
    <row r="1" spans="1:2" x14ac:dyDescent="0.25">
      <c r="A1" s="4" t="s">
        <v>61</v>
      </c>
      <c r="B1" t="s">
        <v>58</v>
      </c>
    </row>
    <row r="2" spans="1:2" x14ac:dyDescent="0.25">
      <c r="A2" s="5" t="s">
        <v>18</v>
      </c>
      <c r="B2" s="13">
        <v>93</v>
      </c>
    </row>
    <row r="3" spans="1:2" x14ac:dyDescent="0.25">
      <c r="A3" s="5" t="s">
        <v>30</v>
      </c>
      <c r="B3" s="13">
        <v>84</v>
      </c>
    </row>
    <row r="4" spans="1:2" x14ac:dyDescent="0.25">
      <c r="A4" s="5" t="s">
        <v>36</v>
      </c>
      <c r="B4" s="13">
        <v>79</v>
      </c>
    </row>
    <row r="5" spans="1:2" x14ac:dyDescent="0.25">
      <c r="A5" s="5" t="s">
        <v>28</v>
      </c>
      <c r="B5" s="13">
        <v>81</v>
      </c>
    </row>
    <row r="6" spans="1:2" x14ac:dyDescent="0.25">
      <c r="A6" s="5" t="s">
        <v>22</v>
      </c>
      <c r="B6" s="13">
        <v>72</v>
      </c>
    </row>
    <row r="7" spans="1:2" x14ac:dyDescent="0.25">
      <c r="A7" s="5" t="s">
        <v>12</v>
      </c>
      <c r="B7" s="13">
        <v>91</v>
      </c>
    </row>
    <row r="8" spans="1:2" x14ac:dyDescent="0.25">
      <c r="A8" s="5" t="s">
        <v>62</v>
      </c>
      <c r="B8" s="13">
        <v>500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7A17C-7D0D-4EA2-8072-2C1317BE0B35}">
  <dimension ref="A1:B8"/>
  <sheetViews>
    <sheetView workbookViewId="0">
      <selection activeCell="L23" sqref="L23"/>
    </sheetView>
  </sheetViews>
  <sheetFormatPr defaultRowHeight="15" x14ac:dyDescent="0.25"/>
  <cols>
    <col min="1" max="1" width="13.140625" bestFit="1" customWidth="1"/>
    <col min="2" max="2" width="24" bestFit="1" customWidth="1"/>
  </cols>
  <sheetData>
    <row r="1" spans="1:2" x14ac:dyDescent="0.25">
      <c r="A1" s="4" t="s">
        <v>61</v>
      </c>
      <c r="B1" t="s">
        <v>59</v>
      </c>
    </row>
    <row r="2" spans="1:2" x14ac:dyDescent="0.25">
      <c r="A2" s="5" t="s">
        <v>22</v>
      </c>
      <c r="B2" s="3">
        <v>150629.33333333334</v>
      </c>
    </row>
    <row r="3" spans="1:2" x14ac:dyDescent="0.25">
      <c r="A3" s="5" t="s">
        <v>18</v>
      </c>
      <c r="B3" s="3">
        <v>147421.93548387097</v>
      </c>
    </row>
    <row r="4" spans="1:2" x14ac:dyDescent="0.25">
      <c r="A4" s="5" t="s">
        <v>36</v>
      </c>
      <c r="B4" s="3">
        <v>146147.54430379748</v>
      </c>
    </row>
    <row r="5" spans="1:2" x14ac:dyDescent="0.25">
      <c r="A5" s="5" t="s">
        <v>12</v>
      </c>
      <c r="B5" s="3">
        <v>141845.8021978022</v>
      </c>
    </row>
    <row r="6" spans="1:2" x14ac:dyDescent="0.25">
      <c r="A6" s="5" t="s">
        <v>30</v>
      </c>
      <c r="B6" s="3">
        <v>141493.42857142858</v>
      </c>
    </row>
    <row r="7" spans="1:2" x14ac:dyDescent="0.25">
      <c r="A7" s="5" t="s">
        <v>28</v>
      </c>
      <c r="B7" s="3">
        <v>140156</v>
      </c>
    </row>
    <row r="8" spans="1:2" x14ac:dyDescent="0.25">
      <c r="A8" s="5" t="s">
        <v>62</v>
      </c>
      <c r="B8" s="3">
        <v>144494.51999999999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33381-DF5A-4F7F-8771-5BA379B8CF6C}">
  <dimension ref="A1:B5"/>
  <sheetViews>
    <sheetView workbookViewId="0">
      <selection activeCell="D35" sqref="D35"/>
    </sheetView>
  </sheetViews>
  <sheetFormatPr defaultRowHeight="15" x14ac:dyDescent="0.25"/>
  <cols>
    <col min="1" max="1" width="13.140625" bestFit="1" customWidth="1"/>
    <col min="2" max="2" width="20" bestFit="1" customWidth="1"/>
  </cols>
  <sheetData>
    <row r="1" spans="1:2" x14ac:dyDescent="0.25">
      <c r="A1" s="4" t="s">
        <v>61</v>
      </c>
      <c r="B1" t="s">
        <v>58</v>
      </c>
    </row>
    <row r="2" spans="1:2" x14ac:dyDescent="0.25">
      <c r="A2" s="5" t="s">
        <v>54</v>
      </c>
      <c r="B2" s="13">
        <v>207</v>
      </c>
    </row>
    <row r="3" spans="1:2" x14ac:dyDescent="0.25">
      <c r="A3" s="5" t="s">
        <v>51</v>
      </c>
      <c r="B3" s="13">
        <v>213</v>
      </c>
    </row>
    <row r="4" spans="1:2" x14ac:dyDescent="0.25">
      <c r="A4" s="5" t="s">
        <v>55</v>
      </c>
      <c r="B4" s="13">
        <v>80</v>
      </c>
    </row>
    <row r="5" spans="1:2" x14ac:dyDescent="0.25">
      <c r="A5" s="5" t="s">
        <v>62</v>
      </c>
      <c r="B5" s="13">
        <v>500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C755E-D91C-4ABC-9939-CDBD84F1E9FE}">
  <dimension ref="A1:B5"/>
  <sheetViews>
    <sheetView workbookViewId="0">
      <selection activeCell="B4" sqref="B4"/>
    </sheetView>
  </sheetViews>
  <sheetFormatPr defaultRowHeight="15" x14ac:dyDescent="0.25"/>
  <cols>
    <col min="1" max="1" width="13.140625" bestFit="1" customWidth="1"/>
    <col min="2" max="2" width="20" bestFit="1" customWidth="1"/>
  </cols>
  <sheetData>
    <row r="1" spans="1:2" x14ac:dyDescent="0.25">
      <c r="A1" s="4" t="s">
        <v>61</v>
      </c>
      <c r="B1" t="s">
        <v>58</v>
      </c>
    </row>
    <row r="2" spans="1:2" x14ac:dyDescent="0.25">
      <c r="A2" s="5" t="s">
        <v>27</v>
      </c>
      <c r="B2" s="13">
        <v>157</v>
      </c>
    </row>
    <row r="3" spans="1:2" x14ac:dyDescent="0.25">
      <c r="A3" s="5" t="s">
        <v>32</v>
      </c>
      <c r="B3" s="13">
        <v>176</v>
      </c>
    </row>
    <row r="4" spans="1:2" x14ac:dyDescent="0.25">
      <c r="A4" s="5" t="s">
        <v>16</v>
      </c>
      <c r="B4" s="13">
        <v>167</v>
      </c>
    </row>
    <row r="5" spans="1:2" x14ac:dyDescent="0.25">
      <c r="A5" s="5" t="s">
        <v>62</v>
      </c>
      <c r="B5" s="13">
        <v>500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16E1C-D6CC-4356-9B1B-1B94E8499575}">
  <dimension ref="A1:I9"/>
  <sheetViews>
    <sheetView workbookViewId="0">
      <selection activeCell="B36" sqref="B36"/>
    </sheetView>
  </sheetViews>
  <sheetFormatPr defaultRowHeight="15" x14ac:dyDescent="0.25"/>
  <cols>
    <col min="1" max="1" width="20" bestFit="1" customWidth="1"/>
    <col min="2" max="2" width="16.28515625" bestFit="1" customWidth="1"/>
    <col min="3" max="3" width="4.140625" bestFit="1" customWidth="1"/>
    <col min="4" max="4" width="11.28515625" bestFit="1" customWidth="1"/>
    <col min="6" max="6" width="20" bestFit="1" customWidth="1"/>
    <col min="7" max="7" width="16.28515625" bestFit="1" customWidth="1"/>
    <col min="8" max="8" width="7.140625" bestFit="1" customWidth="1"/>
    <col min="9" max="9" width="11.28515625" bestFit="1" customWidth="1"/>
    <col min="10" max="10" width="13.140625" bestFit="1" customWidth="1"/>
    <col min="11" max="11" width="20" bestFit="1" customWidth="1"/>
    <col min="12" max="12" width="28.5703125" bestFit="1" customWidth="1"/>
    <col min="13" max="13" width="6.7109375" bestFit="1" customWidth="1"/>
    <col min="14" max="14" width="11.28515625" bestFit="1" customWidth="1"/>
  </cols>
  <sheetData>
    <row r="1" spans="1:9" x14ac:dyDescent="0.25">
      <c r="A1" s="4" t="s">
        <v>58</v>
      </c>
      <c r="B1" s="4" t="s">
        <v>73</v>
      </c>
      <c r="F1" s="4" t="s">
        <v>58</v>
      </c>
      <c r="G1" s="4" t="s">
        <v>73</v>
      </c>
    </row>
    <row r="2" spans="1:9" x14ac:dyDescent="0.25">
      <c r="A2" s="4" t="s">
        <v>61</v>
      </c>
      <c r="B2" t="s">
        <v>20</v>
      </c>
      <c r="C2" t="s">
        <v>15</v>
      </c>
      <c r="D2" t="s">
        <v>62</v>
      </c>
      <c r="F2" s="4" t="s">
        <v>61</v>
      </c>
      <c r="G2" t="s">
        <v>15</v>
      </c>
      <c r="H2" t="s">
        <v>20</v>
      </c>
      <c r="I2" t="s">
        <v>62</v>
      </c>
    </row>
    <row r="3" spans="1:9" x14ac:dyDescent="0.25">
      <c r="A3" s="5" t="s">
        <v>18</v>
      </c>
      <c r="B3" s="13">
        <v>49</v>
      </c>
      <c r="C3" s="13">
        <v>44</v>
      </c>
      <c r="D3" s="13">
        <v>93</v>
      </c>
      <c r="F3" s="5" t="s">
        <v>36</v>
      </c>
      <c r="G3" s="6">
        <v>0.51898734177215189</v>
      </c>
      <c r="H3" s="6">
        <v>0.48101265822784811</v>
      </c>
      <c r="I3" s="6">
        <v>1</v>
      </c>
    </row>
    <row r="4" spans="1:9" x14ac:dyDescent="0.25">
      <c r="A4" s="5" t="s">
        <v>30</v>
      </c>
      <c r="B4" s="13">
        <v>41</v>
      </c>
      <c r="C4" s="13">
        <v>43</v>
      </c>
      <c r="D4" s="13">
        <v>84</v>
      </c>
      <c r="F4" s="5" t="s">
        <v>28</v>
      </c>
      <c r="G4" s="6">
        <v>0.54320987654320985</v>
      </c>
      <c r="H4" s="6">
        <v>0.4567901234567901</v>
      </c>
      <c r="I4" s="6">
        <v>1</v>
      </c>
    </row>
    <row r="5" spans="1:9" x14ac:dyDescent="0.25">
      <c r="A5" s="5" t="s">
        <v>36</v>
      </c>
      <c r="B5" s="13">
        <v>38</v>
      </c>
      <c r="C5" s="13">
        <v>41</v>
      </c>
      <c r="D5" s="13">
        <v>79</v>
      </c>
      <c r="F5" s="5" t="s">
        <v>22</v>
      </c>
      <c r="G5" s="6">
        <v>0.40277777777777779</v>
      </c>
      <c r="H5" s="6">
        <v>0.59722222222222221</v>
      </c>
      <c r="I5" s="6">
        <v>1</v>
      </c>
    </row>
    <row r="6" spans="1:9" x14ac:dyDescent="0.25">
      <c r="A6" s="5" t="s">
        <v>28</v>
      </c>
      <c r="B6" s="13">
        <v>37</v>
      </c>
      <c r="C6" s="13">
        <v>44</v>
      </c>
      <c r="D6" s="13">
        <v>81</v>
      </c>
      <c r="F6" s="5" t="s">
        <v>18</v>
      </c>
      <c r="G6" s="6">
        <v>0.4731182795698925</v>
      </c>
      <c r="H6" s="6">
        <v>0.5268817204301075</v>
      </c>
      <c r="I6" s="6">
        <v>1</v>
      </c>
    </row>
    <row r="7" spans="1:9" x14ac:dyDescent="0.25">
      <c r="A7" s="5" t="s">
        <v>22</v>
      </c>
      <c r="B7" s="13">
        <v>43</v>
      </c>
      <c r="C7" s="13">
        <v>29</v>
      </c>
      <c r="D7" s="13">
        <v>72</v>
      </c>
      <c r="F7" s="5" t="s">
        <v>30</v>
      </c>
      <c r="G7" s="6">
        <v>0.51190476190476186</v>
      </c>
      <c r="H7" s="6">
        <v>0.48809523809523808</v>
      </c>
      <c r="I7" s="6">
        <v>1</v>
      </c>
    </row>
    <row r="8" spans="1:9" x14ac:dyDescent="0.25">
      <c r="A8" s="5" t="s">
        <v>12</v>
      </c>
      <c r="B8" s="13">
        <v>43</v>
      </c>
      <c r="C8" s="13">
        <v>48</v>
      </c>
      <c r="D8" s="13">
        <v>91</v>
      </c>
      <c r="F8" s="5" t="s">
        <v>12</v>
      </c>
      <c r="G8" s="6">
        <v>0.52747252747252749</v>
      </c>
      <c r="H8" s="6">
        <v>0.47252747252747251</v>
      </c>
      <c r="I8" s="6">
        <v>1</v>
      </c>
    </row>
    <row r="9" spans="1:9" x14ac:dyDescent="0.25">
      <c r="A9" s="5" t="s">
        <v>62</v>
      </c>
      <c r="B9" s="13">
        <v>251</v>
      </c>
      <c r="C9" s="13">
        <v>249</v>
      </c>
      <c r="D9" s="13">
        <v>500</v>
      </c>
      <c r="F9" s="5" t="s">
        <v>62</v>
      </c>
      <c r="G9" s="6">
        <v>0.498</v>
      </c>
      <c r="H9" s="6">
        <v>0.502</v>
      </c>
      <c r="I9" s="6">
        <v>1</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1EE0B-0784-465F-9ACA-88FECFFC11F0}">
  <dimension ref="A1:R501"/>
  <sheetViews>
    <sheetView workbookViewId="0">
      <selection activeCell="G17" sqref="G17"/>
    </sheetView>
  </sheetViews>
  <sheetFormatPr defaultRowHeight="15" x14ac:dyDescent="0.25"/>
  <cols>
    <col min="1" max="1" width="14" bestFit="1" customWidth="1"/>
    <col min="2" max="2" width="11.140625" bestFit="1" customWidth="1"/>
    <col min="3" max="3" width="9.28515625" bestFit="1" customWidth="1"/>
    <col min="4" max="4" width="7.28515625" bestFit="1" customWidth="1"/>
    <col min="5" max="5" width="14" bestFit="1" customWidth="1"/>
    <col min="6" max="6" width="19.7109375" bestFit="1" customWidth="1"/>
    <col min="7" max="7" width="10" bestFit="1" customWidth="1"/>
    <col min="8" max="8" width="6.7109375" bestFit="1" customWidth="1"/>
    <col min="9" max="9" width="13.28515625" bestFit="1" customWidth="1"/>
    <col min="10" max="10" width="16.28515625" bestFit="1" customWidth="1"/>
    <col min="11" max="11" width="16" bestFit="1" customWidth="1"/>
    <col min="12" max="12" width="18.5703125" bestFit="1" customWidth="1"/>
    <col min="13" max="13" width="19" bestFit="1" customWidth="1"/>
    <col min="14" max="14" width="20.5703125" bestFit="1" customWidth="1"/>
    <col min="15" max="15" width="24" bestFit="1" customWidth="1"/>
    <col min="16" max="16" width="11.7109375" bestFit="1" customWidth="1"/>
    <col min="17" max="17" width="15.7109375" bestFit="1" customWidth="1"/>
    <col min="18" max="18" width="17.5703125" bestFit="1" customWidth="1"/>
  </cols>
  <sheetData>
    <row r="1" spans="1:18" x14ac:dyDescent="0.25">
      <c r="A1" t="s">
        <v>0</v>
      </c>
      <c r="B1" t="s">
        <v>1</v>
      </c>
      <c r="C1" t="s">
        <v>43</v>
      </c>
      <c r="D1" t="s">
        <v>44</v>
      </c>
      <c r="E1" t="s">
        <v>2</v>
      </c>
      <c r="F1" t="s">
        <v>3</v>
      </c>
      <c r="G1" t="s">
        <v>4</v>
      </c>
      <c r="H1" t="s">
        <v>5</v>
      </c>
      <c r="I1" t="s">
        <v>45</v>
      </c>
      <c r="J1" t="s">
        <v>6</v>
      </c>
      <c r="K1" t="s">
        <v>46</v>
      </c>
      <c r="L1" t="s">
        <v>7</v>
      </c>
      <c r="M1" t="s">
        <v>47</v>
      </c>
      <c r="N1" t="s">
        <v>8</v>
      </c>
      <c r="O1" t="s">
        <v>48</v>
      </c>
      <c r="P1" t="s">
        <v>9</v>
      </c>
      <c r="Q1" t="s">
        <v>10</v>
      </c>
      <c r="R1" t="s">
        <v>11</v>
      </c>
    </row>
    <row r="2" spans="1:18" x14ac:dyDescent="0.25">
      <c r="A2">
        <v>2</v>
      </c>
      <c r="B2" s="2">
        <v>40596</v>
      </c>
      <c r="C2">
        <v>2</v>
      </c>
      <c r="D2">
        <v>2011</v>
      </c>
      <c r="E2" t="s">
        <v>18</v>
      </c>
      <c r="F2" t="s">
        <v>19</v>
      </c>
      <c r="G2" t="s">
        <v>14</v>
      </c>
      <c r="H2">
        <v>36</v>
      </c>
      <c r="I2" t="s">
        <v>49</v>
      </c>
      <c r="J2">
        <v>17387</v>
      </c>
      <c r="K2">
        <v>208644</v>
      </c>
      <c r="L2">
        <v>14</v>
      </c>
      <c r="M2" t="s">
        <v>50</v>
      </c>
      <c r="N2">
        <v>2</v>
      </c>
      <c r="O2" t="s">
        <v>51</v>
      </c>
      <c r="P2" t="s">
        <v>20</v>
      </c>
      <c r="Q2" t="s">
        <v>16</v>
      </c>
      <c r="R2" t="s">
        <v>21</v>
      </c>
    </row>
    <row r="3" spans="1:18" x14ac:dyDescent="0.25">
      <c r="A3">
        <v>8</v>
      </c>
      <c r="B3" s="2">
        <v>42430</v>
      </c>
      <c r="C3">
        <v>3</v>
      </c>
      <c r="D3">
        <v>2016</v>
      </c>
      <c r="E3" t="s">
        <v>22</v>
      </c>
      <c r="F3" t="s">
        <v>23</v>
      </c>
      <c r="G3" t="s">
        <v>24</v>
      </c>
      <c r="H3">
        <v>51</v>
      </c>
      <c r="I3" t="s">
        <v>52</v>
      </c>
      <c r="J3">
        <v>5927</v>
      </c>
      <c r="K3">
        <v>71124</v>
      </c>
      <c r="L3">
        <v>11</v>
      </c>
      <c r="M3" t="s">
        <v>50</v>
      </c>
      <c r="N3">
        <v>2</v>
      </c>
      <c r="O3" t="s">
        <v>51</v>
      </c>
      <c r="P3" t="s">
        <v>20</v>
      </c>
      <c r="Q3" t="s">
        <v>27</v>
      </c>
      <c r="R3" t="s">
        <v>21</v>
      </c>
    </row>
    <row r="4" spans="1:18" x14ac:dyDescent="0.25">
      <c r="A4">
        <v>12</v>
      </c>
      <c r="B4" s="2">
        <v>42114</v>
      </c>
      <c r="C4">
        <v>4</v>
      </c>
      <c r="D4">
        <v>2015</v>
      </c>
      <c r="E4" t="s">
        <v>22</v>
      </c>
      <c r="F4" t="s">
        <v>35</v>
      </c>
      <c r="G4" t="s">
        <v>24</v>
      </c>
      <c r="H4">
        <v>24</v>
      </c>
      <c r="I4" t="s">
        <v>53</v>
      </c>
      <c r="J4">
        <v>15012</v>
      </c>
      <c r="K4">
        <v>180144</v>
      </c>
      <c r="L4">
        <v>14</v>
      </c>
      <c r="M4" t="s">
        <v>50</v>
      </c>
      <c r="N4">
        <v>1</v>
      </c>
      <c r="O4" t="s">
        <v>51</v>
      </c>
      <c r="P4" t="s">
        <v>20</v>
      </c>
      <c r="Q4" t="s">
        <v>16</v>
      </c>
      <c r="R4" t="s">
        <v>17</v>
      </c>
    </row>
    <row r="5" spans="1:18" x14ac:dyDescent="0.25">
      <c r="A5">
        <v>16</v>
      </c>
      <c r="B5" s="2">
        <v>43652</v>
      </c>
      <c r="C5">
        <v>7</v>
      </c>
      <c r="D5">
        <v>2019</v>
      </c>
      <c r="E5" t="s">
        <v>12</v>
      </c>
      <c r="F5" t="s">
        <v>13</v>
      </c>
      <c r="G5" t="s">
        <v>24</v>
      </c>
      <c r="H5">
        <v>43</v>
      </c>
      <c r="I5" t="s">
        <v>49</v>
      </c>
      <c r="J5">
        <v>17648</v>
      </c>
      <c r="K5">
        <v>211776</v>
      </c>
      <c r="L5">
        <v>15</v>
      </c>
      <c r="M5" t="s">
        <v>50</v>
      </c>
      <c r="N5">
        <v>1</v>
      </c>
      <c r="O5" t="s">
        <v>51</v>
      </c>
      <c r="P5" t="s">
        <v>15</v>
      </c>
      <c r="Q5" t="s">
        <v>32</v>
      </c>
      <c r="R5" t="s">
        <v>21</v>
      </c>
    </row>
    <row r="6" spans="1:18" x14ac:dyDescent="0.25">
      <c r="A6">
        <v>17</v>
      </c>
      <c r="B6" s="2">
        <v>43924</v>
      </c>
      <c r="C6">
        <v>4</v>
      </c>
      <c r="D6">
        <v>2020</v>
      </c>
      <c r="E6" t="s">
        <v>30</v>
      </c>
      <c r="F6" t="s">
        <v>38</v>
      </c>
      <c r="G6" t="s">
        <v>14</v>
      </c>
      <c r="H6">
        <v>41</v>
      </c>
      <c r="I6" t="s">
        <v>49</v>
      </c>
      <c r="J6">
        <v>17695</v>
      </c>
      <c r="K6">
        <v>212340</v>
      </c>
      <c r="L6">
        <v>8</v>
      </c>
      <c r="M6" t="s">
        <v>50</v>
      </c>
      <c r="N6">
        <v>1</v>
      </c>
      <c r="O6" t="s">
        <v>51</v>
      </c>
      <c r="P6" t="s">
        <v>15</v>
      </c>
      <c r="Q6" t="s">
        <v>27</v>
      </c>
      <c r="R6" t="s">
        <v>34</v>
      </c>
    </row>
    <row r="7" spans="1:18" x14ac:dyDescent="0.25">
      <c r="A7">
        <v>19</v>
      </c>
      <c r="B7" s="2">
        <v>43332</v>
      </c>
      <c r="C7">
        <v>8</v>
      </c>
      <c r="D7">
        <v>2018</v>
      </c>
      <c r="E7" t="s">
        <v>22</v>
      </c>
      <c r="F7" t="s">
        <v>35</v>
      </c>
      <c r="G7" t="s">
        <v>24</v>
      </c>
      <c r="H7">
        <v>56</v>
      </c>
      <c r="I7" t="s">
        <v>52</v>
      </c>
      <c r="J7">
        <v>15214</v>
      </c>
      <c r="K7">
        <v>182568</v>
      </c>
      <c r="L7">
        <v>13</v>
      </c>
      <c r="M7" t="s">
        <v>50</v>
      </c>
      <c r="N7">
        <v>2</v>
      </c>
      <c r="O7" t="s">
        <v>51</v>
      </c>
      <c r="P7" t="s">
        <v>20</v>
      </c>
      <c r="Q7" t="s">
        <v>16</v>
      </c>
      <c r="R7" t="s">
        <v>21</v>
      </c>
    </row>
    <row r="8" spans="1:18" x14ac:dyDescent="0.25">
      <c r="A8">
        <v>50</v>
      </c>
      <c r="B8" s="2">
        <v>42226</v>
      </c>
      <c r="C8">
        <v>8</v>
      </c>
      <c r="D8">
        <v>2015</v>
      </c>
      <c r="E8" t="s">
        <v>18</v>
      </c>
      <c r="F8" t="s">
        <v>26</v>
      </c>
      <c r="G8" t="s">
        <v>14</v>
      </c>
      <c r="H8">
        <v>57</v>
      </c>
      <c r="I8" t="s">
        <v>52</v>
      </c>
      <c r="J8">
        <v>15419</v>
      </c>
      <c r="K8">
        <v>185028</v>
      </c>
      <c r="L8">
        <v>14</v>
      </c>
      <c r="M8" t="s">
        <v>50</v>
      </c>
      <c r="N8">
        <v>1</v>
      </c>
      <c r="O8" t="s">
        <v>51</v>
      </c>
      <c r="P8" t="s">
        <v>20</v>
      </c>
      <c r="Q8" t="s">
        <v>27</v>
      </c>
      <c r="R8" t="s">
        <v>21</v>
      </c>
    </row>
    <row r="9" spans="1:18" x14ac:dyDescent="0.25">
      <c r="A9">
        <v>52</v>
      </c>
      <c r="B9" s="2">
        <v>41615</v>
      </c>
      <c r="C9">
        <v>12</v>
      </c>
      <c r="D9">
        <v>2013</v>
      </c>
      <c r="E9" t="s">
        <v>30</v>
      </c>
      <c r="F9" t="s">
        <v>31</v>
      </c>
      <c r="G9" t="s">
        <v>14</v>
      </c>
      <c r="H9">
        <v>33</v>
      </c>
      <c r="I9" t="s">
        <v>49</v>
      </c>
      <c r="J9">
        <v>4153</v>
      </c>
      <c r="K9">
        <v>49836</v>
      </c>
      <c r="L9">
        <v>13</v>
      </c>
      <c r="M9" t="s">
        <v>50</v>
      </c>
      <c r="N9">
        <v>1</v>
      </c>
      <c r="O9" t="s">
        <v>51</v>
      </c>
      <c r="P9" t="s">
        <v>20</v>
      </c>
      <c r="Q9" t="s">
        <v>27</v>
      </c>
      <c r="R9" t="s">
        <v>34</v>
      </c>
    </row>
    <row r="10" spans="1:18" x14ac:dyDescent="0.25">
      <c r="A10">
        <v>58</v>
      </c>
      <c r="B10" s="2">
        <v>43831</v>
      </c>
      <c r="C10">
        <v>1</v>
      </c>
      <c r="D10">
        <v>2020</v>
      </c>
      <c r="E10" t="s">
        <v>18</v>
      </c>
      <c r="F10" t="s">
        <v>26</v>
      </c>
      <c r="G10" t="s">
        <v>14</v>
      </c>
      <c r="H10">
        <v>22</v>
      </c>
      <c r="I10" t="s">
        <v>53</v>
      </c>
      <c r="J10">
        <v>10715</v>
      </c>
      <c r="K10">
        <v>128580</v>
      </c>
      <c r="L10">
        <v>11</v>
      </c>
      <c r="M10" t="s">
        <v>50</v>
      </c>
      <c r="N10">
        <v>2</v>
      </c>
      <c r="O10" t="s">
        <v>51</v>
      </c>
      <c r="P10" t="s">
        <v>15</v>
      </c>
      <c r="Q10" t="s">
        <v>32</v>
      </c>
      <c r="R10" t="s">
        <v>39</v>
      </c>
    </row>
    <row r="11" spans="1:18" x14ac:dyDescent="0.25">
      <c r="A11">
        <v>59</v>
      </c>
      <c r="B11" s="2">
        <v>43202</v>
      </c>
      <c r="C11">
        <v>4</v>
      </c>
      <c r="D11">
        <v>2018</v>
      </c>
      <c r="E11" t="s">
        <v>30</v>
      </c>
      <c r="F11" t="s">
        <v>31</v>
      </c>
      <c r="G11" t="s">
        <v>14</v>
      </c>
      <c r="H11">
        <v>45</v>
      </c>
      <c r="I11" t="s">
        <v>49</v>
      </c>
      <c r="J11">
        <v>19436</v>
      </c>
      <c r="K11">
        <v>233232</v>
      </c>
      <c r="L11">
        <v>8</v>
      </c>
      <c r="M11" t="s">
        <v>50</v>
      </c>
      <c r="N11">
        <v>1</v>
      </c>
      <c r="O11" t="s">
        <v>51</v>
      </c>
      <c r="P11" t="s">
        <v>15</v>
      </c>
      <c r="Q11" t="s">
        <v>32</v>
      </c>
      <c r="R11" t="s">
        <v>25</v>
      </c>
    </row>
    <row r="12" spans="1:18" x14ac:dyDescent="0.25">
      <c r="A12">
        <v>68</v>
      </c>
      <c r="B12" s="2">
        <v>43667</v>
      </c>
      <c r="C12">
        <v>7</v>
      </c>
      <c r="D12">
        <v>2019</v>
      </c>
      <c r="E12" t="s">
        <v>28</v>
      </c>
      <c r="F12" t="s">
        <v>33</v>
      </c>
      <c r="G12" t="s">
        <v>14</v>
      </c>
      <c r="H12">
        <v>34</v>
      </c>
      <c r="I12" t="s">
        <v>49</v>
      </c>
      <c r="J12">
        <v>9058</v>
      </c>
      <c r="K12">
        <v>108696</v>
      </c>
      <c r="L12">
        <v>8</v>
      </c>
      <c r="M12" t="s">
        <v>50</v>
      </c>
      <c r="N12">
        <v>1</v>
      </c>
      <c r="O12" t="s">
        <v>51</v>
      </c>
      <c r="P12" t="s">
        <v>20</v>
      </c>
      <c r="Q12" t="s">
        <v>32</v>
      </c>
      <c r="R12" t="s">
        <v>17</v>
      </c>
    </row>
    <row r="13" spans="1:18" x14ac:dyDescent="0.25">
      <c r="A13">
        <v>74</v>
      </c>
      <c r="B13" s="2">
        <v>41422</v>
      </c>
      <c r="C13">
        <v>5</v>
      </c>
      <c r="D13">
        <v>2013</v>
      </c>
      <c r="E13" t="s">
        <v>36</v>
      </c>
      <c r="F13" t="s">
        <v>40</v>
      </c>
      <c r="G13" t="s">
        <v>24</v>
      </c>
      <c r="H13">
        <v>57</v>
      </c>
      <c r="I13" t="s">
        <v>52</v>
      </c>
      <c r="J13">
        <v>11608</v>
      </c>
      <c r="K13">
        <v>139296</v>
      </c>
      <c r="L13">
        <v>8</v>
      </c>
      <c r="M13" t="s">
        <v>50</v>
      </c>
      <c r="N13">
        <v>2</v>
      </c>
      <c r="O13" t="s">
        <v>51</v>
      </c>
      <c r="P13" t="s">
        <v>20</v>
      </c>
      <c r="Q13" t="s">
        <v>16</v>
      </c>
      <c r="R13" t="s">
        <v>17</v>
      </c>
    </row>
    <row r="14" spans="1:18" x14ac:dyDescent="0.25">
      <c r="A14">
        <v>85</v>
      </c>
      <c r="B14" s="2">
        <v>42270</v>
      </c>
      <c r="C14">
        <v>9</v>
      </c>
      <c r="D14">
        <v>2015</v>
      </c>
      <c r="E14" t="s">
        <v>30</v>
      </c>
      <c r="F14" t="s">
        <v>31</v>
      </c>
      <c r="G14" t="s">
        <v>14</v>
      </c>
      <c r="H14">
        <v>35</v>
      </c>
      <c r="I14" t="s">
        <v>49</v>
      </c>
      <c r="J14">
        <v>4009</v>
      </c>
      <c r="K14">
        <v>48108</v>
      </c>
      <c r="L14">
        <v>13</v>
      </c>
      <c r="M14" t="s">
        <v>50</v>
      </c>
      <c r="N14">
        <v>1</v>
      </c>
      <c r="O14" t="s">
        <v>51</v>
      </c>
      <c r="P14" t="s">
        <v>15</v>
      </c>
      <c r="Q14" t="s">
        <v>32</v>
      </c>
      <c r="R14" t="s">
        <v>17</v>
      </c>
    </row>
    <row r="15" spans="1:18" x14ac:dyDescent="0.25">
      <c r="A15">
        <v>87</v>
      </c>
      <c r="B15" s="2">
        <v>43589</v>
      </c>
      <c r="C15">
        <v>5</v>
      </c>
      <c r="D15">
        <v>2019</v>
      </c>
      <c r="E15" t="s">
        <v>30</v>
      </c>
      <c r="F15" t="s">
        <v>31</v>
      </c>
      <c r="G15" t="s">
        <v>24</v>
      </c>
      <c r="H15">
        <v>27</v>
      </c>
      <c r="I15" t="s">
        <v>53</v>
      </c>
      <c r="J15">
        <v>4572</v>
      </c>
      <c r="K15">
        <v>54864</v>
      </c>
      <c r="L15">
        <v>14</v>
      </c>
      <c r="M15" t="s">
        <v>50</v>
      </c>
      <c r="N15">
        <v>2</v>
      </c>
      <c r="O15" t="s">
        <v>51</v>
      </c>
      <c r="P15" t="s">
        <v>20</v>
      </c>
      <c r="Q15" t="s">
        <v>16</v>
      </c>
      <c r="R15" t="s">
        <v>34</v>
      </c>
    </row>
    <row r="16" spans="1:18" x14ac:dyDescent="0.25">
      <c r="A16">
        <v>95</v>
      </c>
      <c r="B16" s="2">
        <v>41130</v>
      </c>
      <c r="C16">
        <v>8</v>
      </c>
      <c r="D16">
        <v>2012</v>
      </c>
      <c r="E16" t="s">
        <v>30</v>
      </c>
      <c r="F16" t="s">
        <v>38</v>
      </c>
      <c r="G16" t="s">
        <v>24</v>
      </c>
      <c r="H16">
        <v>56</v>
      </c>
      <c r="I16" t="s">
        <v>52</v>
      </c>
      <c r="J16">
        <v>4304</v>
      </c>
      <c r="K16">
        <v>51648</v>
      </c>
      <c r="L16">
        <v>13</v>
      </c>
      <c r="M16" t="s">
        <v>50</v>
      </c>
      <c r="N16">
        <v>1</v>
      </c>
      <c r="O16" t="s">
        <v>51</v>
      </c>
      <c r="P16" t="s">
        <v>15</v>
      </c>
      <c r="Q16" t="s">
        <v>27</v>
      </c>
      <c r="R16" t="s">
        <v>39</v>
      </c>
    </row>
    <row r="17" spans="1:18" x14ac:dyDescent="0.25">
      <c r="A17">
        <v>96</v>
      </c>
      <c r="B17" s="2">
        <v>40313</v>
      </c>
      <c r="C17">
        <v>5</v>
      </c>
      <c r="D17">
        <v>2010</v>
      </c>
      <c r="E17" t="s">
        <v>36</v>
      </c>
      <c r="F17" t="s">
        <v>37</v>
      </c>
      <c r="G17" t="s">
        <v>24</v>
      </c>
      <c r="H17">
        <v>33</v>
      </c>
      <c r="I17" t="s">
        <v>49</v>
      </c>
      <c r="J17">
        <v>17893</v>
      </c>
      <c r="K17">
        <v>214716</v>
      </c>
      <c r="L17">
        <v>10</v>
      </c>
      <c r="M17" t="s">
        <v>50</v>
      </c>
      <c r="N17">
        <v>2</v>
      </c>
      <c r="O17" t="s">
        <v>51</v>
      </c>
      <c r="P17" t="s">
        <v>15</v>
      </c>
      <c r="Q17" t="s">
        <v>32</v>
      </c>
      <c r="R17" t="s">
        <v>17</v>
      </c>
    </row>
    <row r="18" spans="1:18" x14ac:dyDescent="0.25">
      <c r="A18">
        <v>103</v>
      </c>
      <c r="B18" s="2">
        <v>41051</v>
      </c>
      <c r="C18">
        <v>5</v>
      </c>
      <c r="D18">
        <v>2012</v>
      </c>
      <c r="E18" t="s">
        <v>18</v>
      </c>
      <c r="F18" t="s">
        <v>26</v>
      </c>
      <c r="G18" t="s">
        <v>14</v>
      </c>
      <c r="H18">
        <v>56</v>
      </c>
      <c r="I18" t="s">
        <v>52</v>
      </c>
      <c r="J18">
        <v>9092</v>
      </c>
      <c r="K18">
        <v>109104</v>
      </c>
      <c r="L18">
        <v>11</v>
      </c>
      <c r="M18" t="s">
        <v>50</v>
      </c>
      <c r="N18">
        <v>2</v>
      </c>
      <c r="O18" t="s">
        <v>51</v>
      </c>
      <c r="P18" t="s">
        <v>15</v>
      </c>
      <c r="Q18" t="s">
        <v>32</v>
      </c>
      <c r="R18" t="s">
        <v>34</v>
      </c>
    </row>
    <row r="19" spans="1:18" x14ac:dyDescent="0.25">
      <c r="A19">
        <v>112</v>
      </c>
      <c r="B19" s="2">
        <v>40642</v>
      </c>
      <c r="C19">
        <v>4</v>
      </c>
      <c r="D19">
        <v>2011</v>
      </c>
      <c r="E19" t="s">
        <v>12</v>
      </c>
      <c r="F19" t="s">
        <v>13</v>
      </c>
      <c r="G19" t="s">
        <v>24</v>
      </c>
      <c r="H19">
        <v>43</v>
      </c>
      <c r="I19" t="s">
        <v>49</v>
      </c>
      <c r="J19">
        <v>12957</v>
      </c>
      <c r="K19">
        <v>155484</v>
      </c>
      <c r="L19">
        <v>9</v>
      </c>
      <c r="M19" t="s">
        <v>50</v>
      </c>
      <c r="N19">
        <v>2</v>
      </c>
      <c r="O19" t="s">
        <v>51</v>
      </c>
      <c r="P19" t="s">
        <v>20</v>
      </c>
      <c r="Q19" t="s">
        <v>32</v>
      </c>
      <c r="R19" t="s">
        <v>39</v>
      </c>
    </row>
    <row r="20" spans="1:18" x14ac:dyDescent="0.25">
      <c r="A20">
        <v>114</v>
      </c>
      <c r="B20" s="2">
        <v>44607</v>
      </c>
      <c r="C20">
        <v>2</v>
      </c>
      <c r="D20">
        <v>2022</v>
      </c>
      <c r="E20" t="s">
        <v>22</v>
      </c>
      <c r="F20" t="s">
        <v>23</v>
      </c>
      <c r="G20" t="s">
        <v>24</v>
      </c>
      <c r="H20">
        <v>44</v>
      </c>
      <c r="I20" t="s">
        <v>49</v>
      </c>
      <c r="J20">
        <v>16327</v>
      </c>
      <c r="K20">
        <v>195924</v>
      </c>
      <c r="L20">
        <v>10</v>
      </c>
      <c r="M20" t="s">
        <v>50</v>
      </c>
      <c r="N20">
        <v>2</v>
      </c>
      <c r="O20" t="s">
        <v>51</v>
      </c>
      <c r="P20" t="s">
        <v>20</v>
      </c>
      <c r="Q20" t="s">
        <v>27</v>
      </c>
      <c r="R20" t="s">
        <v>17</v>
      </c>
    </row>
    <row r="21" spans="1:18" x14ac:dyDescent="0.25">
      <c r="A21">
        <v>127</v>
      </c>
      <c r="B21" s="2">
        <v>40223</v>
      </c>
      <c r="C21">
        <v>2</v>
      </c>
      <c r="D21">
        <v>2010</v>
      </c>
      <c r="E21" t="s">
        <v>30</v>
      </c>
      <c r="F21" t="s">
        <v>31</v>
      </c>
      <c r="G21" t="s">
        <v>14</v>
      </c>
      <c r="H21">
        <v>37</v>
      </c>
      <c r="I21" t="s">
        <v>49</v>
      </c>
      <c r="J21">
        <v>19206</v>
      </c>
      <c r="K21">
        <v>230472</v>
      </c>
      <c r="L21">
        <v>14</v>
      </c>
      <c r="M21" t="s">
        <v>50</v>
      </c>
      <c r="N21">
        <v>2</v>
      </c>
      <c r="O21" t="s">
        <v>51</v>
      </c>
      <c r="P21" t="s">
        <v>15</v>
      </c>
      <c r="Q21" t="s">
        <v>32</v>
      </c>
      <c r="R21" t="s">
        <v>25</v>
      </c>
    </row>
    <row r="22" spans="1:18" x14ac:dyDescent="0.25">
      <c r="A22">
        <v>129</v>
      </c>
      <c r="B22" s="2">
        <v>43027</v>
      </c>
      <c r="C22">
        <v>10</v>
      </c>
      <c r="D22">
        <v>2017</v>
      </c>
      <c r="E22" t="s">
        <v>22</v>
      </c>
      <c r="F22" t="s">
        <v>23</v>
      </c>
      <c r="G22" t="s">
        <v>24</v>
      </c>
      <c r="H22">
        <v>52</v>
      </c>
      <c r="I22" t="s">
        <v>52</v>
      </c>
      <c r="J22">
        <v>17976</v>
      </c>
      <c r="K22">
        <v>215712</v>
      </c>
      <c r="L22">
        <v>9</v>
      </c>
      <c r="M22" t="s">
        <v>50</v>
      </c>
      <c r="N22">
        <v>1</v>
      </c>
      <c r="O22" t="s">
        <v>51</v>
      </c>
      <c r="P22" t="s">
        <v>20</v>
      </c>
      <c r="Q22" t="s">
        <v>27</v>
      </c>
      <c r="R22" t="s">
        <v>25</v>
      </c>
    </row>
    <row r="23" spans="1:18" x14ac:dyDescent="0.25">
      <c r="A23">
        <v>132</v>
      </c>
      <c r="B23" s="2">
        <v>42258</v>
      </c>
      <c r="C23">
        <v>9</v>
      </c>
      <c r="D23">
        <v>2015</v>
      </c>
      <c r="E23" t="s">
        <v>12</v>
      </c>
      <c r="F23" t="s">
        <v>41</v>
      </c>
      <c r="G23" t="s">
        <v>14</v>
      </c>
      <c r="H23">
        <v>59</v>
      </c>
      <c r="I23" t="s">
        <v>52</v>
      </c>
      <c r="J23">
        <v>8160</v>
      </c>
      <c r="K23">
        <v>97920</v>
      </c>
      <c r="L23">
        <v>13</v>
      </c>
      <c r="M23" t="s">
        <v>50</v>
      </c>
      <c r="N23">
        <v>1</v>
      </c>
      <c r="O23" t="s">
        <v>51</v>
      </c>
      <c r="P23" t="s">
        <v>20</v>
      </c>
      <c r="Q23" t="s">
        <v>16</v>
      </c>
      <c r="R23" t="s">
        <v>21</v>
      </c>
    </row>
    <row r="24" spans="1:18" x14ac:dyDescent="0.25">
      <c r="A24">
        <v>138</v>
      </c>
      <c r="B24" s="2">
        <v>44143</v>
      </c>
      <c r="C24">
        <v>11</v>
      </c>
      <c r="D24">
        <v>2020</v>
      </c>
      <c r="E24" t="s">
        <v>36</v>
      </c>
      <c r="F24" t="s">
        <v>40</v>
      </c>
      <c r="G24" t="s">
        <v>24</v>
      </c>
      <c r="H24">
        <v>57</v>
      </c>
      <c r="I24" t="s">
        <v>52</v>
      </c>
      <c r="J24">
        <v>12768</v>
      </c>
      <c r="K24">
        <v>153216</v>
      </c>
      <c r="L24">
        <v>10</v>
      </c>
      <c r="M24" t="s">
        <v>50</v>
      </c>
      <c r="N24">
        <v>1</v>
      </c>
      <c r="O24" t="s">
        <v>51</v>
      </c>
      <c r="P24" t="s">
        <v>15</v>
      </c>
      <c r="Q24" t="s">
        <v>27</v>
      </c>
      <c r="R24" t="s">
        <v>17</v>
      </c>
    </row>
    <row r="25" spans="1:18" x14ac:dyDescent="0.25">
      <c r="A25">
        <v>140</v>
      </c>
      <c r="B25" s="2">
        <v>45056</v>
      </c>
      <c r="C25">
        <v>5</v>
      </c>
      <c r="D25">
        <v>2023</v>
      </c>
      <c r="E25" t="s">
        <v>12</v>
      </c>
      <c r="F25" t="s">
        <v>13</v>
      </c>
      <c r="G25" t="s">
        <v>14</v>
      </c>
      <c r="H25">
        <v>31</v>
      </c>
      <c r="I25" t="s">
        <v>49</v>
      </c>
      <c r="J25">
        <v>9724</v>
      </c>
      <c r="K25">
        <v>116688</v>
      </c>
      <c r="L25">
        <v>12</v>
      </c>
      <c r="M25" t="s">
        <v>50</v>
      </c>
      <c r="N25">
        <v>2</v>
      </c>
      <c r="O25" t="s">
        <v>51</v>
      </c>
      <c r="P25" t="s">
        <v>15</v>
      </c>
      <c r="Q25" t="s">
        <v>16</v>
      </c>
      <c r="R25" t="s">
        <v>39</v>
      </c>
    </row>
    <row r="26" spans="1:18" x14ac:dyDescent="0.25">
      <c r="A26">
        <v>141</v>
      </c>
      <c r="B26" s="2">
        <v>44391</v>
      </c>
      <c r="C26">
        <v>7</v>
      </c>
      <c r="D26">
        <v>2021</v>
      </c>
      <c r="E26" t="s">
        <v>30</v>
      </c>
      <c r="F26" t="s">
        <v>31</v>
      </c>
      <c r="G26" t="s">
        <v>14</v>
      </c>
      <c r="H26">
        <v>36</v>
      </c>
      <c r="I26" t="s">
        <v>49</v>
      </c>
      <c r="J26">
        <v>17483</v>
      </c>
      <c r="K26">
        <v>209796</v>
      </c>
      <c r="L26">
        <v>14</v>
      </c>
      <c r="M26" t="s">
        <v>50</v>
      </c>
      <c r="N26">
        <v>2</v>
      </c>
      <c r="O26" t="s">
        <v>51</v>
      </c>
      <c r="P26" t="s">
        <v>15</v>
      </c>
      <c r="Q26" t="s">
        <v>27</v>
      </c>
      <c r="R26" t="s">
        <v>34</v>
      </c>
    </row>
    <row r="27" spans="1:18" x14ac:dyDescent="0.25">
      <c r="A27">
        <v>142</v>
      </c>
      <c r="B27" s="2">
        <v>43568</v>
      </c>
      <c r="C27">
        <v>4</v>
      </c>
      <c r="D27">
        <v>2019</v>
      </c>
      <c r="E27" t="s">
        <v>18</v>
      </c>
      <c r="F27" t="s">
        <v>26</v>
      </c>
      <c r="G27" t="s">
        <v>24</v>
      </c>
      <c r="H27">
        <v>56</v>
      </c>
      <c r="I27" t="s">
        <v>52</v>
      </c>
      <c r="J27">
        <v>16902</v>
      </c>
      <c r="K27">
        <v>202824</v>
      </c>
      <c r="L27">
        <v>15</v>
      </c>
      <c r="M27" t="s">
        <v>50</v>
      </c>
      <c r="N27">
        <v>1</v>
      </c>
      <c r="O27" t="s">
        <v>51</v>
      </c>
      <c r="P27" t="s">
        <v>15</v>
      </c>
      <c r="Q27" t="s">
        <v>32</v>
      </c>
      <c r="R27" t="s">
        <v>21</v>
      </c>
    </row>
    <row r="28" spans="1:18" x14ac:dyDescent="0.25">
      <c r="A28">
        <v>144</v>
      </c>
      <c r="B28" s="2">
        <v>43864</v>
      </c>
      <c r="C28">
        <v>2</v>
      </c>
      <c r="D28">
        <v>2020</v>
      </c>
      <c r="E28" t="s">
        <v>12</v>
      </c>
      <c r="F28" t="s">
        <v>41</v>
      </c>
      <c r="G28" t="s">
        <v>24</v>
      </c>
      <c r="H28">
        <v>24</v>
      </c>
      <c r="I28" t="s">
        <v>53</v>
      </c>
      <c r="J28">
        <v>17264</v>
      </c>
      <c r="K28">
        <v>207168</v>
      </c>
      <c r="L28">
        <v>13</v>
      </c>
      <c r="M28" t="s">
        <v>50</v>
      </c>
      <c r="N28">
        <v>2</v>
      </c>
      <c r="O28" t="s">
        <v>51</v>
      </c>
      <c r="P28" t="s">
        <v>20</v>
      </c>
      <c r="Q28" t="s">
        <v>32</v>
      </c>
      <c r="R28" t="s">
        <v>34</v>
      </c>
    </row>
    <row r="29" spans="1:18" x14ac:dyDescent="0.25">
      <c r="A29">
        <v>146</v>
      </c>
      <c r="B29" s="2">
        <v>43506</v>
      </c>
      <c r="C29">
        <v>2</v>
      </c>
      <c r="D29">
        <v>2019</v>
      </c>
      <c r="E29" t="s">
        <v>28</v>
      </c>
      <c r="F29" t="s">
        <v>29</v>
      </c>
      <c r="G29" t="s">
        <v>14</v>
      </c>
      <c r="H29">
        <v>49</v>
      </c>
      <c r="I29" t="s">
        <v>52</v>
      </c>
      <c r="J29">
        <v>8500</v>
      </c>
      <c r="K29">
        <v>102000</v>
      </c>
      <c r="L29">
        <v>9</v>
      </c>
      <c r="M29" t="s">
        <v>50</v>
      </c>
      <c r="N29">
        <v>1</v>
      </c>
      <c r="O29" t="s">
        <v>51</v>
      </c>
      <c r="P29" t="s">
        <v>15</v>
      </c>
      <c r="Q29" t="s">
        <v>32</v>
      </c>
      <c r="R29" t="s">
        <v>25</v>
      </c>
    </row>
    <row r="30" spans="1:18" x14ac:dyDescent="0.25">
      <c r="A30">
        <v>154</v>
      </c>
      <c r="B30" s="2">
        <v>45041</v>
      </c>
      <c r="C30">
        <v>4</v>
      </c>
      <c r="D30">
        <v>2023</v>
      </c>
      <c r="E30" t="s">
        <v>18</v>
      </c>
      <c r="F30" t="s">
        <v>26</v>
      </c>
      <c r="G30" t="s">
        <v>14</v>
      </c>
      <c r="H30">
        <v>47</v>
      </c>
      <c r="I30" t="s">
        <v>52</v>
      </c>
      <c r="J30">
        <v>18330</v>
      </c>
      <c r="K30">
        <v>219960</v>
      </c>
      <c r="L30">
        <v>9</v>
      </c>
      <c r="M30" t="s">
        <v>50</v>
      </c>
      <c r="N30">
        <v>1</v>
      </c>
      <c r="O30" t="s">
        <v>51</v>
      </c>
      <c r="P30" t="s">
        <v>20</v>
      </c>
      <c r="Q30" t="s">
        <v>32</v>
      </c>
      <c r="R30" t="s">
        <v>34</v>
      </c>
    </row>
    <row r="31" spans="1:18" x14ac:dyDescent="0.25">
      <c r="A31">
        <v>156</v>
      </c>
      <c r="B31" s="2">
        <v>43392</v>
      </c>
      <c r="C31">
        <v>10</v>
      </c>
      <c r="D31">
        <v>2018</v>
      </c>
      <c r="E31" t="s">
        <v>36</v>
      </c>
      <c r="F31" t="s">
        <v>42</v>
      </c>
      <c r="G31" t="s">
        <v>24</v>
      </c>
      <c r="H31">
        <v>45</v>
      </c>
      <c r="I31" t="s">
        <v>49</v>
      </c>
      <c r="J31">
        <v>18789</v>
      </c>
      <c r="K31">
        <v>225468</v>
      </c>
      <c r="L31">
        <v>11</v>
      </c>
      <c r="M31" t="s">
        <v>50</v>
      </c>
      <c r="N31">
        <v>1</v>
      </c>
      <c r="O31" t="s">
        <v>51</v>
      </c>
      <c r="P31" t="s">
        <v>15</v>
      </c>
      <c r="Q31" t="s">
        <v>32</v>
      </c>
      <c r="R31" t="s">
        <v>25</v>
      </c>
    </row>
    <row r="32" spans="1:18" x14ac:dyDescent="0.25">
      <c r="A32">
        <v>167</v>
      </c>
      <c r="B32" s="2">
        <v>41058</v>
      </c>
      <c r="C32">
        <v>5</v>
      </c>
      <c r="D32">
        <v>2012</v>
      </c>
      <c r="E32" t="s">
        <v>28</v>
      </c>
      <c r="F32" t="s">
        <v>33</v>
      </c>
      <c r="G32" t="s">
        <v>14</v>
      </c>
      <c r="H32">
        <v>27</v>
      </c>
      <c r="I32" t="s">
        <v>53</v>
      </c>
      <c r="J32">
        <v>10884</v>
      </c>
      <c r="K32">
        <v>130608</v>
      </c>
      <c r="L32">
        <v>10</v>
      </c>
      <c r="M32" t="s">
        <v>50</v>
      </c>
      <c r="N32">
        <v>2</v>
      </c>
      <c r="O32" t="s">
        <v>51</v>
      </c>
      <c r="P32" t="s">
        <v>15</v>
      </c>
      <c r="Q32" t="s">
        <v>16</v>
      </c>
      <c r="R32" t="s">
        <v>39</v>
      </c>
    </row>
    <row r="33" spans="1:18" x14ac:dyDescent="0.25">
      <c r="A33">
        <v>169</v>
      </c>
      <c r="B33" s="2">
        <v>43528</v>
      </c>
      <c r="C33">
        <v>3</v>
      </c>
      <c r="D33">
        <v>2019</v>
      </c>
      <c r="E33" t="s">
        <v>30</v>
      </c>
      <c r="F33" t="s">
        <v>31</v>
      </c>
      <c r="G33" t="s">
        <v>14</v>
      </c>
      <c r="H33">
        <v>42</v>
      </c>
      <c r="I33" t="s">
        <v>49</v>
      </c>
      <c r="J33">
        <v>10497</v>
      </c>
      <c r="K33">
        <v>125964</v>
      </c>
      <c r="L33">
        <v>13</v>
      </c>
      <c r="M33" t="s">
        <v>50</v>
      </c>
      <c r="N33">
        <v>2</v>
      </c>
      <c r="O33" t="s">
        <v>51</v>
      </c>
      <c r="P33" t="s">
        <v>20</v>
      </c>
      <c r="Q33" t="s">
        <v>32</v>
      </c>
      <c r="R33" t="s">
        <v>39</v>
      </c>
    </row>
    <row r="34" spans="1:18" x14ac:dyDescent="0.25">
      <c r="A34">
        <v>170</v>
      </c>
      <c r="B34" s="2">
        <v>41798</v>
      </c>
      <c r="C34">
        <v>6</v>
      </c>
      <c r="D34">
        <v>2014</v>
      </c>
      <c r="E34" t="s">
        <v>30</v>
      </c>
      <c r="F34" t="s">
        <v>38</v>
      </c>
      <c r="G34" t="s">
        <v>14</v>
      </c>
      <c r="H34">
        <v>28</v>
      </c>
      <c r="I34" t="s">
        <v>53</v>
      </c>
      <c r="J34">
        <v>11704</v>
      </c>
      <c r="K34">
        <v>140448</v>
      </c>
      <c r="L34">
        <v>9</v>
      </c>
      <c r="M34" t="s">
        <v>50</v>
      </c>
      <c r="N34">
        <v>2</v>
      </c>
      <c r="O34" t="s">
        <v>51</v>
      </c>
      <c r="P34" t="s">
        <v>20</v>
      </c>
      <c r="Q34" t="s">
        <v>16</v>
      </c>
      <c r="R34" t="s">
        <v>21</v>
      </c>
    </row>
    <row r="35" spans="1:18" x14ac:dyDescent="0.25">
      <c r="A35">
        <v>175</v>
      </c>
      <c r="B35" s="2">
        <v>43633</v>
      </c>
      <c r="C35">
        <v>6</v>
      </c>
      <c r="D35">
        <v>2019</v>
      </c>
      <c r="E35" t="s">
        <v>30</v>
      </c>
      <c r="F35" t="s">
        <v>31</v>
      </c>
      <c r="G35" t="s">
        <v>14</v>
      </c>
      <c r="H35">
        <v>25</v>
      </c>
      <c r="I35" t="s">
        <v>53</v>
      </c>
      <c r="J35">
        <v>11884</v>
      </c>
      <c r="K35">
        <v>142608</v>
      </c>
      <c r="L35">
        <v>15</v>
      </c>
      <c r="M35" t="s">
        <v>50</v>
      </c>
      <c r="N35">
        <v>2</v>
      </c>
      <c r="O35" t="s">
        <v>51</v>
      </c>
      <c r="P35" t="s">
        <v>20</v>
      </c>
      <c r="Q35" t="s">
        <v>32</v>
      </c>
      <c r="R35" t="s">
        <v>17</v>
      </c>
    </row>
    <row r="36" spans="1:18" x14ac:dyDescent="0.25">
      <c r="A36">
        <v>189</v>
      </c>
      <c r="B36" s="2">
        <v>43768</v>
      </c>
      <c r="C36">
        <v>10</v>
      </c>
      <c r="D36">
        <v>2019</v>
      </c>
      <c r="E36" t="s">
        <v>12</v>
      </c>
      <c r="F36" t="s">
        <v>13</v>
      </c>
      <c r="G36" t="s">
        <v>24</v>
      </c>
      <c r="H36">
        <v>33</v>
      </c>
      <c r="I36" t="s">
        <v>49</v>
      </c>
      <c r="J36">
        <v>12249</v>
      </c>
      <c r="K36">
        <v>146988</v>
      </c>
      <c r="L36">
        <v>9</v>
      </c>
      <c r="M36" t="s">
        <v>50</v>
      </c>
      <c r="N36">
        <v>2</v>
      </c>
      <c r="O36" t="s">
        <v>51</v>
      </c>
      <c r="P36" t="s">
        <v>15</v>
      </c>
      <c r="Q36" t="s">
        <v>16</v>
      </c>
      <c r="R36" t="s">
        <v>25</v>
      </c>
    </row>
    <row r="37" spans="1:18" x14ac:dyDescent="0.25">
      <c r="A37">
        <v>192</v>
      </c>
      <c r="B37" s="2">
        <v>43348</v>
      </c>
      <c r="C37">
        <v>9</v>
      </c>
      <c r="D37">
        <v>2018</v>
      </c>
      <c r="E37" t="s">
        <v>12</v>
      </c>
      <c r="F37" t="s">
        <v>13</v>
      </c>
      <c r="G37" t="s">
        <v>14</v>
      </c>
      <c r="H37">
        <v>31</v>
      </c>
      <c r="I37" t="s">
        <v>49</v>
      </c>
      <c r="J37">
        <v>8902</v>
      </c>
      <c r="K37">
        <v>106824</v>
      </c>
      <c r="L37">
        <v>8</v>
      </c>
      <c r="M37" t="s">
        <v>50</v>
      </c>
      <c r="N37">
        <v>1</v>
      </c>
      <c r="O37" t="s">
        <v>51</v>
      </c>
      <c r="P37" t="s">
        <v>15</v>
      </c>
      <c r="Q37" t="s">
        <v>32</v>
      </c>
      <c r="R37" t="s">
        <v>21</v>
      </c>
    </row>
    <row r="38" spans="1:18" x14ac:dyDescent="0.25">
      <c r="A38">
        <v>203</v>
      </c>
      <c r="B38" s="2">
        <v>44768</v>
      </c>
      <c r="C38">
        <v>7</v>
      </c>
      <c r="D38">
        <v>2022</v>
      </c>
      <c r="E38" t="s">
        <v>28</v>
      </c>
      <c r="F38" t="s">
        <v>33</v>
      </c>
      <c r="G38" t="s">
        <v>24</v>
      </c>
      <c r="H38">
        <v>53</v>
      </c>
      <c r="I38" t="s">
        <v>52</v>
      </c>
      <c r="J38">
        <v>19577</v>
      </c>
      <c r="K38">
        <v>234924</v>
      </c>
      <c r="L38">
        <v>12</v>
      </c>
      <c r="M38" t="s">
        <v>50</v>
      </c>
      <c r="N38">
        <v>2</v>
      </c>
      <c r="O38" t="s">
        <v>51</v>
      </c>
      <c r="P38" t="s">
        <v>15</v>
      </c>
      <c r="Q38" t="s">
        <v>32</v>
      </c>
      <c r="R38" t="s">
        <v>34</v>
      </c>
    </row>
    <row r="39" spans="1:18" x14ac:dyDescent="0.25">
      <c r="A39">
        <v>212</v>
      </c>
      <c r="B39" s="2">
        <v>42912</v>
      </c>
      <c r="C39">
        <v>6</v>
      </c>
      <c r="D39">
        <v>2017</v>
      </c>
      <c r="E39" t="s">
        <v>36</v>
      </c>
      <c r="F39" t="s">
        <v>37</v>
      </c>
      <c r="G39" t="s">
        <v>24</v>
      </c>
      <c r="H39">
        <v>52</v>
      </c>
      <c r="I39" t="s">
        <v>52</v>
      </c>
      <c r="J39">
        <v>4663</v>
      </c>
      <c r="K39">
        <v>55956</v>
      </c>
      <c r="L39">
        <v>11</v>
      </c>
      <c r="M39" t="s">
        <v>50</v>
      </c>
      <c r="N39">
        <v>2</v>
      </c>
      <c r="O39" t="s">
        <v>51</v>
      </c>
      <c r="P39" t="s">
        <v>20</v>
      </c>
      <c r="Q39" t="s">
        <v>27</v>
      </c>
      <c r="R39" t="s">
        <v>25</v>
      </c>
    </row>
    <row r="40" spans="1:18" x14ac:dyDescent="0.25">
      <c r="A40">
        <v>213</v>
      </c>
      <c r="B40" s="2">
        <v>40636</v>
      </c>
      <c r="C40">
        <v>4</v>
      </c>
      <c r="D40">
        <v>2011</v>
      </c>
      <c r="E40" t="s">
        <v>22</v>
      </c>
      <c r="F40" t="s">
        <v>23</v>
      </c>
      <c r="G40" t="s">
        <v>24</v>
      </c>
      <c r="H40">
        <v>55</v>
      </c>
      <c r="I40" t="s">
        <v>52</v>
      </c>
      <c r="J40">
        <v>9900</v>
      </c>
      <c r="K40">
        <v>118800</v>
      </c>
      <c r="L40">
        <v>8</v>
      </c>
      <c r="M40" t="s">
        <v>50</v>
      </c>
      <c r="N40">
        <v>2</v>
      </c>
      <c r="O40" t="s">
        <v>51</v>
      </c>
      <c r="P40" t="s">
        <v>20</v>
      </c>
      <c r="Q40" t="s">
        <v>16</v>
      </c>
      <c r="R40" t="s">
        <v>34</v>
      </c>
    </row>
    <row r="41" spans="1:18" x14ac:dyDescent="0.25">
      <c r="A41">
        <v>221</v>
      </c>
      <c r="B41" s="2">
        <v>41122</v>
      </c>
      <c r="C41">
        <v>8</v>
      </c>
      <c r="D41">
        <v>2012</v>
      </c>
      <c r="E41" t="s">
        <v>28</v>
      </c>
      <c r="F41" t="s">
        <v>33</v>
      </c>
      <c r="G41" t="s">
        <v>14</v>
      </c>
      <c r="H41">
        <v>47</v>
      </c>
      <c r="I41" t="s">
        <v>52</v>
      </c>
      <c r="J41">
        <v>6945</v>
      </c>
      <c r="K41">
        <v>83340</v>
      </c>
      <c r="L41">
        <v>13</v>
      </c>
      <c r="M41" t="s">
        <v>50</v>
      </c>
      <c r="N41">
        <v>1</v>
      </c>
      <c r="O41" t="s">
        <v>51</v>
      </c>
      <c r="P41" t="s">
        <v>15</v>
      </c>
      <c r="Q41" t="s">
        <v>27</v>
      </c>
      <c r="R41" t="s">
        <v>34</v>
      </c>
    </row>
    <row r="42" spans="1:18" x14ac:dyDescent="0.25">
      <c r="A42">
        <v>223</v>
      </c>
      <c r="B42" s="2">
        <v>40235</v>
      </c>
      <c r="C42">
        <v>2</v>
      </c>
      <c r="D42">
        <v>2010</v>
      </c>
      <c r="E42" t="s">
        <v>18</v>
      </c>
      <c r="F42" t="s">
        <v>26</v>
      </c>
      <c r="G42" t="s">
        <v>24</v>
      </c>
      <c r="H42">
        <v>29</v>
      </c>
      <c r="I42" t="s">
        <v>53</v>
      </c>
      <c r="J42">
        <v>17528</v>
      </c>
      <c r="K42">
        <v>210336</v>
      </c>
      <c r="L42">
        <v>10</v>
      </c>
      <c r="M42" t="s">
        <v>50</v>
      </c>
      <c r="N42">
        <v>2</v>
      </c>
      <c r="O42" t="s">
        <v>51</v>
      </c>
      <c r="P42" t="s">
        <v>20</v>
      </c>
      <c r="Q42" t="s">
        <v>16</v>
      </c>
      <c r="R42" t="s">
        <v>25</v>
      </c>
    </row>
    <row r="43" spans="1:18" x14ac:dyDescent="0.25">
      <c r="A43">
        <v>227</v>
      </c>
      <c r="B43" s="2">
        <v>43737</v>
      </c>
      <c r="C43">
        <v>9</v>
      </c>
      <c r="D43">
        <v>2019</v>
      </c>
      <c r="E43" t="s">
        <v>18</v>
      </c>
      <c r="F43" t="s">
        <v>26</v>
      </c>
      <c r="G43" t="s">
        <v>24</v>
      </c>
      <c r="H43">
        <v>22</v>
      </c>
      <c r="I43" t="s">
        <v>53</v>
      </c>
      <c r="J43">
        <v>12887</v>
      </c>
      <c r="K43">
        <v>154644</v>
      </c>
      <c r="L43">
        <v>12</v>
      </c>
      <c r="M43" t="s">
        <v>50</v>
      </c>
      <c r="N43">
        <v>2</v>
      </c>
      <c r="O43" t="s">
        <v>51</v>
      </c>
      <c r="P43" t="s">
        <v>20</v>
      </c>
      <c r="Q43" t="s">
        <v>16</v>
      </c>
      <c r="R43" t="s">
        <v>21</v>
      </c>
    </row>
    <row r="44" spans="1:18" x14ac:dyDescent="0.25">
      <c r="A44">
        <v>232</v>
      </c>
      <c r="B44" s="2">
        <v>42490</v>
      </c>
      <c r="C44">
        <v>4</v>
      </c>
      <c r="D44">
        <v>2016</v>
      </c>
      <c r="E44" t="s">
        <v>22</v>
      </c>
      <c r="F44" t="s">
        <v>35</v>
      </c>
      <c r="G44" t="s">
        <v>14</v>
      </c>
      <c r="H44">
        <v>60</v>
      </c>
      <c r="I44" t="s">
        <v>52</v>
      </c>
      <c r="J44">
        <v>15901</v>
      </c>
      <c r="K44">
        <v>190812</v>
      </c>
      <c r="L44">
        <v>11</v>
      </c>
      <c r="M44" t="s">
        <v>50</v>
      </c>
      <c r="N44">
        <v>2</v>
      </c>
      <c r="O44" t="s">
        <v>51</v>
      </c>
      <c r="P44" t="s">
        <v>20</v>
      </c>
      <c r="Q44" t="s">
        <v>27</v>
      </c>
      <c r="R44" t="s">
        <v>25</v>
      </c>
    </row>
    <row r="45" spans="1:18" x14ac:dyDescent="0.25">
      <c r="A45">
        <v>234</v>
      </c>
      <c r="B45" s="2">
        <v>40481</v>
      </c>
      <c r="C45">
        <v>10</v>
      </c>
      <c r="D45">
        <v>2010</v>
      </c>
      <c r="E45" t="s">
        <v>28</v>
      </c>
      <c r="F45" t="s">
        <v>33</v>
      </c>
      <c r="G45" t="s">
        <v>14</v>
      </c>
      <c r="H45">
        <v>44</v>
      </c>
      <c r="I45" t="s">
        <v>49</v>
      </c>
      <c r="J45">
        <v>19664</v>
      </c>
      <c r="K45">
        <v>235968</v>
      </c>
      <c r="L45">
        <v>14</v>
      </c>
      <c r="M45" t="s">
        <v>50</v>
      </c>
      <c r="N45">
        <v>2</v>
      </c>
      <c r="O45" t="s">
        <v>51</v>
      </c>
      <c r="P45" t="s">
        <v>15</v>
      </c>
      <c r="Q45" t="s">
        <v>27</v>
      </c>
      <c r="R45" t="s">
        <v>25</v>
      </c>
    </row>
    <row r="46" spans="1:18" x14ac:dyDescent="0.25">
      <c r="A46">
        <v>235</v>
      </c>
      <c r="B46" s="2">
        <v>44429</v>
      </c>
      <c r="C46">
        <v>8</v>
      </c>
      <c r="D46">
        <v>2021</v>
      </c>
      <c r="E46" t="s">
        <v>12</v>
      </c>
      <c r="F46" t="s">
        <v>41</v>
      </c>
      <c r="G46" t="s">
        <v>24</v>
      </c>
      <c r="H46">
        <v>50</v>
      </c>
      <c r="I46" t="s">
        <v>52</v>
      </c>
      <c r="J46">
        <v>14741</v>
      </c>
      <c r="K46">
        <v>176892</v>
      </c>
      <c r="L46">
        <v>8</v>
      </c>
      <c r="M46" t="s">
        <v>50</v>
      </c>
      <c r="N46">
        <v>2</v>
      </c>
      <c r="O46" t="s">
        <v>51</v>
      </c>
      <c r="P46" t="s">
        <v>15</v>
      </c>
      <c r="Q46" t="s">
        <v>16</v>
      </c>
      <c r="R46" t="s">
        <v>17</v>
      </c>
    </row>
    <row r="47" spans="1:18" x14ac:dyDescent="0.25">
      <c r="A47">
        <v>236</v>
      </c>
      <c r="B47" s="2">
        <v>45146</v>
      </c>
      <c r="C47">
        <v>8</v>
      </c>
      <c r="D47">
        <v>2023</v>
      </c>
      <c r="E47" t="s">
        <v>30</v>
      </c>
      <c r="F47" t="s">
        <v>31</v>
      </c>
      <c r="G47" t="s">
        <v>24</v>
      </c>
      <c r="H47">
        <v>51</v>
      </c>
      <c r="I47" t="s">
        <v>52</v>
      </c>
      <c r="J47">
        <v>19639</v>
      </c>
      <c r="K47">
        <v>235668</v>
      </c>
      <c r="L47">
        <v>12</v>
      </c>
      <c r="M47" t="s">
        <v>50</v>
      </c>
      <c r="N47">
        <v>1</v>
      </c>
      <c r="O47" t="s">
        <v>51</v>
      </c>
      <c r="P47" t="s">
        <v>15</v>
      </c>
      <c r="Q47" t="s">
        <v>32</v>
      </c>
      <c r="R47" t="s">
        <v>21</v>
      </c>
    </row>
    <row r="48" spans="1:18" x14ac:dyDescent="0.25">
      <c r="A48">
        <v>238</v>
      </c>
      <c r="B48" s="2">
        <v>41413</v>
      </c>
      <c r="C48">
        <v>5</v>
      </c>
      <c r="D48">
        <v>2013</v>
      </c>
      <c r="E48" t="s">
        <v>28</v>
      </c>
      <c r="F48" t="s">
        <v>29</v>
      </c>
      <c r="G48" t="s">
        <v>14</v>
      </c>
      <c r="H48">
        <v>33</v>
      </c>
      <c r="I48" t="s">
        <v>49</v>
      </c>
      <c r="J48">
        <v>8996</v>
      </c>
      <c r="K48">
        <v>107952</v>
      </c>
      <c r="L48">
        <v>14</v>
      </c>
      <c r="M48" t="s">
        <v>50</v>
      </c>
      <c r="N48">
        <v>2</v>
      </c>
      <c r="O48" t="s">
        <v>51</v>
      </c>
      <c r="P48" t="s">
        <v>20</v>
      </c>
      <c r="Q48" t="s">
        <v>27</v>
      </c>
      <c r="R48" t="s">
        <v>17</v>
      </c>
    </row>
    <row r="49" spans="1:18" x14ac:dyDescent="0.25">
      <c r="A49">
        <v>239</v>
      </c>
      <c r="B49" s="2">
        <v>41753</v>
      </c>
      <c r="C49">
        <v>4</v>
      </c>
      <c r="D49">
        <v>2014</v>
      </c>
      <c r="E49" t="s">
        <v>18</v>
      </c>
      <c r="F49" t="s">
        <v>26</v>
      </c>
      <c r="G49" t="s">
        <v>24</v>
      </c>
      <c r="H49">
        <v>30</v>
      </c>
      <c r="I49" t="s">
        <v>49</v>
      </c>
      <c r="J49">
        <v>7930</v>
      </c>
      <c r="K49">
        <v>95160</v>
      </c>
      <c r="L49">
        <v>9</v>
      </c>
      <c r="M49" t="s">
        <v>50</v>
      </c>
      <c r="N49">
        <v>1</v>
      </c>
      <c r="O49" t="s">
        <v>51</v>
      </c>
      <c r="P49" t="s">
        <v>15</v>
      </c>
      <c r="Q49" t="s">
        <v>27</v>
      </c>
      <c r="R49" t="s">
        <v>34</v>
      </c>
    </row>
    <row r="50" spans="1:18" x14ac:dyDescent="0.25">
      <c r="A50">
        <v>261</v>
      </c>
      <c r="B50" s="2">
        <v>42712</v>
      </c>
      <c r="C50">
        <v>12</v>
      </c>
      <c r="D50">
        <v>2016</v>
      </c>
      <c r="E50" t="s">
        <v>36</v>
      </c>
      <c r="F50" t="s">
        <v>42</v>
      </c>
      <c r="G50" t="s">
        <v>24</v>
      </c>
      <c r="H50">
        <v>35</v>
      </c>
      <c r="I50" t="s">
        <v>49</v>
      </c>
      <c r="J50">
        <v>8266</v>
      </c>
      <c r="K50">
        <v>99192</v>
      </c>
      <c r="L50">
        <v>13</v>
      </c>
      <c r="M50" t="s">
        <v>50</v>
      </c>
      <c r="N50">
        <v>2</v>
      </c>
      <c r="O50" t="s">
        <v>51</v>
      </c>
      <c r="P50" t="s">
        <v>20</v>
      </c>
      <c r="Q50" t="s">
        <v>32</v>
      </c>
      <c r="R50" t="s">
        <v>34</v>
      </c>
    </row>
    <row r="51" spans="1:18" x14ac:dyDescent="0.25">
      <c r="A51">
        <v>264</v>
      </c>
      <c r="B51" s="2">
        <v>43705</v>
      </c>
      <c r="C51">
        <v>8</v>
      </c>
      <c r="D51">
        <v>2019</v>
      </c>
      <c r="E51" t="s">
        <v>12</v>
      </c>
      <c r="F51" t="s">
        <v>13</v>
      </c>
      <c r="G51" t="s">
        <v>24</v>
      </c>
      <c r="H51">
        <v>33</v>
      </c>
      <c r="I51" t="s">
        <v>49</v>
      </c>
      <c r="J51">
        <v>12343</v>
      </c>
      <c r="K51">
        <v>148116</v>
      </c>
      <c r="L51">
        <v>10</v>
      </c>
      <c r="M51" t="s">
        <v>50</v>
      </c>
      <c r="N51">
        <v>1</v>
      </c>
      <c r="O51" t="s">
        <v>51</v>
      </c>
      <c r="P51" t="s">
        <v>20</v>
      </c>
      <c r="Q51" t="s">
        <v>32</v>
      </c>
      <c r="R51" t="s">
        <v>34</v>
      </c>
    </row>
    <row r="52" spans="1:18" x14ac:dyDescent="0.25">
      <c r="A52">
        <v>265</v>
      </c>
      <c r="B52" s="2">
        <v>42131</v>
      </c>
      <c r="C52">
        <v>5</v>
      </c>
      <c r="D52">
        <v>2015</v>
      </c>
      <c r="E52" t="s">
        <v>12</v>
      </c>
      <c r="F52" t="s">
        <v>41</v>
      </c>
      <c r="G52" t="s">
        <v>14</v>
      </c>
      <c r="H52">
        <v>22</v>
      </c>
      <c r="I52" t="s">
        <v>53</v>
      </c>
      <c r="J52">
        <v>8190</v>
      </c>
      <c r="K52">
        <v>98280</v>
      </c>
      <c r="L52">
        <v>14</v>
      </c>
      <c r="M52" t="s">
        <v>50</v>
      </c>
      <c r="N52">
        <v>2</v>
      </c>
      <c r="O52" t="s">
        <v>51</v>
      </c>
      <c r="P52" t="s">
        <v>15</v>
      </c>
      <c r="Q52" t="s">
        <v>32</v>
      </c>
      <c r="R52" t="s">
        <v>34</v>
      </c>
    </row>
    <row r="53" spans="1:18" x14ac:dyDescent="0.25">
      <c r="A53">
        <v>267</v>
      </c>
      <c r="B53" s="2">
        <v>40508</v>
      </c>
      <c r="C53">
        <v>11</v>
      </c>
      <c r="D53">
        <v>2010</v>
      </c>
      <c r="E53" t="s">
        <v>30</v>
      </c>
      <c r="F53" t="s">
        <v>38</v>
      </c>
      <c r="G53" t="s">
        <v>24</v>
      </c>
      <c r="H53">
        <v>56</v>
      </c>
      <c r="I53" t="s">
        <v>52</v>
      </c>
      <c r="J53">
        <v>8323</v>
      </c>
      <c r="K53">
        <v>99876</v>
      </c>
      <c r="L53">
        <v>9</v>
      </c>
      <c r="M53" t="s">
        <v>50</v>
      </c>
      <c r="N53">
        <v>2</v>
      </c>
      <c r="O53" t="s">
        <v>51</v>
      </c>
      <c r="P53" t="s">
        <v>15</v>
      </c>
      <c r="Q53" t="s">
        <v>27</v>
      </c>
      <c r="R53" t="s">
        <v>25</v>
      </c>
    </row>
    <row r="54" spans="1:18" x14ac:dyDescent="0.25">
      <c r="A54">
        <v>268</v>
      </c>
      <c r="B54" s="2">
        <v>44566</v>
      </c>
      <c r="C54">
        <v>1</v>
      </c>
      <c r="D54">
        <v>2022</v>
      </c>
      <c r="E54" t="s">
        <v>18</v>
      </c>
      <c r="F54" t="s">
        <v>19</v>
      </c>
      <c r="G54" t="s">
        <v>14</v>
      </c>
      <c r="H54">
        <v>50</v>
      </c>
      <c r="I54" t="s">
        <v>52</v>
      </c>
      <c r="J54">
        <v>14506</v>
      </c>
      <c r="K54">
        <v>174072</v>
      </c>
      <c r="L54">
        <v>15</v>
      </c>
      <c r="M54" t="s">
        <v>50</v>
      </c>
      <c r="N54">
        <v>1</v>
      </c>
      <c r="O54" t="s">
        <v>51</v>
      </c>
      <c r="P54" t="s">
        <v>20</v>
      </c>
      <c r="Q54" t="s">
        <v>16</v>
      </c>
      <c r="R54" t="s">
        <v>25</v>
      </c>
    </row>
    <row r="55" spans="1:18" x14ac:dyDescent="0.25">
      <c r="A55">
        <v>271</v>
      </c>
      <c r="B55" s="2">
        <v>41584</v>
      </c>
      <c r="C55">
        <v>11</v>
      </c>
      <c r="D55">
        <v>2013</v>
      </c>
      <c r="E55" t="s">
        <v>12</v>
      </c>
      <c r="F55" t="s">
        <v>13</v>
      </c>
      <c r="G55" t="s">
        <v>24</v>
      </c>
      <c r="H55">
        <v>32</v>
      </c>
      <c r="I55" t="s">
        <v>49</v>
      </c>
      <c r="J55">
        <v>6577</v>
      </c>
      <c r="K55">
        <v>78924</v>
      </c>
      <c r="L55">
        <v>12</v>
      </c>
      <c r="M55" t="s">
        <v>50</v>
      </c>
      <c r="N55">
        <v>1</v>
      </c>
      <c r="O55" t="s">
        <v>51</v>
      </c>
      <c r="P55" t="s">
        <v>15</v>
      </c>
      <c r="Q55" t="s">
        <v>32</v>
      </c>
      <c r="R55" t="s">
        <v>21</v>
      </c>
    </row>
    <row r="56" spans="1:18" x14ac:dyDescent="0.25">
      <c r="A56">
        <v>272</v>
      </c>
      <c r="B56" s="2">
        <v>41363</v>
      </c>
      <c r="C56">
        <v>3</v>
      </c>
      <c r="D56">
        <v>2013</v>
      </c>
      <c r="E56" t="s">
        <v>18</v>
      </c>
      <c r="F56" t="s">
        <v>19</v>
      </c>
      <c r="G56" t="s">
        <v>14</v>
      </c>
      <c r="H56">
        <v>51</v>
      </c>
      <c r="I56" t="s">
        <v>52</v>
      </c>
      <c r="J56">
        <v>17711</v>
      </c>
      <c r="K56">
        <v>212532</v>
      </c>
      <c r="L56">
        <v>8</v>
      </c>
      <c r="M56" t="s">
        <v>50</v>
      </c>
      <c r="N56">
        <v>1</v>
      </c>
      <c r="O56" t="s">
        <v>51</v>
      </c>
      <c r="P56" t="s">
        <v>20</v>
      </c>
      <c r="Q56" t="s">
        <v>32</v>
      </c>
      <c r="R56" t="s">
        <v>21</v>
      </c>
    </row>
    <row r="57" spans="1:18" x14ac:dyDescent="0.25">
      <c r="A57">
        <v>281</v>
      </c>
      <c r="B57" s="2">
        <v>40624</v>
      </c>
      <c r="C57">
        <v>3</v>
      </c>
      <c r="D57">
        <v>2011</v>
      </c>
      <c r="E57" t="s">
        <v>36</v>
      </c>
      <c r="F57" t="s">
        <v>42</v>
      </c>
      <c r="G57" t="s">
        <v>24</v>
      </c>
      <c r="H57">
        <v>35</v>
      </c>
      <c r="I57" t="s">
        <v>49</v>
      </c>
      <c r="J57">
        <v>16492</v>
      </c>
      <c r="K57">
        <v>197904</v>
      </c>
      <c r="L57">
        <v>13</v>
      </c>
      <c r="M57" t="s">
        <v>50</v>
      </c>
      <c r="N57">
        <v>2</v>
      </c>
      <c r="O57" t="s">
        <v>51</v>
      </c>
      <c r="P57" t="s">
        <v>20</v>
      </c>
      <c r="Q57" t="s">
        <v>32</v>
      </c>
      <c r="R57" t="s">
        <v>17</v>
      </c>
    </row>
    <row r="58" spans="1:18" x14ac:dyDescent="0.25">
      <c r="A58">
        <v>283</v>
      </c>
      <c r="B58" s="2">
        <v>43974</v>
      </c>
      <c r="C58">
        <v>5</v>
      </c>
      <c r="D58">
        <v>2020</v>
      </c>
      <c r="E58" t="s">
        <v>36</v>
      </c>
      <c r="F58" t="s">
        <v>37</v>
      </c>
      <c r="G58" t="s">
        <v>14</v>
      </c>
      <c r="H58">
        <v>41</v>
      </c>
      <c r="I58" t="s">
        <v>49</v>
      </c>
      <c r="J58">
        <v>7135</v>
      </c>
      <c r="K58">
        <v>85620</v>
      </c>
      <c r="L58">
        <v>14</v>
      </c>
      <c r="M58" t="s">
        <v>50</v>
      </c>
      <c r="N58">
        <v>2</v>
      </c>
      <c r="O58" t="s">
        <v>51</v>
      </c>
      <c r="P58" t="s">
        <v>20</v>
      </c>
      <c r="Q58" t="s">
        <v>32</v>
      </c>
      <c r="R58" t="s">
        <v>39</v>
      </c>
    </row>
    <row r="59" spans="1:18" x14ac:dyDescent="0.25">
      <c r="A59">
        <v>284</v>
      </c>
      <c r="B59" s="2">
        <v>42828</v>
      </c>
      <c r="C59">
        <v>4</v>
      </c>
      <c r="D59">
        <v>2017</v>
      </c>
      <c r="E59" t="s">
        <v>22</v>
      </c>
      <c r="F59" t="s">
        <v>35</v>
      </c>
      <c r="G59" t="s">
        <v>14</v>
      </c>
      <c r="H59">
        <v>50</v>
      </c>
      <c r="I59" t="s">
        <v>52</v>
      </c>
      <c r="J59">
        <v>15483</v>
      </c>
      <c r="K59">
        <v>185796</v>
      </c>
      <c r="L59">
        <v>15</v>
      </c>
      <c r="M59" t="s">
        <v>50</v>
      </c>
      <c r="N59">
        <v>2</v>
      </c>
      <c r="O59" t="s">
        <v>51</v>
      </c>
      <c r="P59" t="s">
        <v>20</v>
      </c>
      <c r="Q59" t="s">
        <v>32</v>
      </c>
      <c r="R59" t="s">
        <v>39</v>
      </c>
    </row>
    <row r="60" spans="1:18" x14ac:dyDescent="0.25">
      <c r="A60">
        <v>319</v>
      </c>
      <c r="B60" s="2">
        <v>41709</v>
      </c>
      <c r="C60">
        <v>3</v>
      </c>
      <c r="D60">
        <v>2014</v>
      </c>
      <c r="E60" t="s">
        <v>12</v>
      </c>
      <c r="F60" t="s">
        <v>13</v>
      </c>
      <c r="G60" t="s">
        <v>24</v>
      </c>
      <c r="H60">
        <v>58</v>
      </c>
      <c r="I60" t="s">
        <v>52</v>
      </c>
      <c r="J60">
        <v>14877</v>
      </c>
      <c r="K60">
        <v>178524</v>
      </c>
      <c r="L60">
        <v>8</v>
      </c>
      <c r="M60" t="s">
        <v>50</v>
      </c>
      <c r="N60">
        <v>2</v>
      </c>
      <c r="O60" t="s">
        <v>51</v>
      </c>
      <c r="P60" t="s">
        <v>20</v>
      </c>
      <c r="Q60" t="s">
        <v>16</v>
      </c>
      <c r="R60" t="s">
        <v>25</v>
      </c>
    </row>
    <row r="61" spans="1:18" x14ac:dyDescent="0.25">
      <c r="A61">
        <v>320</v>
      </c>
      <c r="B61" s="2">
        <v>40475</v>
      </c>
      <c r="C61">
        <v>10</v>
      </c>
      <c r="D61">
        <v>2010</v>
      </c>
      <c r="E61" t="s">
        <v>36</v>
      </c>
      <c r="F61" t="s">
        <v>40</v>
      </c>
      <c r="G61" t="s">
        <v>24</v>
      </c>
      <c r="H61">
        <v>42</v>
      </c>
      <c r="I61" t="s">
        <v>49</v>
      </c>
      <c r="J61">
        <v>17544</v>
      </c>
      <c r="K61">
        <v>210528</v>
      </c>
      <c r="L61">
        <v>12</v>
      </c>
      <c r="M61" t="s">
        <v>50</v>
      </c>
      <c r="N61">
        <v>1</v>
      </c>
      <c r="O61" t="s">
        <v>51</v>
      </c>
      <c r="P61" t="s">
        <v>20</v>
      </c>
      <c r="Q61" t="s">
        <v>27</v>
      </c>
      <c r="R61" t="s">
        <v>34</v>
      </c>
    </row>
    <row r="62" spans="1:18" x14ac:dyDescent="0.25">
      <c r="A62">
        <v>323</v>
      </c>
      <c r="B62" s="2">
        <v>43501</v>
      </c>
      <c r="C62">
        <v>2</v>
      </c>
      <c r="D62">
        <v>2019</v>
      </c>
      <c r="E62" t="s">
        <v>36</v>
      </c>
      <c r="F62" t="s">
        <v>40</v>
      </c>
      <c r="G62" t="s">
        <v>24</v>
      </c>
      <c r="H62">
        <v>51</v>
      </c>
      <c r="I62" t="s">
        <v>52</v>
      </c>
      <c r="J62">
        <v>17522</v>
      </c>
      <c r="K62">
        <v>210264</v>
      </c>
      <c r="L62">
        <v>12</v>
      </c>
      <c r="M62" t="s">
        <v>50</v>
      </c>
      <c r="N62">
        <v>2</v>
      </c>
      <c r="O62" t="s">
        <v>51</v>
      </c>
      <c r="P62" t="s">
        <v>15</v>
      </c>
      <c r="Q62" t="s">
        <v>27</v>
      </c>
      <c r="R62" t="s">
        <v>25</v>
      </c>
    </row>
    <row r="63" spans="1:18" x14ac:dyDescent="0.25">
      <c r="A63">
        <v>330</v>
      </c>
      <c r="B63" s="2">
        <v>44205</v>
      </c>
      <c r="C63">
        <v>1</v>
      </c>
      <c r="D63">
        <v>2021</v>
      </c>
      <c r="E63" t="s">
        <v>18</v>
      </c>
      <c r="F63" t="s">
        <v>19</v>
      </c>
      <c r="G63" t="s">
        <v>14</v>
      </c>
      <c r="H63">
        <v>27</v>
      </c>
      <c r="I63" t="s">
        <v>53</v>
      </c>
      <c r="J63">
        <v>17999</v>
      </c>
      <c r="K63">
        <v>215988</v>
      </c>
      <c r="L63">
        <v>13</v>
      </c>
      <c r="M63" t="s">
        <v>50</v>
      </c>
      <c r="N63">
        <v>1</v>
      </c>
      <c r="O63" t="s">
        <v>51</v>
      </c>
      <c r="P63" t="s">
        <v>15</v>
      </c>
      <c r="Q63" t="s">
        <v>27</v>
      </c>
      <c r="R63" t="s">
        <v>25</v>
      </c>
    </row>
    <row r="64" spans="1:18" x14ac:dyDescent="0.25">
      <c r="A64">
        <v>334</v>
      </c>
      <c r="B64" s="2">
        <v>43076</v>
      </c>
      <c r="C64">
        <v>12</v>
      </c>
      <c r="D64">
        <v>2017</v>
      </c>
      <c r="E64" t="s">
        <v>22</v>
      </c>
      <c r="F64" t="s">
        <v>35</v>
      </c>
      <c r="G64" t="s">
        <v>24</v>
      </c>
      <c r="H64">
        <v>36</v>
      </c>
      <c r="I64" t="s">
        <v>49</v>
      </c>
      <c r="J64">
        <v>7773</v>
      </c>
      <c r="K64">
        <v>93276</v>
      </c>
      <c r="L64">
        <v>11</v>
      </c>
      <c r="M64" t="s">
        <v>50</v>
      </c>
      <c r="N64">
        <v>1</v>
      </c>
      <c r="O64" t="s">
        <v>51</v>
      </c>
      <c r="P64" t="s">
        <v>20</v>
      </c>
      <c r="Q64" t="s">
        <v>16</v>
      </c>
      <c r="R64" t="s">
        <v>34</v>
      </c>
    </row>
    <row r="65" spans="1:18" x14ac:dyDescent="0.25">
      <c r="A65">
        <v>337</v>
      </c>
      <c r="B65" s="2">
        <v>40261</v>
      </c>
      <c r="C65">
        <v>3</v>
      </c>
      <c r="D65">
        <v>2010</v>
      </c>
      <c r="E65" t="s">
        <v>12</v>
      </c>
      <c r="F65" t="s">
        <v>13</v>
      </c>
      <c r="G65" t="s">
        <v>14</v>
      </c>
      <c r="H65">
        <v>27</v>
      </c>
      <c r="I65" t="s">
        <v>53</v>
      </c>
      <c r="J65">
        <v>7787</v>
      </c>
      <c r="K65">
        <v>93444</v>
      </c>
      <c r="L65">
        <v>8</v>
      </c>
      <c r="M65" t="s">
        <v>50</v>
      </c>
      <c r="N65">
        <v>2</v>
      </c>
      <c r="O65" t="s">
        <v>51</v>
      </c>
      <c r="P65" t="s">
        <v>20</v>
      </c>
      <c r="Q65" t="s">
        <v>16</v>
      </c>
      <c r="R65" t="s">
        <v>17</v>
      </c>
    </row>
    <row r="66" spans="1:18" x14ac:dyDescent="0.25">
      <c r="A66">
        <v>338</v>
      </c>
      <c r="B66" s="2">
        <v>43620</v>
      </c>
      <c r="C66">
        <v>6</v>
      </c>
      <c r="D66">
        <v>2019</v>
      </c>
      <c r="E66" t="s">
        <v>30</v>
      </c>
      <c r="F66" t="s">
        <v>38</v>
      </c>
      <c r="G66" t="s">
        <v>14</v>
      </c>
      <c r="H66">
        <v>43</v>
      </c>
      <c r="I66" t="s">
        <v>49</v>
      </c>
      <c r="J66">
        <v>15389</v>
      </c>
      <c r="K66">
        <v>184668</v>
      </c>
      <c r="L66">
        <v>14</v>
      </c>
      <c r="M66" t="s">
        <v>50</v>
      </c>
      <c r="N66">
        <v>1</v>
      </c>
      <c r="O66" t="s">
        <v>51</v>
      </c>
      <c r="P66" t="s">
        <v>20</v>
      </c>
      <c r="Q66" t="s">
        <v>32</v>
      </c>
      <c r="R66" t="s">
        <v>34</v>
      </c>
    </row>
    <row r="67" spans="1:18" x14ac:dyDescent="0.25">
      <c r="A67">
        <v>342</v>
      </c>
      <c r="B67" s="2">
        <v>40989</v>
      </c>
      <c r="C67">
        <v>3</v>
      </c>
      <c r="D67">
        <v>2012</v>
      </c>
      <c r="E67" t="s">
        <v>18</v>
      </c>
      <c r="F67" t="s">
        <v>19</v>
      </c>
      <c r="G67" t="s">
        <v>14</v>
      </c>
      <c r="H67">
        <v>31</v>
      </c>
      <c r="I67" t="s">
        <v>49</v>
      </c>
      <c r="J67">
        <v>14923</v>
      </c>
      <c r="K67">
        <v>179076</v>
      </c>
      <c r="L67">
        <v>11</v>
      </c>
      <c r="M67" t="s">
        <v>50</v>
      </c>
      <c r="N67">
        <v>2</v>
      </c>
      <c r="O67" t="s">
        <v>51</v>
      </c>
      <c r="P67" t="s">
        <v>20</v>
      </c>
      <c r="Q67" t="s">
        <v>16</v>
      </c>
      <c r="R67" t="s">
        <v>17</v>
      </c>
    </row>
    <row r="68" spans="1:18" x14ac:dyDescent="0.25">
      <c r="A68">
        <v>346</v>
      </c>
      <c r="B68" s="2">
        <v>45043</v>
      </c>
      <c r="C68">
        <v>4</v>
      </c>
      <c r="D68">
        <v>2023</v>
      </c>
      <c r="E68" t="s">
        <v>36</v>
      </c>
      <c r="F68" t="s">
        <v>40</v>
      </c>
      <c r="G68" t="s">
        <v>14</v>
      </c>
      <c r="H68">
        <v>45</v>
      </c>
      <c r="I68" t="s">
        <v>49</v>
      </c>
      <c r="J68">
        <v>9678</v>
      </c>
      <c r="K68">
        <v>116136</v>
      </c>
      <c r="L68">
        <v>8</v>
      </c>
      <c r="M68" t="s">
        <v>50</v>
      </c>
      <c r="N68">
        <v>1</v>
      </c>
      <c r="O68" t="s">
        <v>51</v>
      </c>
      <c r="P68" t="s">
        <v>15</v>
      </c>
      <c r="Q68" t="s">
        <v>27</v>
      </c>
      <c r="R68" t="s">
        <v>21</v>
      </c>
    </row>
    <row r="69" spans="1:18" x14ac:dyDescent="0.25">
      <c r="A69">
        <v>354</v>
      </c>
      <c r="B69" s="2">
        <v>40912</v>
      </c>
      <c r="C69">
        <v>1</v>
      </c>
      <c r="D69">
        <v>2012</v>
      </c>
      <c r="E69" t="s">
        <v>18</v>
      </c>
      <c r="F69" t="s">
        <v>26</v>
      </c>
      <c r="G69" t="s">
        <v>14</v>
      </c>
      <c r="H69">
        <v>57</v>
      </c>
      <c r="I69" t="s">
        <v>52</v>
      </c>
      <c r="J69">
        <v>12858</v>
      </c>
      <c r="K69">
        <v>154296</v>
      </c>
      <c r="L69">
        <v>11</v>
      </c>
      <c r="M69" t="s">
        <v>50</v>
      </c>
      <c r="N69">
        <v>2</v>
      </c>
      <c r="O69" t="s">
        <v>51</v>
      </c>
      <c r="P69" t="s">
        <v>15</v>
      </c>
      <c r="Q69" t="s">
        <v>27</v>
      </c>
      <c r="R69" t="s">
        <v>34</v>
      </c>
    </row>
    <row r="70" spans="1:18" x14ac:dyDescent="0.25">
      <c r="A70">
        <v>355</v>
      </c>
      <c r="B70" s="2">
        <v>43993</v>
      </c>
      <c r="C70">
        <v>6</v>
      </c>
      <c r="D70">
        <v>2020</v>
      </c>
      <c r="E70" t="s">
        <v>18</v>
      </c>
      <c r="F70" t="s">
        <v>19</v>
      </c>
      <c r="G70" t="s">
        <v>24</v>
      </c>
      <c r="H70">
        <v>56</v>
      </c>
      <c r="I70" t="s">
        <v>52</v>
      </c>
      <c r="J70">
        <v>17219</v>
      </c>
      <c r="K70">
        <v>206628</v>
      </c>
      <c r="L70">
        <v>10</v>
      </c>
      <c r="M70" t="s">
        <v>50</v>
      </c>
      <c r="N70">
        <v>2</v>
      </c>
      <c r="O70" t="s">
        <v>51</v>
      </c>
      <c r="P70" t="s">
        <v>20</v>
      </c>
      <c r="Q70" t="s">
        <v>27</v>
      </c>
      <c r="R70" t="s">
        <v>34</v>
      </c>
    </row>
    <row r="71" spans="1:18" x14ac:dyDescent="0.25">
      <c r="A71">
        <v>362</v>
      </c>
      <c r="B71" s="2">
        <v>45149</v>
      </c>
      <c r="C71">
        <v>8</v>
      </c>
      <c r="D71">
        <v>2023</v>
      </c>
      <c r="E71" t="s">
        <v>12</v>
      </c>
      <c r="F71" t="s">
        <v>13</v>
      </c>
      <c r="G71" t="s">
        <v>24</v>
      </c>
      <c r="H71">
        <v>53</v>
      </c>
      <c r="I71" t="s">
        <v>52</v>
      </c>
      <c r="J71">
        <v>18079</v>
      </c>
      <c r="K71">
        <v>216948</v>
      </c>
      <c r="L71">
        <v>14</v>
      </c>
      <c r="M71" t="s">
        <v>50</v>
      </c>
      <c r="N71">
        <v>2</v>
      </c>
      <c r="O71" t="s">
        <v>51</v>
      </c>
      <c r="P71" t="s">
        <v>20</v>
      </c>
      <c r="Q71" t="s">
        <v>16</v>
      </c>
      <c r="R71" t="s">
        <v>17</v>
      </c>
    </row>
    <row r="72" spans="1:18" x14ac:dyDescent="0.25">
      <c r="A72">
        <v>366</v>
      </c>
      <c r="B72" s="2">
        <v>42899</v>
      </c>
      <c r="C72">
        <v>6</v>
      </c>
      <c r="D72">
        <v>2017</v>
      </c>
      <c r="E72" t="s">
        <v>36</v>
      </c>
      <c r="F72" t="s">
        <v>42</v>
      </c>
      <c r="G72" t="s">
        <v>14</v>
      </c>
      <c r="H72">
        <v>38</v>
      </c>
      <c r="I72" t="s">
        <v>49</v>
      </c>
      <c r="J72">
        <v>16937</v>
      </c>
      <c r="K72">
        <v>203244</v>
      </c>
      <c r="L72">
        <v>13</v>
      </c>
      <c r="M72" t="s">
        <v>50</v>
      </c>
      <c r="N72">
        <v>2</v>
      </c>
      <c r="O72" t="s">
        <v>51</v>
      </c>
      <c r="P72" t="s">
        <v>15</v>
      </c>
      <c r="Q72" t="s">
        <v>27</v>
      </c>
      <c r="R72" t="s">
        <v>25</v>
      </c>
    </row>
    <row r="73" spans="1:18" x14ac:dyDescent="0.25">
      <c r="A73">
        <v>373</v>
      </c>
      <c r="B73" s="2">
        <v>42405</v>
      </c>
      <c r="C73">
        <v>2</v>
      </c>
      <c r="D73">
        <v>2016</v>
      </c>
      <c r="E73" t="s">
        <v>22</v>
      </c>
      <c r="F73" t="s">
        <v>23</v>
      </c>
      <c r="G73" t="s">
        <v>14</v>
      </c>
      <c r="H73">
        <v>24</v>
      </c>
      <c r="I73" t="s">
        <v>53</v>
      </c>
      <c r="J73">
        <v>11583</v>
      </c>
      <c r="K73">
        <v>138996</v>
      </c>
      <c r="L73">
        <v>9</v>
      </c>
      <c r="M73" t="s">
        <v>50</v>
      </c>
      <c r="N73">
        <v>2</v>
      </c>
      <c r="O73" t="s">
        <v>51</v>
      </c>
      <c r="P73" t="s">
        <v>15</v>
      </c>
      <c r="Q73" t="s">
        <v>32</v>
      </c>
      <c r="R73" t="s">
        <v>34</v>
      </c>
    </row>
    <row r="74" spans="1:18" x14ac:dyDescent="0.25">
      <c r="A74">
        <v>377</v>
      </c>
      <c r="B74" s="2">
        <v>40296</v>
      </c>
      <c r="C74">
        <v>4</v>
      </c>
      <c r="D74">
        <v>2010</v>
      </c>
      <c r="E74" t="s">
        <v>12</v>
      </c>
      <c r="F74" t="s">
        <v>13</v>
      </c>
      <c r="G74" t="s">
        <v>24</v>
      </c>
      <c r="H74">
        <v>40</v>
      </c>
      <c r="I74" t="s">
        <v>49</v>
      </c>
      <c r="J74">
        <v>13351</v>
      </c>
      <c r="K74">
        <v>160212</v>
      </c>
      <c r="L74">
        <v>15</v>
      </c>
      <c r="M74" t="s">
        <v>50</v>
      </c>
      <c r="N74">
        <v>1</v>
      </c>
      <c r="O74" t="s">
        <v>51</v>
      </c>
      <c r="P74" t="s">
        <v>15</v>
      </c>
      <c r="Q74" t="s">
        <v>32</v>
      </c>
      <c r="R74" t="s">
        <v>34</v>
      </c>
    </row>
    <row r="75" spans="1:18" x14ac:dyDescent="0.25">
      <c r="A75">
        <v>380</v>
      </c>
      <c r="B75" s="2">
        <v>44409</v>
      </c>
      <c r="C75">
        <v>8</v>
      </c>
      <c r="D75">
        <v>2021</v>
      </c>
      <c r="E75" t="s">
        <v>18</v>
      </c>
      <c r="F75" t="s">
        <v>19</v>
      </c>
      <c r="G75" t="s">
        <v>14</v>
      </c>
      <c r="H75">
        <v>34</v>
      </c>
      <c r="I75" t="s">
        <v>49</v>
      </c>
      <c r="J75">
        <v>9611</v>
      </c>
      <c r="K75">
        <v>115332</v>
      </c>
      <c r="L75">
        <v>9</v>
      </c>
      <c r="M75" t="s">
        <v>50</v>
      </c>
      <c r="N75">
        <v>2</v>
      </c>
      <c r="O75" t="s">
        <v>51</v>
      </c>
      <c r="P75" t="s">
        <v>20</v>
      </c>
      <c r="Q75" t="s">
        <v>27</v>
      </c>
      <c r="R75" t="s">
        <v>21</v>
      </c>
    </row>
    <row r="76" spans="1:18" x14ac:dyDescent="0.25">
      <c r="A76">
        <v>387</v>
      </c>
      <c r="B76" s="2">
        <v>44965</v>
      </c>
      <c r="C76">
        <v>2</v>
      </c>
      <c r="D76">
        <v>2023</v>
      </c>
      <c r="E76" t="s">
        <v>18</v>
      </c>
      <c r="F76" t="s">
        <v>26</v>
      </c>
      <c r="G76" t="s">
        <v>14</v>
      </c>
      <c r="H76">
        <v>24</v>
      </c>
      <c r="I76" t="s">
        <v>53</v>
      </c>
      <c r="J76">
        <v>7304</v>
      </c>
      <c r="K76">
        <v>87648</v>
      </c>
      <c r="L76">
        <v>15</v>
      </c>
      <c r="M76" t="s">
        <v>50</v>
      </c>
      <c r="N76">
        <v>1</v>
      </c>
      <c r="O76" t="s">
        <v>51</v>
      </c>
      <c r="P76" t="s">
        <v>20</v>
      </c>
      <c r="Q76" t="s">
        <v>32</v>
      </c>
      <c r="R76" t="s">
        <v>39</v>
      </c>
    </row>
    <row r="77" spans="1:18" x14ac:dyDescent="0.25">
      <c r="A77">
        <v>391</v>
      </c>
      <c r="B77" s="2">
        <v>43835</v>
      </c>
      <c r="C77">
        <v>1</v>
      </c>
      <c r="D77">
        <v>2020</v>
      </c>
      <c r="E77" t="s">
        <v>12</v>
      </c>
      <c r="F77" t="s">
        <v>13</v>
      </c>
      <c r="G77" t="s">
        <v>24</v>
      </c>
      <c r="H77">
        <v>30</v>
      </c>
      <c r="I77" t="s">
        <v>49</v>
      </c>
      <c r="J77">
        <v>15014</v>
      </c>
      <c r="K77">
        <v>180168</v>
      </c>
      <c r="L77">
        <v>11</v>
      </c>
      <c r="M77" t="s">
        <v>50</v>
      </c>
      <c r="N77">
        <v>2</v>
      </c>
      <c r="O77" t="s">
        <v>51</v>
      </c>
      <c r="P77" t="s">
        <v>15</v>
      </c>
      <c r="Q77" t="s">
        <v>27</v>
      </c>
      <c r="R77" t="s">
        <v>17</v>
      </c>
    </row>
    <row r="78" spans="1:18" x14ac:dyDescent="0.25">
      <c r="A78">
        <v>408</v>
      </c>
      <c r="B78" s="2">
        <v>40980</v>
      </c>
      <c r="C78">
        <v>3</v>
      </c>
      <c r="D78">
        <v>2012</v>
      </c>
      <c r="E78" t="s">
        <v>28</v>
      </c>
      <c r="F78" t="s">
        <v>33</v>
      </c>
      <c r="G78" t="s">
        <v>24</v>
      </c>
      <c r="H78">
        <v>29</v>
      </c>
      <c r="I78" t="s">
        <v>53</v>
      </c>
      <c r="J78">
        <v>16060</v>
      </c>
      <c r="K78">
        <v>192720</v>
      </c>
      <c r="L78">
        <v>8</v>
      </c>
      <c r="M78" t="s">
        <v>50</v>
      </c>
      <c r="N78">
        <v>1</v>
      </c>
      <c r="O78" t="s">
        <v>51</v>
      </c>
      <c r="P78" t="s">
        <v>20</v>
      </c>
      <c r="Q78" t="s">
        <v>16</v>
      </c>
      <c r="R78" t="s">
        <v>17</v>
      </c>
    </row>
    <row r="79" spans="1:18" x14ac:dyDescent="0.25">
      <c r="A79">
        <v>409</v>
      </c>
      <c r="B79" s="2">
        <v>43734</v>
      </c>
      <c r="C79">
        <v>9</v>
      </c>
      <c r="D79">
        <v>2019</v>
      </c>
      <c r="E79" t="s">
        <v>30</v>
      </c>
      <c r="F79" t="s">
        <v>38</v>
      </c>
      <c r="G79" t="s">
        <v>14</v>
      </c>
      <c r="H79">
        <v>42</v>
      </c>
      <c r="I79" t="s">
        <v>49</v>
      </c>
      <c r="J79">
        <v>18811</v>
      </c>
      <c r="K79">
        <v>225732</v>
      </c>
      <c r="L79">
        <v>10</v>
      </c>
      <c r="M79" t="s">
        <v>50</v>
      </c>
      <c r="N79">
        <v>1</v>
      </c>
      <c r="O79" t="s">
        <v>51</v>
      </c>
      <c r="P79" t="s">
        <v>20</v>
      </c>
      <c r="Q79" t="s">
        <v>32</v>
      </c>
      <c r="R79" t="s">
        <v>34</v>
      </c>
    </row>
    <row r="80" spans="1:18" x14ac:dyDescent="0.25">
      <c r="A80">
        <v>421</v>
      </c>
      <c r="B80" s="2">
        <v>42743</v>
      </c>
      <c r="C80">
        <v>1</v>
      </c>
      <c r="D80">
        <v>2017</v>
      </c>
      <c r="E80" t="s">
        <v>18</v>
      </c>
      <c r="F80" t="s">
        <v>19</v>
      </c>
      <c r="G80" t="s">
        <v>24</v>
      </c>
      <c r="H80">
        <v>48</v>
      </c>
      <c r="I80" t="s">
        <v>52</v>
      </c>
      <c r="J80">
        <v>13111</v>
      </c>
      <c r="K80">
        <v>157332</v>
      </c>
      <c r="L80">
        <v>14</v>
      </c>
      <c r="M80" t="s">
        <v>50</v>
      </c>
      <c r="N80">
        <v>1</v>
      </c>
      <c r="O80" t="s">
        <v>51</v>
      </c>
      <c r="P80" t="s">
        <v>15</v>
      </c>
      <c r="Q80" t="s">
        <v>32</v>
      </c>
      <c r="R80" t="s">
        <v>17</v>
      </c>
    </row>
    <row r="81" spans="1:18" x14ac:dyDescent="0.25">
      <c r="A81">
        <v>423</v>
      </c>
      <c r="B81" s="2">
        <v>43524</v>
      </c>
      <c r="C81">
        <v>2</v>
      </c>
      <c r="D81">
        <v>2019</v>
      </c>
      <c r="E81" t="s">
        <v>28</v>
      </c>
      <c r="F81" t="s">
        <v>29</v>
      </c>
      <c r="G81" t="s">
        <v>14</v>
      </c>
      <c r="H81">
        <v>60</v>
      </c>
      <c r="I81" t="s">
        <v>52</v>
      </c>
      <c r="J81">
        <v>19503</v>
      </c>
      <c r="K81">
        <v>234036</v>
      </c>
      <c r="L81">
        <v>9</v>
      </c>
      <c r="M81" t="s">
        <v>50</v>
      </c>
      <c r="N81">
        <v>2</v>
      </c>
      <c r="O81" t="s">
        <v>51</v>
      </c>
      <c r="P81" t="s">
        <v>15</v>
      </c>
      <c r="Q81" t="s">
        <v>16</v>
      </c>
      <c r="R81" t="s">
        <v>34</v>
      </c>
    </row>
    <row r="82" spans="1:18" x14ac:dyDescent="0.25">
      <c r="A82">
        <v>425</v>
      </c>
      <c r="B82" s="2">
        <v>41021</v>
      </c>
      <c r="C82">
        <v>4</v>
      </c>
      <c r="D82">
        <v>2012</v>
      </c>
      <c r="E82" t="s">
        <v>22</v>
      </c>
      <c r="F82" t="s">
        <v>23</v>
      </c>
      <c r="G82" t="s">
        <v>24</v>
      </c>
      <c r="H82">
        <v>28</v>
      </c>
      <c r="I82" t="s">
        <v>53</v>
      </c>
      <c r="J82">
        <v>16500</v>
      </c>
      <c r="K82">
        <v>198000</v>
      </c>
      <c r="L82">
        <v>9</v>
      </c>
      <c r="M82" t="s">
        <v>50</v>
      </c>
      <c r="N82">
        <v>2</v>
      </c>
      <c r="O82" t="s">
        <v>51</v>
      </c>
      <c r="P82" t="s">
        <v>20</v>
      </c>
      <c r="Q82" t="s">
        <v>32</v>
      </c>
      <c r="R82" t="s">
        <v>39</v>
      </c>
    </row>
    <row r="83" spans="1:18" x14ac:dyDescent="0.25">
      <c r="A83">
        <v>431</v>
      </c>
      <c r="B83" s="2">
        <v>44980</v>
      </c>
      <c r="C83">
        <v>2</v>
      </c>
      <c r="D83">
        <v>2023</v>
      </c>
      <c r="E83" t="s">
        <v>36</v>
      </c>
      <c r="F83" t="s">
        <v>42</v>
      </c>
      <c r="G83" t="s">
        <v>14</v>
      </c>
      <c r="H83">
        <v>50</v>
      </c>
      <c r="I83" t="s">
        <v>52</v>
      </c>
      <c r="J83">
        <v>4816</v>
      </c>
      <c r="K83">
        <v>57792</v>
      </c>
      <c r="L83">
        <v>8</v>
      </c>
      <c r="M83" t="s">
        <v>50</v>
      </c>
      <c r="N83">
        <v>1</v>
      </c>
      <c r="O83" t="s">
        <v>51</v>
      </c>
      <c r="P83" t="s">
        <v>15</v>
      </c>
      <c r="Q83" t="s">
        <v>32</v>
      </c>
      <c r="R83" t="s">
        <v>21</v>
      </c>
    </row>
    <row r="84" spans="1:18" x14ac:dyDescent="0.25">
      <c r="A84">
        <v>434</v>
      </c>
      <c r="B84" s="2">
        <v>40644</v>
      </c>
      <c r="C84">
        <v>4</v>
      </c>
      <c r="D84">
        <v>2011</v>
      </c>
      <c r="E84" t="s">
        <v>12</v>
      </c>
      <c r="F84" t="s">
        <v>13</v>
      </c>
      <c r="G84" t="s">
        <v>14</v>
      </c>
      <c r="H84">
        <v>50</v>
      </c>
      <c r="I84" t="s">
        <v>52</v>
      </c>
      <c r="J84">
        <v>4761</v>
      </c>
      <c r="K84">
        <v>57132</v>
      </c>
      <c r="L84">
        <v>12</v>
      </c>
      <c r="M84" t="s">
        <v>50</v>
      </c>
      <c r="N84">
        <v>2</v>
      </c>
      <c r="O84" t="s">
        <v>51</v>
      </c>
      <c r="P84" t="s">
        <v>20</v>
      </c>
      <c r="Q84" t="s">
        <v>27</v>
      </c>
      <c r="R84" t="s">
        <v>17</v>
      </c>
    </row>
    <row r="85" spans="1:18" x14ac:dyDescent="0.25">
      <c r="A85">
        <v>435</v>
      </c>
      <c r="B85" s="2">
        <v>44188</v>
      </c>
      <c r="C85">
        <v>12</v>
      </c>
      <c r="D85">
        <v>2020</v>
      </c>
      <c r="E85" t="s">
        <v>12</v>
      </c>
      <c r="F85" t="s">
        <v>41</v>
      </c>
      <c r="G85" t="s">
        <v>24</v>
      </c>
      <c r="H85">
        <v>46</v>
      </c>
      <c r="I85" t="s">
        <v>52</v>
      </c>
      <c r="J85">
        <v>7526</v>
      </c>
      <c r="K85">
        <v>90312</v>
      </c>
      <c r="L85">
        <v>9</v>
      </c>
      <c r="M85" t="s">
        <v>50</v>
      </c>
      <c r="N85">
        <v>2</v>
      </c>
      <c r="O85" t="s">
        <v>51</v>
      </c>
      <c r="P85" t="s">
        <v>20</v>
      </c>
      <c r="Q85" t="s">
        <v>32</v>
      </c>
      <c r="R85" t="s">
        <v>25</v>
      </c>
    </row>
    <row r="86" spans="1:18" x14ac:dyDescent="0.25">
      <c r="A86">
        <v>437</v>
      </c>
      <c r="B86" s="2">
        <v>43337</v>
      </c>
      <c r="C86">
        <v>8</v>
      </c>
      <c r="D86">
        <v>2018</v>
      </c>
      <c r="E86" t="s">
        <v>22</v>
      </c>
      <c r="F86" t="s">
        <v>23</v>
      </c>
      <c r="G86" t="s">
        <v>24</v>
      </c>
      <c r="H86">
        <v>28</v>
      </c>
      <c r="I86" t="s">
        <v>53</v>
      </c>
      <c r="J86">
        <v>18145</v>
      </c>
      <c r="K86">
        <v>217740</v>
      </c>
      <c r="L86">
        <v>10</v>
      </c>
      <c r="M86" t="s">
        <v>50</v>
      </c>
      <c r="N86">
        <v>1</v>
      </c>
      <c r="O86" t="s">
        <v>51</v>
      </c>
      <c r="P86" t="s">
        <v>15</v>
      </c>
      <c r="Q86" t="s">
        <v>32</v>
      </c>
      <c r="R86" t="s">
        <v>39</v>
      </c>
    </row>
    <row r="87" spans="1:18" x14ac:dyDescent="0.25">
      <c r="A87">
        <v>439</v>
      </c>
      <c r="B87" s="2">
        <v>42689</v>
      </c>
      <c r="C87">
        <v>11</v>
      </c>
      <c r="D87">
        <v>2016</v>
      </c>
      <c r="E87" t="s">
        <v>12</v>
      </c>
      <c r="F87" t="s">
        <v>41</v>
      </c>
      <c r="G87" t="s">
        <v>24</v>
      </c>
      <c r="H87">
        <v>60</v>
      </c>
      <c r="I87" t="s">
        <v>52</v>
      </c>
      <c r="J87">
        <v>17522</v>
      </c>
      <c r="K87">
        <v>210264</v>
      </c>
      <c r="L87">
        <v>9</v>
      </c>
      <c r="M87" t="s">
        <v>50</v>
      </c>
      <c r="N87">
        <v>1</v>
      </c>
      <c r="O87" t="s">
        <v>51</v>
      </c>
      <c r="P87" t="s">
        <v>15</v>
      </c>
      <c r="Q87" t="s">
        <v>32</v>
      </c>
      <c r="R87" t="s">
        <v>39</v>
      </c>
    </row>
    <row r="88" spans="1:18" x14ac:dyDescent="0.25">
      <c r="A88">
        <v>441</v>
      </c>
      <c r="B88" s="2">
        <v>40217</v>
      </c>
      <c r="C88">
        <v>2</v>
      </c>
      <c r="D88">
        <v>2010</v>
      </c>
      <c r="E88" t="s">
        <v>30</v>
      </c>
      <c r="F88" t="s">
        <v>38</v>
      </c>
      <c r="G88" t="s">
        <v>24</v>
      </c>
      <c r="H88">
        <v>26</v>
      </c>
      <c r="I88" t="s">
        <v>53</v>
      </c>
      <c r="J88">
        <v>8374</v>
      </c>
      <c r="K88">
        <v>100488</v>
      </c>
      <c r="L88">
        <v>12</v>
      </c>
      <c r="M88" t="s">
        <v>50</v>
      </c>
      <c r="N88">
        <v>1</v>
      </c>
      <c r="O88" t="s">
        <v>51</v>
      </c>
      <c r="P88" t="s">
        <v>20</v>
      </c>
      <c r="Q88" t="s">
        <v>16</v>
      </c>
      <c r="R88" t="s">
        <v>21</v>
      </c>
    </row>
    <row r="89" spans="1:18" x14ac:dyDescent="0.25">
      <c r="A89">
        <v>445</v>
      </c>
      <c r="B89" s="2">
        <v>43030</v>
      </c>
      <c r="C89">
        <v>10</v>
      </c>
      <c r="D89">
        <v>2017</v>
      </c>
      <c r="E89" t="s">
        <v>30</v>
      </c>
      <c r="F89" t="s">
        <v>31</v>
      </c>
      <c r="G89" t="s">
        <v>24</v>
      </c>
      <c r="H89">
        <v>33</v>
      </c>
      <c r="I89" t="s">
        <v>49</v>
      </c>
      <c r="J89">
        <v>18328</v>
      </c>
      <c r="K89">
        <v>219936</v>
      </c>
      <c r="L89">
        <v>8</v>
      </c>
      <c r="M89" t="s">
        <v>50</v>
      </c>
      <c r="N89">
        <v>1</v>
      </c>
      <c r="O89" t="s">
        <v>51</v>
      </c>
      <c r="P89" t="s">
        <v>20</v>
      </c>
      <c r="Q89" t="s">
        <v>16</v>
      </c>
      <c r="R89" t="s">
        <v>25</v>
      </c>
    </row>
    <row r="90" spans="1:18" x14ac:dyDescent="0.25">
      <c r="A90">
        <v>454</v>
      </c>
      <c r="B90" s="2">
        <v>44389</v>
      </c>
      <c r="C90">
        <v>7</v>
      </c>
      <c r="D90">
        <v>2021</v>
      </c>
      <c r="E90" t="s">
        <v>22</v>
      </c>
      <c r="F90" t="s">
        <v>35</v>
      </c>
      <c r="G90" t="s">
        <v>14</v>
      </c>
      <c r="H90">
        <v>49</v>
      </c>
      <c r="I90" t="s">
        <v>52</v>
      </c>
      <c r="J90">
        <v>19086</v>
      </c>
      <c r="K90">
        <v>229032</v>
      </c>
      <c r="L90">
        <v>14</v>
      </c>
      <c r="M90" t="s">
        <v>50</v>
      </c>
      <c r="N90">
        <v>2</v>
      </c>
      <c r="O90" t="s">
        <v>51</v>
      </c>
      <c r="P90" t="s">
        <v>15</v>
      </c>
      <c r="Q90" t="s">
        <v>16</v>
      </c>
      <c r="R90" t="s">
        <v>34</v>
      </c>
    </row>
    <row r="91" spans="1:18" x14ac:dyDescent="0.25">
      <c r="A91">
        <v>456</v>
      </c>
      <c r="B91" s="2">
        <v>41815</v>
      </c>
      <c r="C91">
        <v>6</v>
      </c>
      <c r="D91">
        <v>2014</v>
      </c>
      <c r="E91" t="s">
        <v>12</v>
      </c>
      <c r="F91" t="s">
        <v>41</v>
      </c>
      <c r="G91" t="s">
        <v>14</v>
      </c>
      <c r="H91">
        <v>59</v>
      </c>
      <c r="I91" t="s">
        <v>52</v>
      </c>
      <c r="J91">
        <v>7761</v>
      </c>
      <c r="K91">
        <v>93132</v>
      </c>
      <c r="L91">
        <v>8</v>
      </c>
      <c r="M91" t="s">
        <v>50</v>
      </c>
      <c r="N91">
        <v>2</v>
      </c>
      <c r="O91" t="s">
        <v>51</v>
      </c>
      <c r="P91" t="s">
        <v>20</v>
      </c>
      <c r="Q91" t="s">
        <v>16</v>
      </c>
      <c r="R91" t="s">
        <v>25</v>
      </c>
    </row>
    <row r="92" spans="1:18" x14ac:dyDescent="0.25">
      <c r="A92">
        <v>457</v>
      </c>
      <c r="B92" s="2">
        <v>43580</v>
      </c>
      <c r="C92">
        <v>4</v>
      </c>
      <c r="D92">
        <v>2019</v>
      </c>
      <c r="E92" t="s">
        <v>18</v>
      </c>
      <c r="F92" t="s">
        <v>26</v>
      </c>
      <c r="G92" t="s">
        <v>14</v>
      </c>
      <c r="H92">
        <v>35</v>
      </c>
      <c r="I92" t="s">
        <v>49</v>
      </c>
      <c r="J92">
        <v>16124</v>
      </c>
      <c r="K92">
        <v>193488</v>
      </c>
      <c r="L92">
        <v>13</v>
      </c>
      <c r="M92" t="s">
        <v>50</v>
      </c>
      <c r="N92">
        <v>2</v>
      </c>
      <c r="O92" t="s">
        <v>51</v>
      </c>
      <c r="P92" t="s">
        <v>15</v>
      </c>
      <c r="Q92" t="s">
        <v>27</v>
      </c>
      <c r="R92" t="s">
        <v>25</v>
      </c>
    </row>
    <row r="93" spans="1:18" x14ac:dyDescent="0.25">
      <c r="A93">
        <v>461</v>
      </c>
      <c r="B93" s="2">
        <v>44759</v>
      </c>
      <c r="C93">
        <v>7</v>
      </c>
      <c r="D93">
        <v>2022</v>
      </c>
      <c r="E93" t="s">
        <v>36</v>
      </c>
      <c r="F93" t="s">
        <v>37</v>
      </c>
      <c r="G93" t="s">
        <v>14</v>
      </c>
      <c r="H93">
        <v>37</v>
      </c>
      <c r="I93" t="s">
        <v>49</v>
      </c>
      <c r="J93">
        <v>11488</v>
      </c>
      <c r="K93">
        <v>137856</v>
      </c>
      <c r="L93">
        <v>9</v>
      </c>
      <c r="M93" t="s">
        <v>50</v>
      </c>
      <c r="N93">
        <v>2</v>
      </c>
      <c r="O93" t="s">
        <v>51</v>
      </c>
      <c r="P93" t="s">
        <v>20</v>
      </c>
      <c r="Q93" t="s">
        <v>27</v>
      </c>
      <c r="R93" t="s">
        <v>17</v>
      </c>
    </row>
    <row r="94" spans="1:18" x14ac:dyDescent="0.25">
      <c r="A94">
        <v>463</v>
      </c>
      <c r="B94" s="2">
        <v>44574</v>
      </c>
      <c r="C94">
        <v>1</v>
      </c>
      <c r="D94">
        <v>2022</v>
      </c>
      <c r="E94" t="s">
        <v>36</v>
      </c>
      <c r="F94" t="s">
        <v>40</v>
      </c>
      <c r="G94" t="s">
        <v>14</v>
      </c>
      <c r="H94">
        <v>44</v>
      </c>
      <c r="I94" t="s">
        <v>49</v>
      </c>
      <c r="J94">
        <v>6239</v>
      </c>
      <c r="K94">
        <v>74868</v>
      </c>
      <c r="L94">
        <v>13</v>
      </c>
      <c r="M94" t="s">
        <v>50</v>
      </c>
      <c r="N94">
        <v>1</v>
      </c>
      <c r="O94" t="s">
        <v>51</v>
      </c>
      <c r="P94" t="s">
        <v>20</v>
      </c>
      <c r="Q94" t="s">
        <v>27</v>
      </c>
      <c r="R94" t="s">
        <v>17</v>
      </c>
    </row>
    <row r="95" spans="1:18" x14ac:dyDescent="0.25">
      <c r="A95">
        <v>468</v>
      </c>
      <c r="B95" s="2">
        <v>41390</v>
      </c>
      <c r="C95">
        <v>4</v>
      </c>
      <c r="D95">
        <v>2013</v>
      </c>
      <c r="E95" t="s">
        <v>30</v>
      </c>
      <c r="F95" t="s">
        <v>38</v>
      </c>
      <c r="G95" t="s">
        <v>24</v>
      </c>
      <c r="H95">
        <v>28</v>
      </c>
      <c r="I95" t="s">
        <v>53</v>
      </c>
      <c r="J95">
        <v>4915</v>
      </c>
      <c r="K95">
        <v>58980</v>
      </c>
      <c r="L95">
        <v>8</v>
      </c>
      <c r="M95" t="s">
        <v>50</v>
      </c>
      <c r="N95">
        <v>2</v>
      </c>
      <c r="O95" t="s">
        <v>51</v>
      </c>
      <c r="P95" t="s">
        <v>20</v>
      </c>
      <c r="Q95" t="s">
        <v>27</v>
      </c>
      <c r="R95" t="s">
        <v>34</v>
      </c>
    </row>
    <row r="96" spans="1:18" x14ac:dyDescent="0.25">
      <c r="A96">
        <v>483</v>
      </c>
      <c r="B96" s="2">
        <v>40720</v>
      </c>
      <c r="C96">
        <v>6</v>
      </c>
      <c r="D96">
        <v>2011</v>
      </c>
      <c r="E96" t="s">
        <v>22</v>
      </c>
      <c r="F96" t="s">
        <v>35</v>
      </c>
      <c r="G96" t="s">
        <v>14</v>
      </c>
      <c r="H96">
        <v>41</v>
      </c>
      <c r="I96" t="s">
        <v>49</v>
      </c>
      <c r="J96">
        <v>12187</v>
      </c>
      <c r="K96">
        <v>146244</v>
      </c>
      <c r="L96">
        <v>15</v>
      </c>
      <c r="M96" t="s">
        <v>50</v>
      </c>
      <c r="N96">
        <v>1</v>
      </c>
      <c r="O96" t="s">
        <v>51</v>
      </c>
      <c r="P96" t="s">
        <v>15</v>
      </c>
      <c r="Q96" t="s">
        <v>16</v>
      </c>
      <c r="R96" t="s">
        <v>17</v>
      </c>
    </row>
    <row r="97" spans="1:18" x14ac:dyDescent="0.25">
      <c r="A97">
        <v>486</v>
      </c>
      <c r="B97" s="2">
        <v>44199</v>
      </c>
      <c r="C97">
        <v>1</v>
      </c>
      <c r="D97">
        <v>2021</v>
      </c>
      <c r="E97" t="s">
        <v>28</v>
      </c>
      <c r="F97" t="s">
        <v>29</v>
      </c>
      <c r="G97" t="s">
        <v>24</v>
      </c>
      <c r="H97">
        <v>39</v>
      </c>
      <c r="I97" t="s">
        <v>49</v>
      </c>
      <c r="J97">
        <v>15711</v>
      </c>
      <c r="K97">
        <v>188532</v>
      </c>
      <c r="L97">
        <v>11</v>
      </c>
      <c r="M97" t="s">
        <v>50</v>
      </c>
      <c r="N97">
        <v>2</v>
      </c>
      <c r="O97" t="s">
        <v>51</v>
      </c>
      <c r="P97" t="s">
        <v>15</v>
      </c>
      <c r="Q97" t="s">
        <v>16</v>
      </c>
      <c r="R97" t="s">
        <v>21</v>
      </c>
    </row>
    <row r="98" spans="1:18" x14ac:dyDescent="0.25">
      <c r="A98">
        <v>490</v>
      </c>
      <c r="B98" s="2">
        <v>42114</v>
      </c>
      <c r="C98">
        <v>4</v>
      </c>
      <c r="D98">
        <v>2015</v>
      </c>
      <c r="E98" t="s">
        <v>28</v>
      </c>
      <c r="F98" t="s">
        <v>29</v>
      </c>
      <c r="G98" t="s">
        <v>14</v>
      </c>
      <c r="H98">
        <v>56</v>
      </c>
      <c r="I98" t="s">
        <v>52</v>
      </c>
      <c r="J98">
        <v>7244</v>
      </c>
      <c r="K98">
        <v>86928</v>
      </c>
      <c r="L98">
        <v>13</v>
      </c>
      <c r="M98" t="s">
        <v>50</v>
      </c>
      <c r="N98">
        <v>1</v>
      </c>
      <c r="O98" t="s">
        <v>51</v>
      </c>
      <c r="P98" t="s">
        <v>20</v>
      </c>
      <c r="Q98" t="s">
        <v>16</v>
      </c>
      <c r="R98" t="s">
        <v>21</v>
      </c>
    </row>
    <row r="99" spans="1:18" x14ac:dyDescent="0.25">
      <c r="A99">
        <v>492</v>
      </c>
      <c r="B99" s="2">
        <v>41145</v>
      </c>
      <c r="C99">
        <v>8</v>
      </c>
      <c r="D99">
        <v>2012</v>
      </c>
      <c r="E99" t="s">
        <v>18</v>
      </c>
      <c r="F99" t="s">
        <v>19</v>
      </c>
      <c r="G99" t="s">
        <v>14</v>
      </c>
      <c r="H99">
        <v>42</v>
      </c>
      <c r="I99" t="s">
        <v>49</v>
      </c>
      <c r="J99">
        <v>13478</v>
      </c>
      <c r="K99">
        <v>161736</v>
      </c>
      <c r="L99">
        <v>9</v>
      </c>
      <c r="M99" t="s">
        <v>50</v>
      </c>
      <c r="N99">
        <v>1</v>
      </c>
      <c r="O99" t="s">
        <v>51</v>
      </c>
      <c r="P99" t="s">
        <v>20</v>
      </c>
      <c r="Q99" t="s">
        <v>16</v>
      </c>
      <c r="R99" t="s">
        <v>34</v>
      </c>
    </row>
    <row r="100" spans="1:18" x14ac:dyDescent="0.25">
      <c r="A100">
        <v>496</v>
      </c>
      <c r="B100" s="2">
        <v>44420</v>
      </c>
      <c r="C100">
        <v>8</v>
      </c>
      <c r="D100">
        <v>2021</v>
      </c>
      <c r="E100" t="s">
        <v>12</v>
      </c>
      <c r="F100" t="s">
        <v>41</v>
      </c>
      <c r="G100" t="s">
        <v>24</v>
      </c>
      <c r="H100">
        <v>31</v>
      </c>
      <c r="I100" t="s">
        <v>49</v>
      </c>
      <c r="J100">
        <v>10448</v>
      </c>
      <c r="K100">
        <v>125376</v>
      </c>
      <c r="L100">
        <v>10</v>
      </c>
      <c r="M100" t="s">
        <v>50</v>
      </c>
      <c r="N100">
        <v>1</v>
      </c>
      <c r="O100" t="s">
        <v>51</v>
      </c>
      <c r="P100" t="s">
        <v>20</v>
      </c>
      <c r="Q100" t="s">
        <v>27</v>
      </c>
      <c r="R100" t="s">
        <v>34</v>
      </c>
    </row>
    <row r="101" spans="1:18" x14ac:dyDescent="0.25">
      <c r="A101">
        <v>5</v>
      </c>
      <c r="B101" s="2">
        <v>44833</v>
      </c>
      <c r="C101">
        <v>9</v>
      </c>
      <c r="D101">
        <v>2022</v>
      </c>
      <c r="E101" t="s">
        <v>28</v>
      </c>
      <c r="F101" t="s">
        <v>29</v>
      </c>
      <c r="G101" t="s">
        <v>14</v>
      </c>
      <c r="H101">
        <v>55</v>
      </c>
      <c r="I101" t="s">
        <v>52</v>
      </c>
      <c r="J101">
        <v>16289</v>
      </c>
      <c r="K101">
        <v>195468</v>
      </c>
      <c r="L101">
        <v>15</v>
      </c>
      <c r="M101" t="s">
        <v>50</v>
      </c>
      <c r="N101">
        <v>5</v>
      </c>
      <c r="O101" t="s">
        <v>54</v>
      </c>
      <c r="P101" t="s">
        <v>15</v>
      </c>
      <c r="Q101" t="s">
        <v>27</v>
      </c>
      <c r="R101" t="s">
        <v>17</v>
      </c>
    </row>
    <row r="102" spans="1:18" x14ac:dyDescent="0.25">
      <c r="A102">
        <v>14</v>
      </c>
      <c r="B102" s="2">
        <v>42144</v>
      </c>
      <c r="C102">
        <v>5</v>
      </c>
      <c r="D102">
        <v>2015</v>
      </c>
      <c r="E102" t="s">
        <v>28</v>
      </c>
      <c r="F102" t="s">
        <v>29</v>
      </c>
      <c r="G102" t="s">
        <v>14</v>
      </c>
      <c r="H102">
        <v>41</v>
      </c>
      <c r="I102" t="s">
        <v>49</v>
      </c>
      <c r="J102">
        <v>5545</v>
      </c>
      <c r="K102">
        <v>66540</v>
      </c>
      <c r="L102">
        <v>13</v>
      </c>
      <c r="M102" t="s">
        <v>50</v>
      </c>
      <c r="N102">
        <v>5</v>
      </c>
      <c r="O102" t="s">
        <v>54</v>
      </c>
      <c r="P102" t="s">
        <v>20</v>
      </c>
      <c r="Q102" t="s">
        <v>27</v>
      </c>
      <c r="R102" t="s">
        <v>34</v>
      </c>
    </row>
    <row r="103" spans="1:18" x14ac:dyDescent="0.25">
      <c r="A103">
        <v>21</v>
      </c>
      <c r="B103" s="2">
        <v>43232</v>
      </c>
      <c r="C103">
        <v>5</v>
      </c>
      <c r="D103">
        <v>2018</v>
      </c>
      <c r="E103" t="s">
        <v>12</v>
      </c>
      <c r="F103" t="s">
        <v>13</v>
      </c>
      <c r="G103" t="s">
        <v>14</v>
      </c>
      <c r="H103">
        <v>38</v>
      </c>
      <c r="I103" t="s">
        <v>49</v>
      </c>
      <c r="J103">
        <v>14850</v>
      </c>
      <c r="K103">
        <v>178200</v>
      </c>
      <c r="L103">
        <v>15</v>
      </c>
      <c r="M103" t="s">
        <v>50</v>
      </c>
      <c r="N103">
        <v>4</v>
      </c>
      <c r="O103" t="s">
        <v>54</v>
      </c>
      <c r="P103" t="s">
        <v>15</v>
      </c>
      <c r="Q103" t="s">
        <v>32</v>
      </c>
      <c r="R103" t="s">
        <v>17</v>
      </c>
    </row>
    <row r="104" spans="1:18" x14ac:dyDescent="0.25">
      <c r="A104">
        <v>24</v>
      </c>
      <c r="B104" s="2">
        <v>43643</v>
      </c>
      <c r="C104">
        <v>6</v>
      </c>
      <c r="D104">
        <v>2019</v>
      </c>
      <c r="E104" t="s">
        <v>18</v>
      </c>
      <c r="F104" t="s">
        <v>19</v>
      </c>
      <c r="G104" t="s">
        <v>14</v>
      </c>
      <c r="H104">
        <v>41</v>
      </c>
      <c r="I104" t="s">
        <v>49</v>
      </c>
      <c r="J104">
        <v>14197</v>
      </c>
      <c r="K104">
        <v>170364</v>
      </c>
      <c r="L104">
        <v>9</v>
      </c>
      <c r="M104" t="s">
        <v>50</v>
      </c>
      <c r="N104">
        <v>4</v>
      </c>
      <c r="O104" t="s">
        <v>54</v>
      </c>
      <c r="P104" t="s">
        <v>15</v>
      </c>
      <c r="Q104" t="s">
        <v>16</v>
      </c>
      <c r="R104" t="s">
        <v>17</v>
      </c>
    </row>
    <row r="105" spans="1:18" x14ac:dyDescent="0.25">
      <c r="A105">
        <v>28</v>
      </c>
      <c r="B105" s="2">
        <v>42148</v>
      </c>
      <c r="C105">
        <v>5</v>
      </c>
      <c r="D105">
        <v>2015</v>
      </c>
      <c r="E105" t="s">
        <v>12</v>
      </c>
      <c r="F105" t="s">
        <v>13</v>
      </c>
      <c r="G105" t="s">
        <v>14</v>
      </c>
      <c r="H105">
        <v>33</v>
      </c>
      <c r="I105" t="s">
        <v>49</v>
      </c>
      <c r="J105">
        <v>6269</v>
      </c>
      <c r="K105">
        <v>75228</v>
      </c>
      <c r="L105">
        <v>15</v>
      </c>
      <c r="M105" t="s">
        <v>50</v>
      </c>
      <c r="N105">
        <v>5</v>
      </c>
      <c r="O105" t="s">
        <v>54</v>
      </c>
      <c r="P105" t="s">
        <v>20</v>
      </c>
      <c r="Q105" t="s">
        <v>27</v>
      </c>
      <c r="R105" t="s">
        <v>39</v>
      </c>
    </row>
    <row r="106" spans="1:18" x14ac:dyDescent="0.25">
      <c r="A106">
        <v>32</v>
      </c>
      <c r="B106" s="2">
        <v>42450</v>
      </c>
      <c r="C106">
        <v>3</v>
      </c>
      <c r="D106">
        <v>2016</v>
      </c>
      <c r="E106" t="s">
        <v>18</v>
      </c>
      <c r="F106" t="s">
        <v>26</v>
      </c>
      <c r="G106" t="s">
        <v>14</v>
      </c>
      <c r="H106">
        <v>49</v>
      </c>
      <c r="I106" t="s">
        <v>52</v>
      </c>
      <c r="J106">
        <v>19157</v>
      </c>
      <c r="K106">
        <v>229884</v>
      </c>
      <c r="L106">
        <v>13</v>
      </c>
      <c r="M106" t="s">
        <v>50</v>
      </c>
      <c r="N106">
        <v>5</v>
      </c>
      <c r="O106" t="s">
        <v>54</v>
      </c>
      <c r="P106" t="s">
        <v>20</v>
      </c>
      <c r="Q106" t="s">
        <v>27</v>
      </c>
      <c r="R106" t="s">
        <v>39</v>
      </c>
    </row>
    <row r="107" spans="1:18" x14ac:dyDescent="0.25">
      <c r="A107">
        <v>36</v>
      </c>
      <c r="B107" s="2">
        <v>40349</v>
      </c>
      <c r="C107">
        <v>6</v>
      </c>
      <c r="D107">
        <v>2010</v>
      </c>
      <c r="E107" t="s">
        <v>12</v>
      </c>
      <c r="F107" t="s">
        <v>41</v>
      </c>
      <c r="G107" t="s">
        <v>24</v>
      </c>
      <c r="H107">
        <v>27</v>
      </c>
      <c r="I107" t="s">
        <v>53</v>
      </c>
      <c r="J107">
        <v>11965</v>
      </c>
      <c r="K107">
        <v>143580</v>
      </c>
      <c r="L107">
        <v>12</v>
      </c>
      <c r="M107" t="s">
        <v>50</v>
      </c>
      <c r="N107">
        <v>4</v>
      </c>
      <c r="O107" t="s">
        <v>54</v>
      </c>
      <c r="P107" t="s">
        <v>20</v>
      </c>
      <c r="Q107" t="s">
        <v>27</v>
      </c>
      <c r="R107" t="s">
        <v>39</v>
      </c>
    </row>
    <row r="108" spans="1:18" x14ac:dyDescent="0.25">
      <c r="A108">
        <v>38</v>
      </c>
      <c r="B108" s="2">
        <v>43788</v>
      </c>
      <c r="C108">
        <v>11</v>
      </c>
      <c r="D108">
        <v>2019</v>
      </c>
      <c r="E108" t="s">
        <v>22</v>
      </c>
      <c r="F108" t="s">
        <v>23</v>
      </c>
      <c r="G108" t="s">
        <v>14</v>
      </c>
      <c r="H108">
        <v>30</v>
      </c>
      <c r="I108" t="s">
        <v>49</v>
      </c>
      <c r="J108">
        <v>13882</v>
      </c>
      <c r="K108">
        <v>166584</v>
      </c>
      <c r="L108">
        <v>13</v>
      </c>
      <c r="M108" t="s">
        <v>50</v>
      </c>
      <c r="N108">
        <v>4</v>
      </c>
      <c r="O108" t="s">
        <v>54</v>
      </c>
      <c r="P108" t="s">
        <v>15</v>
      </c>
      <c r="Q108" t="s">
        <v>27</v>
      </c>
      <c r="R108" t="s">
        <v>25</v>
      </c>
    </row>
    <row r="109" spans="1:18" x14ac:dyDescent="0.25">
      <c r="A109">
        <v>45</v>
      </c>
      <c r="B109" s="2">
        <v>44051</v>
      </c>
      <c r="C109">
        <v>8</v>
      </c>
      <c r="D109">
        <v>2020</v>
      </c>
      <c r="E109" t="s">
        <v>30</v>
      </c>
      <c r="F109" t="s">
        <v>31</v>
      </c>
      <c r="G109" t="s">
        <v>24</v>
      </c>
      <c r="H109">
        <v>41</v>
      </c>
      <c r="I109" t="s">
        <v>49</v>
      </c>
      <c r="J109">
        <v>14874</v>
      </c>
      <c r="K109">
        <v>178488</v>
      </c>
      <c r="L109">
        <v>9</v>
      </c>
      <c r="M109" t="s">
        <v>50</v>
      </c>
      <c r="N109">
        <v>5</v>
      </c>
      <c r="O109" t="s">
        <v>54</v>
      </c>
      <c r="P109" t="s">
        <v>15</v>
      </c>
      <c r="Q109" t="s">
        <v>27</v>
      </c>
      <c r="R109" t="s">
        <v>34</v>
      </c>
    </row>
    <row r="110" spans="1:18" x14ac:dyDescent="0.25">
      <c r="A110">
        <v>46</v>
      </c>
      <c r="B110" s="2">
        <v>44158</v>
      </c>
      <c r="C110">
        <v>11</v>
      </c>
      <c r="D110">
        <v>2020</v>
      </c>
      <c r="E110" t="s">
        <v>36</v>
      </c>
      <c r="F110" t="s">
        <v>37</v>
      </c>
      <c r="G110" t="s">
        <v>24</v>
      </c>
      <c r="H110">
        <v>28</v>
      </c>
      <c r="I110" t="s">
        <v>53</v>
      </c>
      <c r="J110">
        <v>16433</v>
      </c>
      <c r="K110">
        <v>197196</v>
      </c>
      <c r="L110">
        <v>12</v>
      </c>
      <c r="M110" t="s">
        <v>50</v>
      </c>
      <c r="N110">
        <v>5</v>
      </c>
      <c r="O110" t="s">
        <v>54</v>
      </c>
      <c r="P110" t="s">
        <v>15</v>
      </c>
      <c r="Q110" t="s">
        <v>16</v>
      </c>
      <c r="R110" t="s">
        <v>39</v>
      </c>
    </row>
    <row r="111" spans="1:18" x14ac:dyDescent="0.25">
      <c r="A111">
        <v>49</v>
      </c>
      <c r="B111" s="2">
        <v>43441</v>
      </c>
      <c r="C111">
        <v>12</v>
      </c>
      <c r="D111">
        <v>2018</v>
      </c>
      <c r="E111" t="s">
        <v>30</v>
      </c>
      <c r="F111" t="s">
        <v>38</v>
      </c>
      <c r="G111" t="s">
        <v>24</v>
      </c>
      <c r="H111">
        <v>53</v>
      </c>
      <c r="I111" t="s">
        <v>52</v>
      </c>
      <c r="J111">
        <v>11772</v>
      </c>
      <c r="K111">
        <v>141264</v>
      </c>
      <c r="L111">
        <v>11</v>
      </c>
      <c r="M111" t="s">
        <v>50</v>
      </c>
      <c r="N111">
        <v>4</v>
      </c>
      <c r="O111" t="s">
        <v>54</v>
      </c>
      <c r="P111" t="s">
        <v>20</v>
      </c>
      <c r="Q111" t="s">
        <v>32</v>
      </c>
      <c r="R111" t="s">
        <v>25</v>
      </c>
    </row>
    <row r="112" spans="1:18" x14ac:dyDescent="0.25">
      <c r="A112">
        <v>72</v>
      </c>
      <c r="B112" s="2">
        <v>41628</v>
      </c>
      <c r="C112">
        <v>12</v>
      </c>
      <c r="D112">
        <v>2013</v>
      </c>
      <c r="E112" t="s">
        <v>22</v>
      </c>
      <c r="F112" t="s">
        <v>35</v>
      </c>
      <c r="G112" t="s">
        <v>14</v>
      </c>
      <c r="H112">
        <v>23</v>
      </c>
      <c r="I112" t="s">
        <v>53</v>
      </c>
      <c r="J112">
        <v>17474</v>
      </c>
      <c r="K112">
        <v>209688</v>
      </c>
      <c r="L112">
        <v>12</v>
      </c>
      <c r="M112" t="s">
        <v>50</v>
      </c>
      <c r="N112">
        <v>5</v>
      </c>
      <c r="O112" t="s">
        <v>54</v>
      </c>
      <c r="P112" t="s">
        <v>20</v>
      </c>
      <c r="Q112" t="s">
        <v>27</v>
      </c>
      <c r="R112" t="s">
        <v>39</v>
      </c>
    </row>
    <row r="113" spans="1:18" x14ac:dyDescent="0.25">
      <c r="A113">
        <v>82</v>
      </c>
      <c r="B113" s="2">
        <v>44448</v>
      </c>
      <c r="C113">
        <v>9</v>
      </c>
      <c r="D113">
        <v>2021</v>
      </c>
      <c r="E113" t="s">
        <v>28</v>
      </c>
      <c r="F113" t="s">
        <v>29</v>
      </c>
      <c r="G113" t="s">
        <v>24</v>
      </c>
      <c r="H113">
        <v>45</v>
      </c>
      <c r="I113" t="s">
        <v>49</v>
      </c>
      <c r="J113">
        <v>17468</v>
      </c>
      <c r="K113">
        <v>209616</v>
      </c>
      <c r="L113">
        <v>13</v>
      </c>
      <c r="M113" t="s">
        <v>50</v>
      </c>
      <c r="N113">
        <v>4</v>
      </c>
      <c r="O113" t="s">
        <v>54</v>
      </c>
      <c r="P113" t="s">
        <v>20</v>
      </c>
      <c r="Q113" t="s">
        <v>27</v>
      </c>
      <c r="R113" t="s">
        <v>39</v>
      </c>
    </row>
    <row r="114" spans="1:18" x14ac:dyDescent="0.25">
      <c r="A114">
        <v>83</v>
      </c>
      <c r="B114" s="2">
        <v>40687</v>
      </c>
      <c r="C114">
        <v>5</v>
      </c>
      <c r="D114">
        <v>2011</v>
      </c>
      <c r="E114" t="s">
        <v>18</v>
      </c>
      <c r="F114" t="s">
        <v>19</v>
      </c>
      <c r="G114" t="s">
        <v>24</v>
      </c>
      <c r="H114">
        <v>42</v>
      </c>
      <c r="I114" t="s">
        <v>49</v>
      </c>
      <c r="J114">
        <v>6689</v>
      </c>
      <c r="K114">
        <v>80268</v>
      </c>
      <c r="L114">
        <v>13</v>
      </c>
      <c r="M114" t="s">
        <v>50</v>
      </c>
      <c r="N114">
        <v>4</v>
      </c>
      <c r="O114" t="s">
        <v>54</v>
      </c>
      <c r="P114" t="s">
        <v>20</v>
      </c>
      <c r="Q114" t="s">
        <v>16</v>
      </c>
      <c r="R114" t="s">
        <v>25</v>
      </c>
    </row>
    <row r="115" spans="1:18" x14ac:dyDescent="0.25">
      <c r="A115">
        <v>84</v>
      </c>
      <c r="B115" s="2">
        <v>43222</v>
      </c>
      <c r="C115">
        <v>5</v>
      </c>
      <c r="D115">
        <v>2018</v>
      </c>
      <c r="E115" t="s">
        <v>18</v>
      </c>
      <c r="F115" t="s">
        <v>19</v>
      </c>
      <c r="G115" t="s">
        <v>24</v>
      </c>
      <c r="H115">
        <v>58</v>
      </c>
      <c r="I115" t="s">
        <v>52</v>
      </c>
      <c r="J115">
        <v>8586</v>
      </c>
      <c r="K115">
        <v>103032</v>
      </c>
      <c r="L115">
        <v>14</v>
      </c>
      <c r="M115" t="s">
        <v>50</v>
      </c>
      <c r="N115">
        <v>4</v>
      </c>
      <c r="O115" t="s">
        <v>54</v>
      </c>
      <c r="P115" t="s">
        <v>20</v>
      </c>
      <c r="Q115" t="s">
        <v>27</v>
      </c>
      <c r="R115" t="s">
        <v>25</v>
      </c>
    </row>
    <row r="116" spans="1:18" x14ac:dyDescent="0.25">
      <c r="A116">
        <v>97</v>
      </c>
      <c r="B116" s="2">
        <v>42989</v>
      </c>
      <c r="C116">
        <v>9</v>
      </c>
      <c r="D116">
        <v>2017</v>
      </c>
      <c r="E116" t="s">
        <v>22</v>
      </c>
      <c r="F116" t="s">
        <v>23</v>
      </c>
      <c r="G116" t="s">
        <v>24</v>
      </c>
      <c r="H116">
        <v>32</v>
      </c>
      <c r="I116" t="s">
        <v>49</v>
      </c>
      <c r="J116">
        <v>19440</v>
      </c>
      <c r="K116">
        <v>233280</v>
      </c>
      <c r="L116">
        <v>10</v>
      </c>
      <c r="M116" t="s">
        <v>50</v>
      </c>
      <c r="N116">
        <v>4</v>
      </c>
      <c r="O116" t="s">
        <v>54</v>
      </c>
      <c r="P116" t="s">
        <v>20</v>
      </c>
      <c r="Q116" t="s">
        <v>32</v>
      </c>
      <c r="R116" t="s">
        <v>21</v>
      </c>
    </row>
    <row r="117" spans="1:18" x14ac:dyDescent="0.25">
      <c r="A117">
        <v>98</v>
      </c>
      <c r="B117" s="2">
        <v>43220</v>
      </c>
      <c r="C117">
        <v>4</v>
      </c>
      <c r="D117">
        <v>2018</v>
      </c>
      <c r="E117" t="s">
        <v>18</v>
      </c>
      <c r="F117" t="s">
        <v>26</v>
      </c>
      <c r="G117" t="s">
        <v>24</v>
      </c>
      <c r="H117">
        <v>28</v>
      </c>
      <c r="I117" t="s">
        <v>53</v>
      </c>
      <c r="J117">
        <v>6435</v>
      </c>
      <c r="K117">
        <v>77220</v>
      </c>
      <c r="L117">
        <v>8</v>
      </c>
      <c r="M117" t="s">
        <v>50</v>
      </c>
      <c r="N117">
        <v>5</v>
      </c>
      <c r="O117" t="s">
        <v>54</v>
      </c>
      <c r="P117" t="s">
        <v>20</v>
      </c>
      <c r="Q117" t="s">
        <v>16</v>
      </c>
      <c r="R117" t="s">
        <v>21</v>
      </c>
    </row>
    <row r="118" spans="1:18" x14ac:dyDescent="0.25">
      <c r="A118">
        <v>105</v>
      </c>
      <c r="B118" s="2">
        <v>40675</v>
      </c>
      <c r="C118">
        <v>5</v>
      </c>
      <c r="D118">
        <v>2011</v>
      </c>
      <c r="E118" t="s">
        <v>12</v>
      </c>
      <c r="F118" t="s">
        <v>13</v>
      </c>
      <c r="G118" t="s">
        <v>14</v>
      </c>
      <c r="H118">
        <v>42</v>
      </c>
      <c r="I118" t="s">
        <v>49</v>
      </c>
      <c r="J118">
        <v>5370</v>
      </c>
      <c r="K118">
        <v>64440</v>
      </c>
      <c r="L118">
        <v>9</v>
      </c>
      <c r="M118" t="s">
        <v>50</v>
      </c>
      <c r="N118">
        <v>5</v>
      </c>
      <c r="O118" t="s">
        <v>54</v>
      </c>
      <c r="P118" t="s">
        <v>15</v>
      </c>
      <c r="Q118" t="s">
        <v>32</v>
      </c>
      <c r="R118" t="s">
        <v>39</v>
      </c>
    </row>
    <row r="119" spans="1:18" x14ac:dyDescent="0.25">
      <c r="A119">
        <v>108</v>
      </c>
      <c r="B119" s="2">
        <v>42197</v>
      </c>
      <c r="C119">
        <v>7</v>
      </c>
      <c r="D119">
        <v>2015</v>
      </c>
      <c r="E119" t="s">
        <v>18</v>
      </c>
      <c r="F119" t="s">
        <v>26</v>
      </c>
      <c r="G119" t="s">
        <v>14</v>
      </c>
      <c r="H119">
        <v>60</v>
      </c>
      <c r="I119" t="s">
        <v>52</v>
      </c>
      <c r="J119">
        <v>9428</v>
      </c>
      <c r="K119">
        <v>113136</v>
      </c>
      <c r="L119">
        <v>8</v>
      </c>
      <c r="M119" t="s">
        <v>50</v>
      </c>
      <c r="N119">
        <v>5</v>
      </c>
      <c r="O119" t="s">
        <v>54</v>
      </c>
      <c r="P119" t="s">
        <v>15</v>
      </c>
      <c r="Q119" t="s">
        <v>27</v>
      </c>
      <c r="R119" t="s">
        <v>17</v>
      </c>
    </row>
    <row r="120" spans="1:18" x14ac:dyDescent="0.25">
      <c r="A120">
        <v>110</v>
      </c>
      <c r="B120" s="2">
        <v>43278</v>
      </c>
      <c r="C120">
        <v>6</v>
      </c>
      <c r="D120">
        <v>2018</v>
      </c>
      <c r="E120" t="s">
        <v>12</v>
      </c>
      <c r="F120" t="s">
        <v>13</v>
      </c>
      <c r="G120" t="s">
        <v>14</v>
      </c>
      <c r="H120">
        <v>44</v>
      </c>
      <c r="I120" t="s">
        <v>49</v>
      </c>
      <c r="J120">
        <v>11736</v>
      </c>
      <c r="K120">
        <v>140832</v>
      </c>
      <c r="L120">
        <v>15</v>
      </c>
      <c r="M120" t="s">
        <v>50</v>
      </c>
      <c r="N120">
        <v>4</v>
      </c>
      <c r="O120" t="s">
        <v>54</v>
      </c>
      <c r="P120" t="s">
        <v>20</v>
      </c>
      <c r="Q120" t="s">
        <v>27</v>
      </c>
      <c r="R120" t="s">
        <v>25</v>
      </c>
    </row>
    <row r="121" spans="1:18" x14ac:dyDescent="0.25">
      <c r="A121">
        <v>117</v>
      </c>
      <c r="B121" s="2">
        <v>41477</v>
      </c>
      <c r="C121">
        <v>7</v>
      </c>
      <c r="D121">
        <v>2013</v>
      </c>
      <c r="E121" t="s">
        <v>12</v>
      </c>
      <c r="F121" t="s">
        <v>13</v>
      </c>
      <c r="G121" t="s">
        <v>14</v>
      </c>
      <c r="H121">
        <v>59</v>
      </c>
      <c r="I121" t="s">
        <v>52</v>
      </c>
      <c r="J121">
        <v>17664</v>
      </c>
      <c r="K121">
        <v>211968</v>
      </c>
      <c r="L121">
        <v>14</v>
      </c>
      <c r="M121" t="s">
        <v>50</v>
      </c>
      <c r="N121">
        <v>4</v>
      </c>
      <c r="O121" t="s">
        <v>54</v>
      </c>
      <c r="P121" t="s">
        <v>20</v>
      </c>
      <c r="Q121" t="s">
        <v>16</v>
      </c>
      <c r="R121" t="s">
        <v>25</v>
      </c>
    </row>
    <row r="122" spans="1:18" x14ac:dyDescent="0.25">
      <c r="A122">
        <v>121</v>
      </c>
      <c r="B122" s="2">
        <v>40643</v>
      </c>
      <c r="C122">
        <v>4</v>
      </c>
      <c r="D122">
        <v>2011</v>
      </c>
      <c r="E122" t="s">
        <v>18</v>
      </c>
      <c r="F122" t="s">
        <v>26</v>
      </c>
      <c r="G122" t="s">
        <v>24</v>
      </c>
      <c r="H122">
        <v>28</v>
      </c>
      <c r="I122" t="s">
        <v>53</v>
      </c>
      <c r="J122">
        <v>8191</v>
      </c>
      <c r="K122">
        <v>98292</v>
      </c>
      <c r="L122">
        <v>14</v>
      </c>
      <c r="M122" t="s">
        <v>50</v>
      </c>
      <c r="N122">
        <v>4</v>
      </c>
      <c r="O122" t="s">
        <v>54</v>
      </c>
      <c r="P122" t="s">
        <v>15</v>
      </c>
      <c r="Q122" t="s">
        <v>16</v>
      </c>
      <c r="R122" t="s">
        <v>25</v>
      </c>
    </row>
    <row r="123" spans="1:18" x14ac:dyDescent="0.25">
      <c r="A123">
        <v>123</v>
      </c>
      <c r="B123" s="2">
        <v>44066</v>
      </c>
      <c r="C123">
        <v>8</v>
      </c>
      <c r="D123">
        <v>2020</v>
      </c>
      <c r="E123" t="s">
        <v>18</v>
      </c>
      <c r="F123" t="s">
        <v>19</v>
      </c>
      <c r="G123" t="s">
        <v>14</v>
      </c>
      <c r="H123">
        <v>22</v>
      </c>
      <c r="I123" t="s">
        <v>53</v>
      </c>
      <c r="J123">
        <v>6541</v>
      </c>
      <c r="K123">
        <v>78492</v>
      </c>
      <c r="L123">
        <v>14</v>
      </c>
      <c r="M123" t="s">
        <v>50</v>
      </c>
      <c r="N123">
        <v>5</v>
      </c>
      <c r="O123" t="s">
        <v>54</v>
      </c>
      <c r="P123" t="s">
        <v>20</v>
      </c>
      <c r="Q123" t="s">
        <v>32</v>
      </c>
      <c r="R123" t="s">
        <v>34</v>
      </c>
    </row>
    <row r="124" spans="1:18" x14ac:dyDescent="0.25">
      <c r="A124">
        <v>130</v>
      </c>
      <c r="B124" s="2">
        <v>44348</v>
      </c>
      <c r="C124">
        <v>6</v>
      </c>
      <c r="D124">
        <v>2021</v>
      </c>
      <c r="E124" t="s">
        <v>18</v>
      </c>
      <c r="F124" t="s">
        <v>19</v>
      </c>
      <c r="G124" t="s">
        <v>14</v>
      </c>
      <c r="H124">
        <v>24</v>
      </c>
      <c r="I124" t="s">
        <v>53</v>
      </c>
      <c r="J124">
        <v>18541</v>
      </c>
      <c r="K124">
        <v>222492</v>
      </c>
      <c r="L124">
        <v>12</v>
      </c>
      <c r="M124" t="s">
        <v>50</v>
      </c>
      <c r="N124">
        <v>4</v>
      </c>
      <c r="O124" t="s">
        <v>54</v>
      </c>
      <c r="P124" t="s">
        <v>20</v>
      </c>
      <c r="Q124" t="s">
        <v>27</v>
      </c>
      <c r="R124" t="s">
        <v>17</v>
      </c>
    </row>
    <row r="125" spans="1:18" x14ac:dyDescent="0.25">
      <c r="A125">
        <v>131</v>
      </c>
      <c r="B125" s="2">
        <v>40349</v>
      </c>
      <c r="C125">
        <v>6</v>
      </c>
      <c r="D125">
        <v>2010</v>
      </c>
      <c r="E125" t="s">
        <v>36</v>
      </c>
      <c r="F125" t="s">
        <v>37</v>
      </c>
      <c r="G125" t="s">
        <v>24</v>
      </c>
      <c r="H125">
        <v>26</v>
      </c>
      <c r="I125" t="s">
        <v>53</v>
      </c>
      <c r="J125">
        <v>4425</v>
      </c>
      <c r="K125">
        <v>53100</v>
      </c>
      <c r="L125">
        <v>9</v>
      </c>
      <c r="M125" t="s">
        <v>50</v>
      </c>
      <c r="N125">
        <v>4</v>
      </c>
      <c r="O125" t="s">
        <v>54</v>
      </c>
      <c r="P125" t="s">
        <v>20</v>
      </c>
      <c r="Q125" t="s">
        <v>27</v>
      </c>
      <c r="R125" t="s">
        <v>25</v>
      </c>
    </row>
    <row r="126" spans="1:18" x14ac:dyDescent="0.25">
      <c r="A126">
        <v>133</v>
      </c>
      <c r="B126" s="2">
        <v>43345</v>
      </c>
      <c r="C126">
        <v>9</v>
      </c>
      <c r="D126">
        <v>2018</v>
      </c>
      <c r="E126" t="s">
        <v>28</v>
      </c>
      <c r="F126" t="s">
        <v>29</v>
      </c>
      <c r="G126" t="s">
        <v>14</v>
      </c>
      <c r="H126">
        <v>52</v>
      </c>
      <c r="I126" t="s">
        <v>52</v>
      </c>
      <c r="J126">
        <v>9881</v>
      </c>
      <c r="K126">
        <v>118572</v>
      </c>
      <c r="L126">
        <v>12</v>
      </c>
      <c r="M126" t="s">
        <v>50</v>
      </c>
      <c r="N126">
        <v>4</v>
      </c>
      <c r="O126" t="s">
        <v>54</v>
      </c>
      <c r="P126" t="s">
        <v>20</v>
      </c>
      <c r="Q126" t="s">
        <v>32</v>
      </c>
      <c r="R126" t="s">
        <v>17</v>
      </c>
    </row>
    <row r="127" spans="1:18" x14ac:dyDescent="0.25">
      <c r="A127">
        <v>135</v>
      </c>
      <c r="B127" s="2">
        <v>42065</v>
      </c>
      <c r="C127">
        <v>3</v>
      </c>
      <c r="D127">
        <v>2015</v>
      </c>
      <c r="E127" t="s">
        <v>36</v>
      </c>
      <c r="F127" t="s">
        <v>37</v>
      </c>
      <c r="G127" t="s">
        <v>24</v>
      </c>
      <c r="H127">
        <v>24</v>
      </c>
      <c r="I127" t="s">
        <v>53</v>
      </c>
      <c r="J127">
        <v>17355</v>
      </c>
      <c r="K127">
        <v>208260</v>
      </c>
      <c r="L127">
        <v>10</v>
      </c>
      <c r="M127" t="s">
        <v>50</v>
      </c>
      <c r="N127">
        <v>5</v>
      </c>
      <c r="O127" t="s">
        <v>54</v>
      </c>
      <c r="P127" t="s">
        <v>20</v>
      </c>
      <c r="Q127" t="s">
        <v>16</v>
      </c>
      <c r="R127" t="s">
        <v>39</v>
      </c>
    </row>
    <row r="128" spans="1:18" x14ac:dyDescent="0.25">
      <c r="A128">
        <v>148</v>
      </c>
      <c r="B128" s="2">
        <v>40733</v>
      </c>
      <c r="C128">
        <v>7</v>
      </c>
      <c r="D128">
        <v>2011</v>
      </c>
      <c r="E128" t="s">
        <v>12</v>
      </c>
      <c r="F128" t="s">
        <v>13</v>
      </c>
      <c r="G128" t="s">
        <v>14</v>
      </c>
      <c r="H128">
        <v>32</v>
      </c>
      <c r="I128" t="s">
        <v>49</v>
      </c>
      <c r="J128">
        <v>5336</v>
      </c>
      <c r="K128">
        <v>64032</v>
      </c>
      <c r="L128">
        <v>13</v>
      </c>
      <c r="M128" t="s">
        <v>50</v>
      </c>
      <c r="N128">
        <v>4</v>
      </c>
      <c r="O128" t="s">
        <v>54</v>
      </c>
      <c r="P128" t="s">
        <v>20</v>
      </c>
      <c r="Q128" t="s">
        <v>27</v>
      </c>
      <c r="R128" t="s">
        <v>39</v>
      </c>
    </row>
    <row r="129" spans="1:18" x14ac:dyDescent="0.25">
      <c r="A129">
        <v>163</v>
      </c>
      <c r="B129" s="2">
        <v>44718</v>
      </c>
      <c r="C129">
        <v>6</v>
      </c>
      <c r="D129">
        <v>2022</v>
      </c>
      <c r="E129" t="s">
        <v>18</v>
      </c>
      <c r="F129" t="s">
        <v>19</v>
      </c>
      <c r="G129" t="s">
        <v>14</v>
      </c>
      <c r="H129">
        <v>60</v>
      </c>
      <c r="I129" t="s">
        <v>52</v>
      </c>
      <c r="J129">
        <v>18191</v>
      </c>
      <c r="K129">
        <v>218292</v>
      </c>
      <c r="L129">
        <v>8</v>
      </c>
      <c r="M129" t="s">
        <v>50</v>
      </c>
      <c r="N129">
        <v>5</v>
      </c>
      <c r="O129" t="s">
        <v>54</v>
      </c>
      <c r="P129" t="s">
        <v>20</v>
      </c>
      <c r="Q129" t="s">
        <v>27</v>
      </c>
      <c r="R129" t="s">
        <v>17</v>
      </c>
    </row>
    <row r="130" spans="1:18" x14ac:dyDescent="0.25">
      <c r="A130">
        <v>176</v>
      </c>
      <c r="B130" s="2">
        <v>43363</v>
      </c>
      <c r="C130">
        <v>9</v>
      </c>
      <c r="D130">
        <v>2018</v>
      </c>
      <c r="E130" t="s">
        <v>22</v>
      </c>
      <c r="F130" t="s">
        <v>23</v>
      </c>
      <c r="G130" t="s">
        <v>24</v>
      </c>
      <c r="H130">
        <v>46</v>
      </c>
      <c r="I130" t="s">
        <v>52</v>
      </c>
      <c r="J130">
        <v>11618</v>
      </c>
      <c r="K130">
        <v>139416</v>
      </c>
      <c r="L130">
        <v>11</v>
      </c>
      <c r="M130" t="s">
        <v>50</v>
      </c>
      <c r="N130">
        <v>4</v>
      </c>
      <c r="O130" t="s">
        <v>54</v>
      </c>
      <c r="P130" t="s">
        <v>15</v>
      </c>
      <c r="Q130" t="s">
        <v>27</v>
      </c>
      <c r="R130" t="s">
        <v>34</v>
      </c>
    </row>
    <row r="131" spans="1:18" x14ac:dyDescent="0.25">
      <c r="A131">
        <v>179</v>
      </c>
      <c r="B131" s="2">
        <v>44119</v>
      </c>
      <c r="C131">
        <v>10</v>
      </c>
      <c r="D131">
        <v>2020</v>
      </c>
      <c r="E131" t="s">
        <v>22</v>
      </c>
      <c r="F131" t="s">
        <v>23</v>
      </c>
      <c r="G131" t="s">
        <v>14</v>
      </c>
      <c r="H131">
        <v>45</v>
      </c>
      <c r="I131" t="s">
        <v>49</v>
      </c>
      <c r="J131">
        <v>5571</v>
      </c>
      <c r="K131">
        <v>66852</v>
      </c>
      <c r="L131">
        <v>13</v>
      </c>
      <c r="M131" t="s">
        <v>50</v>
      </c>
      <c r="N131">
        <v>4</v>
      </c>
      <c r="O131" t="s">
        <v>54</v>
      </c>
      <c r="P131" t="s">
        <v>20</v>
      </c>
      <c r="Q131" t="s">
        <v>16</v>
      </c>
      <c r="R131" t="s">
        <v>25</v>
      </c>
    </row>
    <row r="132" spans="1:18" x14ac:dyDescent="0.25">
      <c r="A132">
        <v>180</v>
      </c>
      <c r="B132" s="2">
        <v>40892</v>
      </c>
      <c r="C132">
        <v>12</v>
      </c>
      <c r="D132">
        <v>2011</v>
      </c>
      <c r="E132" t="s">
        <v>22</v>
      </c>
      <c r="F132" t="s">
        <v>35</v>
      </c>
      <c r="G132" t="s">
        <v>24</v>
      </c>
      <c r="H132">
        <v>54</v>
      </c>
      <c r="I132" t="s">
        <v>52</v>
      </c>
      <c r="J132">
        <v>6306</v>
      </c>
      <c r="K132">
        <v>75672</v>
      </c>
      <c r="L132">
        <v>8</v>
      </c>
      <c r="M132" t="s">
        <v>50</v>
      </c>
      <c r="N132">
        <v>5</v>
      </c>
      <c r="O132" t="s">
        <v>54</v>
      </c>
      <c r="P132" t="s">
        <v>15</v>
      </c>
      <c r="Q132" t="s">
        <v>27</v>
      </c>
      <c r="R132" t="s">
        <v>25</v>
      </c>
    </row>
    <row r="133" spans="1:18" x14ac:dyDescent="0.25">
      <c r="A133">
        <v>181</v>
      </c>
      <c r="B133" s="2">
        <v>40668</v>
      </c>
      <c r="C133">
        <v>5</v>
      </c>
      <c r="D133">
        <v>2011</v>
      </c>
      <c r="E133" t="s">
        <v>28</v>
      </c>
      <c r="F133" t="s">
        <v>33</v>
      </c>
      <c r="G133" t="s">
        <v>14</v>
      </c>
      <c r="H133">
        <v>59</v>
      </c>
      <c r="I133" t="s">
        <v>52</v>
      </c>
      <c r="J133">
        <v>13963</v>
      </c>
      <c r="K133">
        <v>167556</v>
      </c>
      <c r="L133">
        <v>10</v>
      </c>
      <c r="M133" t="s">
        <v>50</v>
      </c>
      <c r="N133">
        <v>4</v>
      </c>
      <c r="O133" t="s">
        <v>54</v>
      </c>
      <c r="P133" t="s">
        <v>15</v>
      </c>
      <c r="Q133" t="s">
        <v>27</v>
      </c>
      <c r="R133" t="s">
        <v>21</v>
      </c>
    </row>
    <row r="134" spans="1:18" x14ac:dyDescent="0.25">
      <c r="A134">
        <v>182</v>
      </c>
      <c r="B134" s="2">
        <v>42493</v>
      </c>
      <c r="C134">
        <v>5</v>
      </c>
      <c r="D134">
        <v>2016</v>
      </c>
      <c r="E134" t="s">
        <v>36</v>
      </c>
      <c r="F134" t="s">
        <v>42</v>
      </c>
      <c r="G134" t="s">
        <v>24</v>
      </c>
      <c r="H134">
        <v>29</v>
      </c>
      <c r="I134" t="s">
        <v>53</v>
      </c>
      <c r="J134">
        <v>19266</v>
      </c>
      <c r="K134">
        <v>231192</v>
      </c>
      <c r="L134">
        <v>14</v>
      </c>
      <c r="M134" t="s">
        <v>50</v>
      </c>
      <c r="N134">
        <v>4</v>
      </c>
      <c r="O134" t="s">
        <v>54</v>
      </c>
      <c r="P134" t="s">
        <v>20</v>
      </c>
      <c r="Q134" t="s">
        <v>32</v>
      </c>
      <c r="R134" t="s">
        <v>25</v>
      </c>
    </row>
    <row r="135" spans="1:18" x14ac:dyDescent="0.25">
      <c r="A135">
        <v>183</v>
      </c>
      <c r="B135" s="2">
        <v>43962</v>
      </c>
      <c r="C135">
        <v>5</v>
      </c>
      <c r="D135">
        <v>2020</v>
      </c>
      <c r="E135" t="s">
        <v>18</v>
      </c>
      <c r="F135" t="s">
        <v>26</v>
      </c>
      <c r="G135" t="s">
        <v>14</v>
      </c>
      <c r="H135">
        <v>28</v>
      </c>
      <c r="I135" t="s">
        <v>53</v>
      </c>
      <c r="J135">
        <v>13020</v>
      </c>
      <c r="K135">
        <v>156240</v>
      </c>
      <c r="L135">
        <v>8</v>
      </c>
      <c r="M135" t="s">
        <v>50</v>
      </c>
      <c r="N135">
        <v>5</v>
      </c>
      <c r="O135" t="s">
        <v>54</v>
      </c>
      <c r="P135" t="s">
        <v>15</v>
      </c>
      <c r="Q135" t="s">
        <v>27</v>
      </c>
      <c r="R135" t="s">
        <v>21</v>
      </c>
    </row>
    <row r="136" spans="1:18" x14ac:dyDescent="0.25">
      <c r="A136">
        <v>199</v>
      </c>
      <c r="B136" s="2">
        <v>40584</v>
      </c>
      <c r="C136">
        <v>2</v>
      </c>
      <c r="D136">
        <v>2011</v>
      </c>
      <c r="E136" t="s">
        <v>18</v>
      </c>
      <c r="F136" t="s">
        <v>19</v>
      </c>
      <c r="G136" t="s">
        <v>14</v>
      </c>
      <c r="H136">
        <v>43</v>
      </c>
      <c r="I136" t="s">
        <v>49</v>
      </c>
      <c r="J136">
        <v>17290</v>
      </c>
      <c r="K136">
        <v>207480</v>
      </c>
      <c r="L136">
        <v>11</v>
      </c>
      <c r="M136" t="s">
        <v>50</v>
      </c>
      <c r="N136">
        <v>4</v>
      </c>
      <c r="O136" t="s">
        <v>54</v>
      </c>
      <c r="P136" t="s">
        <v>15</v>
      </c>
      <c r="Q136" t="s">
        <v>32</v>
      </c>
      <c r="R136" t="s">
        <v>39</v>
      </c>
    </row>
    <row r="137" spans="1:18" x14ac:dyDescent="0.25">
      <c r="A137">
        <v>207</v>
      </c>
      <c r="B137" s="2">
        <v>41907</v>
      </c>
      <c r="C137">
        <v>9</v>
      </c>
      <c r="D137">
        <v>2014</v>
      </c>
      <c r="E137" t="s">
        <v>28</v>
      </c>
      <c r="F137" t="s">
        <v>33</v>
      </c>
      <c r="G137" t="s">
        <v>14</v>
      </c>
      <c r="H137">
        <v>23</v>
      </c>
      <c r="I137" t="s">
        <v>53</v>
      </c>
      <c r="J137">
        <v>12914</v>
      </c>
      <c r="K137">
        <v>154968</v>
      </c>
      <c r="L137">
        <v>15</v>
      </c>
      <c r="M137" t="s">
        <v>50</v>
      </c>
      <c r="N137">
        <v>5</v>
      </c>
      <c r="O137" t="s">
        <v>54</v>
      </c>
      <c r="P137" t="s">
        <v>15</v>
      </c>
      <c r="Q137" t="s">
        <v>32</v>
      </c>
      <c r="R137" t="s">
        <v>21</v>
      </c>
    </row>
    <row r="138" spans="1:18" x14ac:dyDescent="0.25">
      <c r="A138">
        <v>208</v>
      </c>
      <c r="B138" s="2">
        <v>41061</v>
      </c>
      <c r="C138">
        <v>6</v>
      </c>
      <c r="D138">
        <v>2012</v>
      </c>
      <c r="E138" t="s">
        <v>22</v>
      </c>
      <c r="F138" t="s">
        <v>23</v>
      </c>
      <c r="G138" t="s">
        <v>14</v>
      </c>
      <c r="H138">
        <v>41</v>
      </c>
      <c r="I138" t="s">
        <v>49</v>
      </c>
      <c r="J138">
        <v>19866</v>
      </c>
      <c r="K138">
        <v>238392</v>
      </c>
      <c r="L138">
        <v>9</v>
      </c>
      <c r="M138" t="s">
        <v>50</v>
      </c>
      <c r="N138">
        <v>4</v>
      </c>
      <c r="O138" t="s">
        <v>54</v>
      </c>
      <c r="P138" t="s">
        <v>15</v>
      </c>
      <c r="Q138" t="s">
        <v>32</v>
      </c>
      <c r="R138" t="s">
        <v>34</v>
      </c>
    </row>
    <row r="139" spans="1:18" x14ac:dyDescent="0.25">
      <c r="A139">
        <v>214</v>
      </c>
      <c r="B139" s="2">
        <v>42010</v>
      </c>
      <c r="C139">
        <v>1</v>
      </c>
      <c r="D139">
        <v>2015</v>
      </c>
      <c r="E139" t="s">
        <v>36</v>
      </c>
      <c r="F139" t="s">
        <v>40</v>
      </c>
      <c r="G139" t="s">
        <v>14</v>
      </c>
      <c r="H139">
        <v>51</v>
      </c>
      <c r="I139" t="s">
        <v>52</v>
      </c>
      <c r="J139">
        <v>7713</v>
      </c>
      <c r="K139">
        <v>92556</v>
      </c>
      <c r="L139">
        <v>12</v>
      </c>
      <c r="M139" t="s">
        <v>50</v>
      </c>
      <c r="N139">
        <v>4</v>
      </c>
      <c r="O139" t="s">
        <v>54</v>
      </c>
      <c r="P139" t="s">
        <v>15</v>
      </c>
      <c r="Q139" t="s">
        <v>16</v>
      </c>
      <c r="R139" t="s">
        <v>34</v>
      </c>
    </row>
    <row r="140" spans="1:18" x14ac:dyDescent="0.25">
      <c r="A140">
        <v>219</v>
      </c>
      <c r="B140" s="2">
        <v>43389</v>
      </c>
      <c r="C140">
        <v>10</v>
      </c>
      <c r="D140">
        <v>2018</v>
      </c>
      <c r="E140" t="s">
        <v>22</v>
      </c>
      <c r="F140" t="s">
        <v>35</v>
      </c>
      <c r="G140" t="s">
        <v>24</v>
      </c>
      <c r="H140">
        <v>49</v>
      </c>
      <c r="I140" t="s">
        <v>52</v>
      </c>
      <c r="J140">
        <v>11311</v>
      </c>
      <c r="K140">
        <v>135732</v>
      </c>
      <c r="L140">
        <v>14</v>
      </c>
      <c r="M140" t="s">
        <v>50</v>
      </c>
      <c r="N140">
        <v>5</v>
      </c>
      <c r="O140" t="s">
        <v>54</v>
      </c>
      <c r="P140" t="s">
        <v>20</v>
      </c>
      <c r="Q140" t="s">
        <v>32</v>
      </c>
      <c r="R140" t="s">
        <v>34</v>
      </c>
    </row>
    <row r="141" spans="1:18" x14ac:dyDescent="0.25">
      <c r="A141">
        <v>220</v>
      </c>
      <c r="B141" s="2">
        <v>43420</v>
      </c>
      <c r="C141">
        <v>11</v>
      </c>
      <c r="D141">
        <v>2018</v>
      </c>
      <c r="E141" t="s">
        <v>36</v>
      </c>
      <c r="F141" t="s">
        <v>37</v>
      </c>
      <c r="G141" t="s">
        <v>24</v>
      </c>
      <c r="H141">
        <v>49</v>
      </c>
      <c r="I141" t="s">
        <v>52</v>
      </c>
      <c r="J141">
        <v>12562</v>
      </c>
      <c r="K141">
        <v>150744</v>
      </c>
      <c r="L141">
        <v>8</v>
      </c>
      <c r="M141" t="s">
        <v>50</v>
      </c>
      <c r="N141">
        <v>4</v>
      </c>
      <c r="O141" t="s">
        <v>54</v>
      </c>
      <c r="P141" t="s">
        <v>15</v>
      </c>
      <c r="Q141" t="s">
        <v>32</v>
      </c>
      <c r="R141" t="s">
        <v>21</v>
      </c>
    </row>
    <row r="142" spans="1:18" x14ac:dyDescent="0.25">
      <c r="A142">
        <v>224</v>
      </c>
      <c r="B142" s="2">
        <v>44277</v>
      </c>
      <c r="C142">
        <v>3</v>
      </c>
      <c r="D142">
        <v>2021</v>
      </c>
      <c r="E142" t="s">
        <v>28</v>
      </c>
      <c r="F142" t="s">
        <v>33</v>
      </c>
      <c r="G142" t="s">
        <v>24</v>
      </c>
      <c r="H142">
        <v>39</v>
      </c>
      <c r="I142" t="s">
        <v>49</v>
      </c>
      <c r="J142">
        <v>16595</v>
      </c>
      <c r="K142">
        <v>199140</v>
      </c>
      <c r="L142">
        <v>8</v>
      </c>
      <c r="M142" t="s">
        <v>50</v>
      </c>
      <c r="N142">
        <v>5</v>
      </c>
      <c r="O142" t="s">
        <v>54</v>
      </c>
      <c r="P142" t="s">
        <v>15</v>
      </c>
      <c r="Q142" t="s">
        <v>32</v>
      </c>
      <c r="R142" t="s">
        <v>39</v>
      </c>
    </row>
    <row r="143" spans="1:18" x14ac:dyDescent="0.25">
      <c r="A143">
        <v>229</v>
      </c>
      <c r="B143" s="2">
        <v>42938</v>
      </c>
      <c r="C143">
        <v>7</v>
      </c>
      <c r="D143">
        <v>2017</v>
      </c>
      <c r="E143" t="s">
        <v>28</v>
      </c>
      <c r="F143" t="s">
        <v>33</v>
      </c>
      <c r="G143" t="s">
        <v>14</v>
      </c>
      <c r="H143">
        <v>59</v>
      </c>
      <c r="I143" t="s">
        <v>52</v>
      </c>
      <c r="J143">
        <v>17912</v>
      </c>
      <c r="K143">
        <v>214944</v>
      </c>
      <c r="L143">
        <v>12</v>
      </c>
      <c r="M143" t="s">
        <v>50</v>
      </c>
      <c r="N143">
        <v>5</v>
      </c>
      <c r="O143" t="s">
        <v>54</v>
      </c>
      <c r="P143" t="s">
        <v>15</v>
      </c>
      <c r="Q143" t="s">
        <v>27</v>
      </c>
      <c r="R143" t="s">
        <v>25</v>
      </c>
    </row>
    <row r="144" spans="1:18" x14ac:dyDescent="0.25">
      <c r="A144">
        <v>233</v>
      </c>
      <c r="B144" s="2">
        <v>42315</v>
      </c>
      <c r="C144">
        <v>11</v>
      </c>
      <c r="D144">
        <v>2015</v>
      </c>
      <c r="E144" t="s">
        <v>28</v>
      </c>
      <c r="F144" t="s">
        <v>33</v>
      </c>
      <c r="G144" t="s">
        <v>24</v>
      </c>
      <c r="H144">
        <v>47</v>
      </c>
      <c r="I144" t="s">
        <v>52</v>
      </c>
      <c r="J144">
        <v>17833</v>
      </c>
      <c r="K144">
        <v>213996</v>
      </c>
      <c r="L144">
        <v>10</v>
      </c>
      <c r="M144" t="s">
        <v>50</v>
      </c>
      <c r="N144">
        <v>4</v>
      </c>
      <c r="O144" t="s">
        <v>54</v>
      </c>
      <c r="P144" t="s">
        <v>20</v>
      </c>
      <c r="Q144" t="s">
        <v>16</v>
      </c>
      <c r="R144" t="s">
        <v>21</v>
      </c>
    </row>
    <row r="145" spans="1:18" x14ac:dyDescent="0.25">
      <c r="A145">
        <v>246</v>
      </c>
      <c r="B145" s="2">
        <v>43280</v>
      </c>
      <c r="C145">
        <v>6</v>
      </c>
      <c r="D145">
        <v>2018</v>
      </c>
      <c r="E145" t="s">
        <v>28</v>
      </c>
      <c r="F145" t="s">
        <v>33</v>
      </c>
      <c r="G145" t="s">
        <v>24</v>
      </c>
      <c r="H145">
        <v>53</v>
      </c>
      <c r="I145" t="s">
        <v>52</v>
      </c>
      <c r="J145">
        <v>18039</v>
      </c>
      <c r="K145">
        <v>216468</v>
      </c>
      <c r="L145">
        <v>9</v>
      </c>
      <c r="M145" t="s">
        <v>50</v>
      </c>
      <c r="N145">
        <v>5</v>
      </c>
      <c r="O145" t="s">
        <v>54</v>
      </c>
      <c r="P145" t="s">
        <v>15</v>
      </c>
      <c r="Q145" t="s">
        <v>32</v>
      </c>
      <c r="R145" t="s">
        <v>25</v>
      </c>
    </row>
    <row r="146" spans="1:18" x14ac:dyDescent="0.25">
      <c r="A146">
        <v>252</v>
      </c>
      <c r="B146" s="2">
        <v>44881</v>
      </c>
      <c r="C146">
        <v>11</v>
      </c>
      <c r="D146">
        <v>2022</v>
      </c>
      <c r="E146" t="s">
        <v>36</v>
      </c>
      <c r="F146" t="s">
        <v>37</v>
      </c>
      <c r="G146" t="s">
        <v>24</v>
      </c>
      <c r="H146">
        <v>58</v>
      </c>
      <c r="I146" t="s">
        <v>52</v>
      </c>
      <c r="J146">
        <v>17241</v>
      </c>
      <c r="K146">
        <v>206892</v>
      </c>
      <c r="L146">
        <v>11</v>
      </c>
      <c r="M146" t="s">
        <v>50</v>
      </c>
      <c r="N146">
        <v>4</v>
      </c>
      <c r="O146" t="s">
        <v>54</v>
      </c>
      <c r="P146" t="s">
        <v>15</v>
      </c>
      <c r="Q146" t="s">
        <v>32</v>
      </c>
      <c r="R146" t="s">
        <v>39</v>
      </c>
    </row>
    <row r="147" spans="1:18" x14ac:dyDescent="0.25">
      <c r="A147">
        <v>269</v>
      </c>
      <c r="B147" s="2">
        <v>40941</v>
      </c>
      <c r="C147">
        <v>2</v>
      </c>
      <c r="D147">
        <v>2012</v>
      </c>
      <c r="E147" t="s">
        <v>18</v>
      </c>
      <c r="F147" t="s">
        <v>26</v>
      </c>
      <c r="G147" t="s">
        <v>14</v>
      </c>
      <c r="H147">
        <v>46</v>
      </c>
      <c r="I147" t="s">
        <v>52</v>
      </c>
      <c r="J147">
        <v>7397</v>
      </c>
      <c r="K147">
        <v>88764</v>
      </c>
      <c r="L147">
        <v>13</v>
      </c>
      <c r="M147" t="s">
        <v>50</v>
      </c>
      <c r="N147">
        <v>4</v>
      </c>
      <c r="O147" t="s">
        <v>54</v>
      </c>
      <c r="P147" t="s">
        <v>20</v>
      </c>
      <c r="Q147" t="s">
        <v>32</v>
      </c>
      <c r="R147" t="s">
        <v>21</v>
      </c>
    </row>
    <row r="148" spans="1:18" x14ac:dyDescent="0.25">
      <c r="A148">
        <v>275</v>
      </c>
      <c r="B148" s="2">
        <v>44045</v>
      </c>
      <c r="C148">
        <v>8</v>
      </c>
      <c r="D148">
        <v>2020</v>
      </c>
      <c r="E148" t="s">
        <v>18</v>
      </c>
      <c r="F148" t="s">
        <v>19</v>
      </c>
      <c r="G148" t="s">
        <v>24</v>
      </c>
      <c r="H148">
        <v>55</v>
      </c>
      <c r="I148" t="s">
        <v>52</v>
      </c>
      <c r="J148">
        <v>19218</v>
      </c>
      <c r="K148">
        <v>230616</v>
      </c>
      <c r="L148">
        <v>11</v>
      </c>
      <c r="M148" t="s">
        <v>50</v>
      </c>
      <c r="N148">
        <v>5</v>
      </c>
      <c r="O148" t="s">
        <v>54</v>
      </c>
      <c r="P148" t="s">
        <v>20</v>
      </c>
      <c r="Q148" t="s">
        <v>32</v>
      </c>
      <c r="R148" t="s">
        <v>17</v>
      </c>
    </row>
    <row r="149" spans="1:18" x14ac:dyDescent="0.25">
      <c r="A149">
        <v>277</v>
      </c>
      <c r="B149" s="2">
        <v>41163</v>
      </c>
      <c r="C149">
        <v>9</v>
      </c>
      <c r="D149">
        <v>2012</v>
      </c>
      <c r="E149" t="s">
        <v>30</v>
      </c>
      <c r="F149" t="s">
        <v>31</v>
      </c>
      <c r="G149" t="s">
        <v>14</v>
      </c>
      <c r="H149">
        <v>37</v>
      </c>
      <c r="I149" t="s">
        <v>49</v>
      </c>
      <c r="J149">
        <v>10994</v>
      </c>
      <c r="K149">
        <v>131928</v>
      </c>
      <c r="L149">
        <v>15</v>
      </c>
      <c r="M149" t="s">
        <v>50</v>
      </c>
      <c r="N149">
        <v>4</v>
      </c>
      <c r="O149" t="s">
        <v>54</v>
      </c>
      <c r="P149" t="s">
        <v>20</v>
      </c>
      <c r="Q149" t="s">
        <v>16</v>
      </c>
      <c r="R149" t="s">
        <v>25</v>
      </c>
    </row>
    <row r="150" spans="1:18" x14ac:dyDescent="0.25">
      <c r="A150">
        <v>297</v>
      </c>
      <c r="B150" s="2">
        <v>44291</v>
      </c>
      <c r="C150">
        <v>4</v>
      </c>
      <c r="D150">
        <v>2021</v>
      </c>
      <c r="E150" t="s">
        <v>36</v>
      </c>
      <c r="F150" t="s">
        <v>40</v>
      </c>
      <c r="G150" t="s">
        <v>24</v>
      </c>
      <c r="H150">
        <v>33</v>
      </c>
      <c r="I150" t="s">
        <v>49</v>
      </c>
      <c r="J150">
        <v>18551</v>
      </c>
      <c r="K150">
        <v>222612</v>
      </c>
      <c r="L150">
        <v>10</v>
      </c>
      <c r="M150" t="s">
        <v>50</v>
      </c>
      <c r="N150">
        <v>4</v>
      </c>
      <c r="O150" t="s">
        <v>54</v>
      </c>
      <c r="P150" t="s">
        <v>15</v>
      </c>
      <c r="Q150" t="s">
        <v>16</v>
      </c>
      <c r="R150" t="s">
        <v>17</v>
      </c>
    </row>
    <row r="151" spans="1:18" x14ac:dyDescent="0.25">
      <c r="A151">
        <v>298</v>
      </c>
      <c r="B151" s="2">
        <v>43311</v>
      </c>
      <c r="C151">
        <v>7</v>
      </c>
      <c r="D151">
        <v>2018</v>
      </c>
      <c r="E151" t="s">
        <v>36</v>
      </c>
      <c r="F151" t="s">
        <v>42</v>
      </c>
      <c r="G151" t="s">
        <v>24</v>
      </c>
      <c r="H151">
        <v>60</v>
      </c>
      <c r="I151" t="s">
        <v>52</v>
      </c>
      <c r="J151">
        <v>12963</v>
      </c>
      <c r="K151">
        <v>155556</v>
      </c>
      <c r="L151">
        <v>10</v>
      </c>
      <c r="M151" t="s">
        <v>50</v>
      </c>
      <c r="N151">
        <v>5</v>
      </c>
      <c r="O151" t="s">
        <v>54</v>
      </c>
      <c r="P151" t="s">
        <v>15</v>
      </c>
      <c r="Q151" t="s">
        <v>27</v>
      </c>
      <c r="R151" t="s">
        <v>25</v>
      </c>
    </row>
    <row r="152" spans="1:18" x14ac:dyDescent="0.25">
      <c r="A152">
        <v>302</v>
      </c>
      <c r="B152" s="2">
        <v>41931</v>
      </c>
      <c r="C152">
        <v>10</v>
      </c>
      <c r="D152">
        <v>2014</v>
      </c>
      <c r="E152" t="s">
        <v>12</v>
      </c>
      <c r="F152" t="s">
        <v>41</v>
      </c>
      <c r="G152" t="s">
        <v>24</v>
      </c>
      <c r="H152">
        <v>43</v>
      </c>
      <c r="I152" t="s">
        <v>49</v>
      </c>
      <c r="J152">
        <v>19442</v>
      </c>
      <c r="K152">
        <v>233304</v>
      </c>
      <c r="L152">
        <v>12</v>
      </c>
      <c r="M152" t="s">
        <v>50</v>
      </c>
      <c r="N152">
        <v>5</v>
      </c>
      <c r="O152" t="s">
        <v>54</v>
      </c>
      <c r="P152" t="s">
        <v>20</v>
      </c>
      <c r="Q152" t="s">
        <v>27</v>
      </c>
      <c r="R152" t="s">
        <v>21</v>
      </c>
    </row>
    <row r="153" spans="1:18" x14ac:dyDescent="0.25">
      <c r="A153">
        <v>305</v>
      </c>
      <c r="B153" s="2">
        <v>44036</v>
      </c>
      <c r="C153">
        <v>7</v>
      </c>
      <c r="D153">
        <v>2020</v>
      </c>
      <c r="E153" t="s">
        <v>36</v>
      </c>
      <c r="F153" t="s">
        <v>37</v>
      </c>
      <c r="G153" t="s">
        <v>14</v>
      </c>
      <c r="H153">
        <v>59</v>
      </c>
      <c r="I153" t="s">
        <v>52</v>
      </c>
      <c r="J153">
        <v>9913</v>
      </c>
      <c r="K153">
        <v>118956</v>
      </c>
      <c r="L153">
        <v>14</v>
      </c>
      <c r="M153" t="s">
        <v>50</v>
      </c>
      <c r="N153">
        <v>4</v>
      </c>
      <c r="O153" t="s">
        <v>54</v>
      </c>
      <c r="P153" t="s">
        <v>20</v>
      </c>
      <c r="Q153" t="s">
        <v>27</v>
      </c>
      <c r="R153" t="s">
        <v>25</v>
      </c>
    </row>
    <row r="154" spans="1:18" x14ac:dyDescent="0.25">
      <c r="A154">
        <v>313</v>
      </c>
      <c r="B154" s="2">
        <v>40195</v>
      </c>
      <c r="C154">
        <v>1</v>
      </c>
      <c r="D154">
        <v>2010</v>
      </c>
      <c r="E154" t="s">
        <v>28</v>
      </c>
      <c r="F154" t="s">
        <v>29</v>
      </c>
      <c r="G154" t="s">
        <v>14</v>
      </c>
      <c r="H154">
        <v>51</v>
      </c>
      <c r="I154" t="s">
        <v>52</v>
      </c>
      <c r="J154">
        <v>10857</v>
      </c>
      <c r="K154">
        <v>130284</v>
      </c>
      <c r="L154">
        <v>13</v>
      </c>
      <c r="M154" t="s">
        <v>50</v>
      </c>
      <c r="N154">
        <v>4</v>
      </c>
      <c r="O154" t="s">
        <v>54</v>
      </c>
      <c r="P154" t="s">
        <v>15</v>
      </c>
      <c r="Q154" t="s">
        <v>16</v>
      </c>
      <c r="R154" t="s">
        <v>21</v>
      </c>
    </row>
    <row r="155" spans="1:18" x14ac:dyDescent="0.25">
      <c r="A155">
        <v>314</v>
      </c>
      <c r="B155" s="2">
        <v>41906</v>
      </c>
      <c r="C155">
        <v>9</v>
      </c>
      <c r="D155">
        <v>2014</v>
      </c>
      <c r="E155" t="s">
        <v>12</v>
      </c>
      <c r="F155" t="s">
        <v>13</v>
      </c>
      <c r="G155" t="s">
        <v>24</v>
      </c>
      <c r="H155">
        <v>24</v>
      </c>
      <c r="I155" t="s">
        <v>53</v>
      </c>
      <c r="J155">
        <v>16070</v>
      </c>
      <c r="K155">
        <v>192840</v>
      </c>
      <c r="L155">
        <v>13</v>
      </c>
      <c r="M155" t="s">
        <v>50</v>
      </c>
      <c r="N155">
        <v>4</v>
      </c>
      <c r="O155" t="s">
        <v>54</v>
      </c>
      <c r="P155" t="s">
        <v>20</v>
      </c>
      <c r="Q155" t="s">
        <v>32</v>
      </c>
      <c r="R155" t="s">
        <v>17</v>
      </c>
    </row>
    <row r="156" spans="1:18" x14ac:dyDescent="0.25">
      <c r="A156">
        <v>315</v>
      </c>
      <c r="B156" s="2">
        <v>45050</v>
      </c>
      <c r="C156">
        <v>5</v>
      </c>
      <c r="D156">
        <v>2023</v>
      </c>
      <c r="E156" t="s">
        <v>18</v>
      </c>
      <c r="F156" t="s">
        <v>19</v>
      </c>
      <c r="G156" t="s">
        <v>14</v>
      </c>
      <c r="H156">
        <v>49</v>
      </c>
      <c r="I156" t="s">
        <v>52</v>
      </c>
      <c r="J156">
        <v>17447</v>
      </c>
      <c r="K156">
        <v>209364</v>
      </c>
      <c r="L156">
        <v>12</v>
      </c>
      <c r="M156" t="s">
        <v>50</v>
      </c>
      <c r="N156">
        <v>4</v>
      </c>
      <c r="O156" t="s">
        <v>54</v>
      </c>
      <c r="P156" t="s">
        <v>20</v>
      </c>
      <c r="Q156" t="s">
        <v>16</v>
      </c>
      <c r="R156" t="s">
        <v>21</v>
      </c>
    </row>
    <row r="157" spans="1:18" x14ac:dyDescent="0.25">
      <c r="A157">
        <v>328</v>
      </c>
      <c r="B157" s="2">
        <v>41686</v>
      </c>
      <c r="C157">
        <v>2</v>
      </c>
      <c r="D157">
        <v>2014</v>
      </c>
      <c r="E157" t="s">
        <v>30</v>
      </c>
      <c r="F157" t="s">
        <v>31</v>
      </c>
      <c r="G157" t="s">
        <v>14</v>
      </c>
      <c r="H157">
        <v>59</v>
      </c>
      <c r="I157" t="s">
        <v>52</v>
      </c>
      <c r="J157">
        <v>12539</v>
      </c>
      <c r="K157">
        <v>150468</v>
      </c>
      <c r="L157">
        <v>8</v>
      </c>
      <c r="M157" t="s">
        <v>50</v>
      </c>
      <c r="N157">
        <v>4</v>
      </c>
      <c r="O157" t="s">
        <v>54</v>
      </c>
      <c r="P157" t="s">
        <v>15</v>
      </c>
      <c r="Q157" t="s">
        <v>32</v>
      </c>
      <c r="R157" t="s">
        <v>17</v>
      </c>
    </row>
    <row r="158" spans="1:18" x14ac:dyDescent="0.25">
      <c r="A158">
        <v>329</v>
      </c>
      <c r="B158" s="2">
        <v>44975</v>
      </c>
      <c r="C158">
        <v>2</v>
      </c>
      <c r="D158">
        <v>2023</v>
      </c>
      <c r="E158" t="s">
        <v>18</v>
      </c>
      <c r="F158" t="s">
        <v>19</v>
      </c>
      <c r="G158" t="s">
        <v>14</v>
      </c>
      <c r="H158">
        <v>23</v>
      </c>
      <c r="I158" t="s">
        <v>53</v>
      </c>
      <c r="J158">
        <v>7319</v>
      </c>
      <c r="K158">
        <v>87828</v>
      </c>
      <c r="L158">
        <v>13</v>
      </c>
      <c r="M158" t="s">
        <v>50</v>
      </c>
      <c r="N158">
        <v>4</v>
      </c>
      <c r="O158" t="s">
        <v>54</v>
      </c>
      <c r="P158" t="s">
        <v>15</v>
      </c>
      <c r="Q158" t="s">
        <v>16</v>
      </c>
      <c r="R158" t="s">
        <v>25</v>
      </c>
    </row>
    <row r="159" spans="1:18" x14ac:dyDescent="0.25">
      <c r="A159">
        <v>333</v>
      </c>
      <c r="B159" s="2">
        <v>40906</v>
      </c>
      <c r="C159">
        <v>12</v>
      </c>
      <c r="D159">
        <v>2011</v>
      </c>
      <c r="E159" t="s">
        <v>36</v>
      </c>
      <c r="F159" t="s">
        <v>37</v>
      </c>
      <c r="G159" t="s">
        <v>14</v>
      </c>
      <c r="H159">
        <v>33</v>
      </c>
      <c r="I159" t="s">
        <v>49</v>
      </c>
      <c r="J159">
        <v>15917</v>
      </c>
      <c r="K159">
        <v>191004</v>
      </c>
      <c r="L159">
        <v>15</v>
      </c>
      <c r="M159" t="s">
        <v>50</v>
      </c>
      <c r="N159">
        <v>5</v>
      </c>
      <c r="O159" t="s">
        <v>54</v>
      </c>
      <c r="P159" t="s">
        <v>20</v>
      </c>
      <c r="Q159" t="s">
        <v>32</v>
      </c>
      <c r="R159" t="s">
        <v>17</v>
      </c>
    </row>
    <row r="160" spans="1:18" x14ac:dyDescent="0.25">
      <c r="A160">
        <v>343</v>
      </c>
      <c r="B160" s="2">
        <v>44735</v>
      </c>
      <c r="C160">
        <v>6</v>
      </c>
      <c r="D160">
        <v>2022</v>
      </c>
      <c r="E160" t="s">
        <v>30</v>
      </c>
      <c r="F160" t="s">
        <v>31</v>
      </c>
      <c r="G160" t="s">
        <v>24</v>
      </c>
      <c r="H160">
        <v>60</v>
      </c>
      <c r="I160" t="s">
        <v>52</v>
      </c>
      <c r="J160">
        <v>4932</v>
      </c>
      <c r="K160">
        <v>59184</v>
      </c>
      <c r="L160">
        <v>8</v>
      </c>
      <c r="M160" t="s">
        <v>50</v>
      </c>
      <c r="N160">
        <v>4</v>
      </c>
      <c r="O160" t="s">
        <v>54</v>
      </c>
      <c r="P160" t="s">
        <v>15</v>
      </c>
      <c r="Q160" t="s">
        <v>16</v>
      </c>
      <c r="R160" t="s">
        <v>17</v>
      </c>
    </row>
    <row r="161" spans="1:18" x14ac:dyDescent="0.25">
      <c r="A161">
        <v>349</v>
      </c>
      <c r="B161" s="2">
        <v>44540</v>
      </c>
      <c r="C161">
        <v>12</v>
      </c>
      <c r="D161">
        <v>2021</v>
      </c>
      <c r="E161" t="s">
        <v>12</v>
      </c>
      <c r="F161" t="s">
        <v>13</v>
      </c>
      <c r="G161" t="s">
        <v>14</v>
      </c>
      <c r="H161">
        <v>23</v>
      </c>
      <c r="I161" t="s">
        <v>53</v>
      </c>
      <c r="J161">
        <v>16005</v>
      </c>
      <c r="K161">
        <v>192060</v>
      </c>
      <c r="L161">
        <v>14</v>
      </c>
      <c r="M161" t="s">
        <v>50</v>
      </c>
      <c r="N161">
        <v>4</v>
      </c>
      <c r="O161" t="s">
        <v>54</v>
      </c>
      <c r="P161" t="s">
        <v>15</v>
      </c>
      <c r="Q161" t="s">
        <v>27</v>
      </c>
      <c r="R161" t="s">
        <v>39</v>
      </c>
    </row>
    <row r="162" spans="1:18" x14ac:dyDescent="0.25">
      <c r="A162">
        <v>352</v>
      </c>
      <c r="B162" s="2">
        <v>43549</v>
      </c>
      <c r="C162">
        <v>3</v>
      </c>
      <c r="D162">
        <v>2019</v>
      </c>
      <c r="E162" t="s">
        <v>22</v>
      </c>
      <c r="F162" t="s">
        <v>23</v>
      </c>
      <c r="G162" t="s">
        <v>24</v>
      </c>
      <c r="H162">
        <v>55</v>
      </c>
      <c r="I162" t="s">
        <v>52</v>
      </c>
      <c r="J162">
        <v>11268</v>
      </c>
      <c r="K162">
        <v>135216</v>
      </c>
      <c r="L162">
        <v>13</v>
      </c>
      <c r="M162" t="s">
        <v>50</v>
      </c>
      <c r="N162">
        <v>5</v>
      </c>
      <c r="O162" t="s">
        <v>54</v>
      </c>
      <c r="P162" t="s">
        <v>15</v>
      </c>
      <c r="Q162" t="s">
        <v>16</v>
      </c>
      <c r="R162" t="s">
        <v>39</v>
      </c>
    </row>
    <row r="163" spans="1:18" x14ac:dyDescent="0.25">
      <c r="A163">
        <v>361</v>
      </c>
      <c r="B163" s="2">
        <v>43224</v>
      </c>
      <c r="C163">
        <v>5</v>
      </c>
      <c r="D163">
        <v>2018</v>
      </c>
      <c r="E163" t="s">
        <v>12</v>
      </c>
      <c r="F163" t="s">
        <v>41</v>
      </c>
      <c r="G163" t="s">
        <v>24</v>
      </c>
      <c r="H163">
        <v>34</v>
      </c>
      <c r="I163" t="s">
        <v>49</v>
      </c>
      <c r="J163">
        <v>11575</v>
      </c>
      <c r="K163">
        <v>138900</v>
      </c>
      <c r="L163">
        <v>8</v>
      </c>
      <c r="M163" t="s">
        <v>50</v>
      </c>
      <c r="N163">
        <v>5</v>
      </c>
      <c r="O163" t="s">
        <v>54</v>
      </c>
      <c r="P163" t="s">
        <v>15</v>
      </c>
      <c r="Q163" t="s">
        <v>16</v>
      </c>
      <c r="R163" t="s">
        <v>39</v>
      </c>
    </row>
    <row r="164" spans="1:18" x14ac:dyDescent="0.25">
      <c r="A164">
        <v>364</v>
      </c>
      <c r="B164" s="2">
        <v>40970</v>
      </c>
      <c r="C164">
        <v>3</v>
      </c>
      <c r="D164">
        <v>2012</v>
      </c>
      <c r="E164" t="s">
        <v>36</v>
      </c>
      <c r="F164" t="s">
        <v>42</v>
      </c>
      <c r="G164" t="s">
        <v>14</v>
      </c>
      <c r="H164">
        <v>30</v>
      </c>
      <c r="I164" t="s">
        <v>49</v>
      </c>
      <c r="J164">
        <v>18907</v>
      </c>
      <c r="K164">
        <v>226884</v>
      </c>
      <c r="L164">
        <v>9</v>
      </c>
      <c r="M164" t="s">
        <v>50</v>
      </c>
      <c r="N164">
        <v>4</v>
      </c>
      <c r="O164" t="s">
        <v>54</v>
      </c>
      <c r="P164" t="s">
        <v>15</v>
      </c>
      <c r="Q164" t="s">
        <v>27</v>
      </c>
      <c r="R164" t="s">
        <v>34</v>
      </c>
    </row>
    <row r="165" spans="1:18" x14ac:dyDescent="0.25">
      <c r="A165">
        <v>369</v>
      </c>
      <c r="B165" s="2">
        <v>45145</v>
      </c>
      <c r="C165">
        <v>8</v>
      </c>
      <c r="D165">
        <v>2023</v>
      </c>
      <c r="E165" t="s">
        <v>30</v>
      </c>
      <c r="F165" t="s">
        <v>31</v>
      </c>
      <c r="G165" t="s">
        <v>24</v>
      </c>
      <c r="H165">
        <v>60</v>
      </c>
      <c r="I165" t="s">
        <v>52</v>
      </c>
      <c r="J165">
        <v>18701</v>
      </c>
      <c r="K165">
        <v>224412</v>
      </c>
      <c r="L165">
        <v>10</v>
      </c>
      <c r="M165" t="s">
        <v>50</v>
      </c>
      <c r="N165">
        <v>5</v>
      </c>
      <c r="O165" t="s">
        <v>54</v>
      </c>
      <c r="P165" t="s">
        <v>15</v>
      </c>
      <c r="Q165" t="s">
        <v>16</v>
      </c>
      <c r="R165" t="s">
        <v>34</v>
      </c>
    </row>
    <row r="166" spans="1:18" x14ac:dyDescent="0.25">
      <c r="A166">
        <v>372</v>
      </c>
      <c r="B166" s="2">
        <v>43552</v>
      </c>
      <c r="C166">
        <v>3</v>
      </c>
      <c r="D166">
        <v>2019</v>
      </c>
      <c r="E166" t="s">
        <v>22</v>
      </c>
      <c r="F166" t="s">
        <v>35</v>
      </c>
      <c r="G166" t="s">
        <v>24</v>
      </c>
      <c r="H166">
        <v>55</v>
      </c>
      <c r="I166" t="s">
        <v>52</v>
      </c>
      <c r="J166">
        <v>18175</v>
      </c>
      <c r="K166">
        <v>218100</v>
      </c>
      <c r="L166">
        <v>14</v>
      </c>
      <c r="M166" t="s">
        <v>50</v>
      </c>
      <c r="N166">
        <v>5</v>
      </c>
      <c r="O166" t="s">
        <v>54</v>
      </c>
      <c r="P166" t="s">
        <v>15</v>
      </c>
      <c r="Q166" t="s">
        <v>16</v>
      </c>
      <c r="R166" t="s">
        <v>17</v>
      </c>
    </row>
    <row r="167" spans="1:18" x14ac:dyDescent="0.25">
      <c r="A167">
        <v>374</v>
      </c>
      <c r="B167" s="2">
        <v>42888</v>
      </c>
      <c r="C167">
        <v>6</v>
      </c>
      <c r="D167">
        <v>2017</v>
      </c>
      <c r="E167" t="s">
        <v>30</v>
      </c>
      <c r="F167" t="s">
        <v>38</v>
      </c>
      <c r="G167" t="s">
        <v>24</v>
      </c>
      <c r="H167">
        <v>26</v>
      </c>
      <c r="I167" t="s">
        <v>53</v>
      </c>
      <c r="J167">
        <v>5347</v>
      </c>
      <c r="K167">
        <v>64164</v>
      </c>
      <c r="L167">
        <v>10</v>
      </c>
      <c r="M167" t="s">
        <v>50</v>
      </c>
      <c r="N167">
        <v>5</v>
      </c>
      <c r="O167" t="s">
        <v>54</v>
      </c>
      <c r="P167" t="s">
        <v>20</v>
      </c>
      <c r="Q167" t="s">
        <v>27</v>
      </c>
      <c r="R167" t="s">
        <v>39</v>
      </c>
    </row>
    <row r="168" spans="1:18" x14ac:dyDescent="0.25">
      <c r="A168">
        <v>386</v>
      </c>
      <c r="B168" s="2">
        <v>44923</v>
      </c>
      <c r="C168">
        <v>12</v>
      </c>
      <c r="D168">
        <v>2022</v>
      </c>
      <c r="E168" t="s">
        <v>18</v>
      </c>
      <c r="F168" t="s">
        <v>26</v>
      </c>
      <c r="G168" t="s">
        <v>14</v>
      </c>
      <c r="H168">
        <v>60</v>
      </c>
      <c r="I168" t="s">
        <v>52</v>
      </c>
      <c r="J168">
        <v>11045</v>
      </c>
      <c r="K168">
        <v>132540</v>
      </c>
      <c r="L168">
        <v>12</v>
      </c>
      <c r="M168" t="s">
        <v>50</v>
      </c>
      <c r="N168">
        <v>5</v>
      </c>
      <c r="O168" t="s">
        <v>54</v>
      </c>
      <c r="P168" t="s">
        <v>15</v>
      </c>
      <c r="Q168" t="s">
        <v>27</v>
      </c>
      <c r="R168" t="s">
        <v>34</v>
      </c>
    </row>
    <row r="169" spans="1:18" x14ac:dyDescent="0.25">
      <c r="A169">
        <v>389</v>
      </c>
      <c r="B169" s="2">
        <v>40765</v>
      </c>
      <c r="C169">
        <v>8</v>
      </c>
      <c r="D169">
        <v>2011</v>
      </c>
      <c r="E169" t="s">
        <v>22</v>
      </c>
      <c r="F169" t="s">
        <v>35</v>
      </c>
      <c r="G169" t="s">
        <v>24</v>
      </c>
      <c r="H169">
        <v>36</v>
      </c>
      <c r="I169" t="s">
        <v>49</v>
      </c>
      <c r="J169">
        <v>6600</v>
      </c>
      <c r="K169">
        <v>79200</v>
      </c>
      <c r="L169">
        <v>12</v>
      </c>
      <c r="M169" t="s">
        <v>50</v>
      </c>
      <c r="N169">
        <v>5</v>
      </c>
      <c r="O169" t="s">
        <v>54</v>
      </c>
      <c r="P169" t="s">
        <v>15</v>
      </c>
      <c r="Q169" t="s">
        <v>32</v>
      </c>
      <c r="R169" t="s">
        <v>21</v>
      </c>
    </row>
    <row r="170" spans="1:18" x14ac:dyDescent="0.25">
      <c r="A170">
        <v>393</v>
      </c>
      <c r="B170" s="2">
        <v>44695</v>
      </c>
      <c r="C170">
        <v>5</v>
      </c>
      <c r="D170">
        <v>2022</v>
      </c>
      <c r="E170" t="s">
        <v>28</v>
      </c>
      <c r="F170" t="s">
        <v>33</v>
      </c>
      <c r="G170" t="s">
        <v>24</v>
      </c>
      <c r="H170">
        <v>28</v>
      </c>
      <c r="I170" t="s">
        <v>53</v>
      </c>
      <c r="J170">
        <v>13363</v>
      </c>
      <c r="K170">
        <v>160356</v>
      </c>
      <c r="L170">
        <v>10</v>
      </c>
      <c r="M170" t="s">
        <v>50</v>
      </c>
      <c r="N170">
        <v>5</v>
      </c>
      <c r="O170" t="s">
        <v>54</v>
      </c>
      <c r="P170" t="s">
        <v>20</v>
      </c>
      <c r="Q170" t="s">
        <v>16</v>
      </c>
      <c r="R170" t="s">
        <v>21</v>
      </c>
    </row>
    <row r="171" spans="1:18" x14ac:dyDescent="0.25">
      <c r="A171">
        <v>395</v>
      </c>
      <c r="B171" s="2">
        <v>44642</v>
      </c>
      <c r="C171">
        <v>3</v>
      </c>
      <c r="D171">
        <v>2022</v>
      </c>
      <c r="E171" t="s">
        <v>28</v>
      </c>
      <c r="F171" t="s">
        <v>29</v>
      </c>
      <c r="G171" t="s">
        <v>14</v>
      </c>
      <c r="H171">
        <v>37</v>
      </c>
      <c r="I171" t="s">
        <v>49</v>
      </c>
      <c r="J171">
        <v>6172</v>
      </c>
      <c r="K171">
        <v>74064</v>
      </c>
      <c r="L171">
        <v>9</v>
      </c>
      <c r="M171" t="s">
        <v>50</v>
      </c>
      <c r="N171">
        <v>5</v>
      </c>
      <c r="O171" t="s">
        <v>54</v>
      </c>
      <c r="P171" t="s">
        <v>15</v>
      </c>
      <c r="Q171" t="s">
        <v>27</v>
      </c>
      <c r="R171" t="s">
        <v>25</v>
      </c>
    </row>
    <row r="172" spans="1:18" x14ac:dyDescent="0.25">
      <c r="A172">
        <v>398</v>
      </c>
      <c r="B172" s="2">
        <v>41967</v>
      </c>
      <c r="C172">
        <v>11</v>
      </c>
      <c r="D172">
        <v>2014</v>
      </c>
      <c r="E172" t="s">
        <v>22</v>
      </c>
      <c r="F172" t="s">
        <v>35</v>
      </c>
      <c r="G172" t="s">
        <v>24</v>
      </c>
      <c r="H172">
        <v>53</v>
      </c>
      <c r="I172" t="s">
        <v>52</v>
      </c>
      <c r="J172">
        <v>8298</v>
      </c>
      <c r="K172">
        <v>99576</v>
      </c>
      <c r="L172">
        <v>10</v>
      </c>
      <c r="M172" t="s">
        <v>50</v>
      </c>
      <c r="N172">
        <v>4</v>
      </c>
      <c r="O172" t="s">
        <v>54</v>
      </c>
      <c r="P172" t="s">
        <v>15</v>
      </c>
      <c r="Q172" t="s">
        <v>27</v>
      </c>
      <c r="R172" t="s">
        <v>21</v>
      </c>
    </row>
    <row r="173" spans="1:18" x14ac:dyDescent="0.25">
      <c r="A173">
        <v>399</v>
      </c>
      <c r="B173" s="2">
        <v>42179</v>
      </c>
      <c r="C173">
        <v>6</v>
      </c>
      <c r="D173">
        <v>2015</v>
      </c>
      <c r="E173" t="s">
        <v>22</v>
      </c>
      <c r="F173" t="s">
        <v>35</v>
      </c>
      <c r="G173" t="s">
        <v>24</v>
      </c>
      <c r="H173">
        <v>30</v>
      </c>
      <c r="I173" t="s">
        <v>49</v>
      </c>
      <c r="J173">
        <v>14501</v>
      </c>
      <c r="K173">
        <v>174012</v>
      </c>
      <c r="L173">
        <v>14</v>
      </c>
      <c r="M173" t="s">
        <v>50</v>
      </c>
      <c r="N173">
        <v>5</v>
      </c>
      <c r="O173" t="s">
        <v>54</v>
      </c>
      <c r="P173" t="s">
        <v>20</v>
      </c>
      <c r="Q173" t="s">
        <v>32</v>
      </c>
      <c r="R173" t="s">
        <v>17</v>
      </c>
    </row>
    <row r="174" spans="1:18" x14ac:dyDescent="0.25">
      <c r="A174">
        <v>403</v>
      </c>
      <c r="B174" s="2">
        <v>42527</v>
      </c>
      <c r="C174">
        <v>6</v>
      </c>
      <c r="D174">
        <v>2016</v>
      </c>
      <c r="E174" t="s">
        <v>30</v>
      </c>
      <c r="F174" t="s">
        <v>31</v>
      </c>
      <c r="G174" t="s">
        <v>24</v>
      </c>
      <c r="H174">
        <v>48</v>
      </c>
      <c r="I174" t="s">
        <v>52</v>
      </c>
      <c r="J174">
        <v>12992</v>
      </c>
      <c r="K174">
        <v>155904</v>
      </c>
      <c r="L174">
        <v>11</v>
      </c>
      <c r="M174" t="s">
        <v>50</v>
      </c>
      <c r="N174">
        <v>5</v>
      </c>
      <c r="O174" t="s">
        <v>54</v>
      </c>
      <c r="P174" t="s">
        <v>15</v>
      </c>
      <c r="Q174" t="s">
        <v>32</v>
      </c>
      <c r="R174" t="s">
        <v>17</v>
      </c>
    </row>
    <row r="175" spans="1:18" x14ac:dyDescent="0.25">
      <c r="A175">
        <v>428</v>
      </c>
      <c r="B175" s="2">
        <v>45034</v>
      </c>
      <c r="C175">
        <v>4</v>
      </c>
      <c r="D175">
        <v>2023</v>
      </c>
      <c r="E175" t="s">
        <v>30</v>
      </c>
      <c r="F175" t="s">
        <v>38</v>
      </c>
      <c r="G175" t="s">
        <v>24</v>
      </c>
      <c r="H175">
        <v>31</v>
      </c>
      <c r="I175" t="s">
        <v>49</v>
      </c>
      <c r="J175">
        <v>18478</v>
      </c>
      <c r="K175">
        <v>221736</v>
      </c>
      <c r="L175">
        <v>11</v>
      </c>
      <c r="M175" t="s">
        <v>50</v>
      </c>
      <c r="N175">
        <v>4</v>
      </c>
      <c r="O175" t="s">
        <v>54</v>
      </c>
      <c r="P175" t="s">
        <v>15</v>
      </c>
      <c r="Q175" t="s">
        <v>27</v>
      </c>
      <c r="R175" t="s">
        <v>39</v>
      </c>
    </row>
    <row r="176" spans="1:18" x14ac:dyDescent="0.25">
      <c r="A176">
        <v>429</v>
      </c>
      <c r="B176" s="2">
        <v>43489</v>
      </c>
      <c r="C176">
        <v>1</v>
      </c>
      <c r="D176">
        <v>2019</v>
      </c>
      <c r="E176" t="s">
        <v>36</v>
      </c>
      <c r="F176" t="s">
        <v>40</v>
      </c>
      <c r="G176" t="s">
        <v>24</v>
      </c>
      <c r="H176">
        <v>42</v>
      </c>
      <c r="I176" t="s">
        <v>49</v>
      </c>
      <c r="J176">
        <v>17025</v>
      </c>
      <c r="K176">
        <v>204300</v>
      </c>
      <c r="L176">
        <v>15</v>
      </c>
      <c r="M176" t="s">
        <v>50</v>
      </c>
      <c r="N176">
        <v>4</v>
      </c>
      <c r="O176" t="s">
        <v>54</v>
      </c>
      <c r="P176" t="s">
        <v>15</v>
      </c>
      <c r="Q176" t="s">
        <v>16</v>
      </c>
      <c r="R176" t="s">
        <v>17</v>
      </c>
    </row>
    <row r="177" spans="1:18" x14ac:dyDescent="0.25">
      <c r="A177">
        <v>433</v>
      </c>
      <c r="B177" s="2">
        <v>43400</v>
      </c>
      <c r="C177">
        <v>10</v>
      </c>
      <c r="D177">
        <v>2018</v>
      </c>
      <c r="E177" t="s">
        <v>36</v>
      </c>
      <c r="F177" t="s">
        <v>37</v>
      </c>
      <c r="G177" t="s">
        <v>14</v>
      </c>
      <c r="H177">
        <v>53</v>
      </c>
      <c r="I177" t="s">
        <v>52</v>
      </c>
      <c r="J177">
        <v>9446</v>
      </c>
      <c r="K177">
        <v>113352</v>
      </c>
      <c r="L177">
        <v>10</v>
      </c>
      <c r="M177" t="s">
        <v>50</v>
      </c>
      <c r="N177">
        <v>4</v>
      </c>
      <c r="O177" t="s">
        <v>54</v>
      </c>
      <c r="P177" t="s">
        <v>20</v>
      </c>
      <c r="Q177" t="s">
        <v>32</v>
      </c>
      <c r="R177" t="s">
        <v>25</v>
      </c>
    </row>
    <row r="178" spans="1:18" x14ac:dyDescent="0.25">
      <c r="A178">
        <v>436</v>
      </c>
      <c r="B178" s="2">
        <v>41789</v>
      </c>
      <c r="C178">
        <v>5</v>
      </c>
      <c r="D178">
        <v>2014</v>
      </c>
      <c r="E178" t="s">
        <v>28</v>
      </c>
      <c r="F178" t="s">
        <v>29</v>
      </c>
      <c r="G178" t="s">
        <v>24</v>
      </c>
      <c r="H178">
        <v>35</v>
      </c>
      <c r="I178" t="s">
        <v>49</v>
      </c>
      <c r="J178">
        <v>5689</v>
      </c>
      <c r="K178">
        <v>68268</v>
      </c>
      <c r="L178">
        <v>11</v>
      </c>
      <c r="M178" t="s">
        <v>50</v>
      </c>
      <c r="N178">
        <v>5</v>
      </c>
      <c r="O178" t="s">
        <v>54</v>
      </c>
      <c r="P178" t="s">
        <v>15</v>
      </c>
      <c r="Q178" t="s">
        <v>16</v>
      </c>
      <c r="R178" t="s">
        <v>25</v>
      </c>
    </row>
    <row r="179" spans="1:18" x14ac:dyDescent="0.25">
      <c r="A179">
        <v>442</v>
      </c>
      <c r="B179" s="2">
        <v>45047</v>
      </c>
      <c r="C179">
        <v>5</v>
      </c>
      <c r="D179">
        <v>2023</v>
      </c>
      <c r="E179" t="s">
        <v>18</v>
      </c>
      <c r="F179" t="s">
        <v>19</v>
      </c>
      <c r="G179" t="s">
        <v>14</v>
      </c>
      <c r="H179">
        <v>54</v>
      </c>
      <c r="I179" t="s">
        <v>52</v>
      </c>
      <c r="J179">
        <v>15363</v>
      </c>
      <c r="K179">
        <v>184356</v>
      </c>
      <c r="L179">
        <v>13</v>
      </c>
      <c r="M179" t="s">
        <v>50</v>
      </c>
      <c r="N179">
        <v>5</v>
      </c>
      <c r="O179" t="s">
        <v>54</v>
      </c>
      <c r="P179" t="s">
        <v>15</v>
      </c>
      <c r="Q179" t="s">
        <v>16</v>
      </c>
      <c r="R179" t="s">
        <v>39</v>
      </c>
    </row>
    <row r="180" spans="1:18" x14ac:dyDescent="0.25">
      <c r="A180">
        <v>444</v>
      </c>
      <c r="B180" s="2">
        <v>45071</v>
      </c>
      <c r="C180">
        <v>5</v>
      </c>
      <c r="D180">
        <v>2023</v>
      </c>
      <c r="E180" t="s">
        <v>22</v>
      </c>
      <c r="F180" t="s">
        <v>23</v>
      </c>
      <c r="G180" t="s">
        <v>24</v>
      </c>
      <c r="H180">
        <v>50</v>
      </c>
      <c r="I180" t="s">
        <v>52</v>
      </c>
      <c r="J180">
        <v>4409</v>
      </c>
      <c r="K180">
        <v>52908</v>
      </c>
      <c r="L180">
        <v>11</v>
      </c>
      <c r="M180" t="s">
        <v>50</v>
      </c>
      <c r="N180">
        <v>5</v>
      </c>
      <c r="O180" t="s">
        <v>54</v>
      </c>
      <c r="P180" t="s">
        <v>20</v>
      </c>
      <c r="Q180" t="s">
        <v>16</v>
      </c>
      <c r="R180" t="s">
        <v>34</v>
      </c>
    </row>
    <row r="181" spans="1:18" x14ac:dyDescent="0.25">
      <c r="A181">
        <v>446</v>
      </c>
      <c r="B181" s="2">
        <v>44392</v>
      </c>
      <c r="C181">
        <v>7</v>
      </c>
      <c r="D181">
        <v>2021</v>
      </c>
      <c r="E181" t="s">
        <v>30</v>
      </c>
      <c r="F181" t="s">
        <v>31</v>
      </c>
      <c r="G181" t="s">
        <v>14</v>
      </c>
      <c r="H181">
        <v>58</v>
      </c>
      <c r="I181" t="s">
        <v>52</v>
      </c>
      <c r="J181">
        <v>16953</v>
      </c>
      <c r="K181">
        <v>203436</v>
      </c>
      <c r="L181">
        <v>10</v>
      </c>
      <c r="M181" t="s">
        <v>50</v>
      </c>
      <c r="N181">
        <v>4</v>
      </c>
      <c r="O181" t="s">
        <v>54</v>
      </c>
      <c r="P181" t="s">
        <v>15</v>
      </c>
      <c r="Q181" t="s">
        <v>16</v>
      </c>
      <c r="R181" t="s">
        <v>21</v>
      </c>
    </row>
    <row r="182" spans="1:18" x14ac:dyDescent="0.25">
      <c r="A182">
        <v>449</v>
      </c>
      <c r="B182" s="2">
        <v>40491</v>
      </c>
      <c r="C182">
        <v>11</v>
      </c>
      <c r="D182">
        <v>2010</v>
      </c>
      <c r="E182" t="s">
        <v>36</v>
      </c>
      <c r="F182" t="s">
        <v>37</v>
      </c>
      <c r="G182" t="s">
        <v>14</v>
      </c>
      <c r="H182">
        <v>50</v>
      </c>
      <c r="I182" t="s">
        <v>52</v>
      </c>
      <c r="J182">
        <v>10287</v>
      </c>
      <c r="K182">
        <v>123444</v>
      </c>
      <c r="L182">
        <v>13</v>
      </c>
      <c r="M182" t="s">
        <v>50</v>
      </c>
      <c r="N182">
        <v>5</v>
      </c>
      <c r="O182" t="s">
        <v>54</v>
      </c>
      <c r="P182" t="s">
        <v>20</v>
      </c>
      <c r="Q182" t="s">
        <v>32</v>
      </c>
      <c r="R182" t="s">
        <v>25</v>
      </c>
    </row>
    <row r="183" spans="1:18" x14ac:dyDescent="0.25">
      <c r="A183">
        <v>453</v>
      </c>
      <c r="B183" s="2">
        <v>41103</v>
      </c>
      <c r="C183">
        <v>7</v>
      </c>
      <c r="D183">
        <v>2012</v>
      </c>
      <c r="E183" t="s">
        <v>18</v>
      </c>
      <c r="F183" t="s">
        <v>19</v>
      </c>
      <c r="G183" t="s">
        <v>14</v>
      </c>
      <c r="H183">
        <v>30</v>
      </c>
      <c r="I183" t="s">
        <v>49</v>
      </c>
      <c r="J183">
        <v>18982</v>
      </c>
      <c r="K183">
        <v>227784</v>
      </c>
      <c r="L183">
        <v>9</v>
      </c>
      <c r="M183" t="s">
        <v>50</v>
      </c>
      <c r="N183">
        <v>4</v>
      </c>
      <c r="O183" t="s">
        <v>54</v>
      </c>
      <c r="P183" t="s">
        <v>20</v>
      </c>
      <c r="Q183" t="s">
        <v>32</v>
      </c>
      <c r="R183" t="s">
        <v>34</v>
      </c>
    </row>
    <row r="184" spans="1:18" x14ac:dyDescent="0.25">
      <c r="A184">
        <v>459</v>
      </c>
      <c r="B184" s="2">
        <v>40920</v>
      </c>
      <c r="C184">
        <v>1</v>
      </c>
      <c r="D184">
        <v>2012</v>
      </c>
      <c r="E184" t="s">
        <v>36</v>
      </c>
      <c r="F184" t="s">
        <v>42</v>
      </c>
      <c r="G184" t="s">
        <v>24</v>
      </c>
      <c r="H184">
        <v>54</v>
      </c>
      <c r="I184" t="s">
        <v>52</v>
      </c>
      <c r="J184">
        <v>8625</v>
      </c>
      <c r="K184">
        <v>103500</v>
      </c>
      <c r="L184">
        <v>9</v>
      </c>
      <c r="M184" t="s">
        <v>50</v>
      </c>
      <c r="N184">
        <v>4</v>
      </c>
      <c r="O184" t="s">
        <v>54</v>
      </c>
      <c r="P184" t="s">
        <v>20</v>
      </c>
      <c r="Q184" t="s">
        <v>27</v>
      </c>
      <c r="R184" t="s">
        <v>25</v>
      </c>
    </row>
    <row r="185" spans="1:18" x14ac:dyDescent="0.25">
      <c r="A185">
        <v>462</v>
      </c>
      <c r="B185" s="2">
        <v>44179</v>
      </c>
      <c r="C185">
        <v>12</v>
      </c>
      <c r="D185">
        <v>2020</v>
      </c>
      <c r="E185" t="s">
        <v>30</v>
      </c>
      <c r="F185" t="s">
        <v>31</v>
      </c>
      <c r="G185" t="s">
        <v>14</v>
      </c>
      <c r="H185">
        <v>33</v>
      </c>
      <c r="I185" t="s">
        <v>49</v>
      </c>
      <c r="J185">
        <v>10553</v>
      </c>
      <c r="K185">
        <v>126636</v>
      </c>
      <c r="L185">
        <v>8</v>
      </c>
      <c r="M185" t="s">
        <v>50</v>
      </c>
      <c r="N185">
        <v>5</v>
      </c>
      <c r="O185" t="s">
        <v>54</v>
      </c>
      <c r="P185" t="s">
        <v>15</v>
      </c>
      <c r="Q185" t="s">
        <v>32</v>
      </c>
      <c r="R185" t="s">
        <v>34</v>
      </c>
    </row>
    <row r="186" spans="1:18" x14ac:dyDescent="0.25">
      <c r="A186">
        <v>467</v>
      </c>
      <c r="B186" s="2">
        <v>44977</v>
      </c>
      <c r="C186">
        <v>2</v>
      </c>
      <c r="D186">
        <v>2023</v>
      </c>
      <c r="E186" t="s">
        <v>18</v>
      </c>
      <c r="F186" t="s">
        <v>19</v>
      </c>
      <c r="G186" t="s">
        <v>24</v>
      </c>
      <c r="H186">
        <v>28</v>
      </c>
      <c r="I186" t="s">
        <v>53</v>
      </c>
      <c r="J186">
        <v>11808</v>
      </c>
      <c r="K186">
        <v>141696</v>
      </c>
      <c r="L186">
        <v>8</v>
      </c>
      <c r="M186" t="s">
        <v>50</v>
      </c>
      <c r="N186">
        <v>4</v>
      </c>
      <c r="O186" t="s">
        <v>54</v>
      </c>
      <c r="P186" t="s">
        <v>20</v>
      </c>
      <c r="Q186" t="s">
        <v>27</v>
      </c>
      <c r="R186" t="s">
        <v>25</v>
      </c>
    </row>
    <row r="187" spans="1:18" x14ac:dyDescent="0.25">
      <c r="A187">
        <v>479</v>
      </c>
      <c r="B187" s="2">
        <v>41042</v>
      </c>
      <c r="C187">
        <v>5</v>
      </c>
      <c r="D187">
        <v>2012</v>
      </c>
      <c r="E187" t="s">
        <v>36</v>
      </c>
      <c r="F187" t="s">
        <v>42</v>
      </c>
      <c r="G187" t="s">
        <v>24</v>
      </c>
      <c r="H187">
        <v>51</v>
      </c>
      <c r="I187" t="s">
        <v>52</v>
      </c>
      <c r="J187">
        <v>6147</v>
      </c>
      <c r="K187">
        <v>73764</v>
      </c>
      <c r="L187">
        <v>11</v>
      </c>
      <c r="M187" t="s">
        <v>50</v>
      </c>
      <c r="N187">
        <v>4</v>
      </c>
      <c r="O187" t="s">
        <v>54</v>
      </c>
      <c r="P187" t="s">
        <v>20</v>
      </c>
      <c r="Q187" t="s">
        <v>27</v>
      </c>
      <c r="R187" t="s">
        <v>21</v>
      </c>
    </row>
    <row r="188" spans="1:18" x14ac:dyDescent="0.25">
      <c r="A188">
        <v>481</v>
      </c>
      <c r="B188" s="2">
        <v>44377</v>
      </c>
      <c r="C188">
        <v>6</v>
      </c>
      <c r="D188">
        <v>2021</v>
      </c>
      <c r="E188" t="s">
        <v>28</v>
      </c>
      <c r="F188" t="s">
        <v>29</v>
      </c>
      <c r="G188" t="s">
        <v>14</v>
      </c>
      <c r="H188">
        <v>29</v>
      </c>
      <c r="I188" t="s">
        <v>53</v>
      </c>
      <c r="J188">
        <v>14699</v>
      </c>
      <c r="K188">
        <v>176388</v>
      </c>
      <c r="L188">
        <v>14</v>
      </c>
      <c r="M188" t="s">
        <v>50</v>
      </c>
      <c r="N188">
        <v>5</v>
      </c>
      <c r="O188" t="s">
        <v>54</v>
      </c>
      <c r="P188" t="s">
        <v>20</v>
      </c>
      <c r="Q188" t="s">
        <v>27</v>
      </c>
      <c r="R188" t="s">
        <v>39</v>
      </c>
    </row>
    <row r="189" spans="1:18" x14ac:dyDescent="0.25">
      <c r="A189">
        <v>485</v>
      </c>
      <c r="B189" s="2">
        <v>44553</v>
      </c>
      <c r="C189">
        <v>12</v>
      </c>
      <c r="D189">
        <v>2021</v>
      </c>
      <c r="E189" t="s">
        <v>12</v>
      </c>
      <c r="F189" t="s">
        <v>13</v>
      </c>
      <c r="G189" t="s">
        <v>14</v>
      </c>
      <c r="H189">
        <v>22</v>
      </c>
      <c r="I189" t="s">
        <v>53</v>
      </c>
      <c r="J189">
        <v>6783</v>
      </c>
      <c r="K189">
        <v>81396</v>
      </c>
      <c r="L189">
        <v>11</v>
      </c>
      <c r="M189" t="s">
        <v>50</v>
      </c>
      <c r="N189">
        <v>4</v>
      </c>
      <c r="O189" t="s">
        <v>54</v>
      </c>
      <c r="P189" t="s">
        <v>20</v>
      </c>
      <c r="Q189" t="s">
        <v>32</v>
      </c>
      <c r="R189" t="s">
        <v>34</v>
      </c>
    </row>
    <row r="190" spans="1:18" x14ac:dyDescent="0.25">
      <c r="A190">
        <v>488</v>
      </c>
      <c r="B190" s="2">
        <v>44096</v>
      </c>
      <c r="C190">
        <v>9</v>
      </c>
      <c r="D190">
        <v>2020</v>
      </c>
      <c r="E190" t="s">
        <v>22</v>
      </c>
      <c r="F190" t="s">
        <v>23</v>
      </c>
      <c r="G190" t="s">
        <v>14</v>
      </c>
      <c r="H190">
        <v>41</v>
      </c>
      <c r="I190" t="s">
        <v>49</v>
      </c>
      <c r="J190">
        <v>9349</v>
      </c>
      <c r="K190">
        <v>112188</v>
      </c>
      <c r="L190">
        <v>12</v>
      </c>
      <c r="M190" t="s">
        <v>50</v>
      </c>
      <c r="N190">
        <v>4</v>
      </c>
      <c r="O190" t="s">
        <v>54</v>
      </c>
      <c r="P190" t="s">
        <v>20</v>
      </c>
      <c r="Q190" t="s">
        <v>27</v>
      </c>
      <c r="R190" t="s">
        <v>25</v>
      </c>
    </row>
    <row r="191" spans="1:18" x14ac:dyDescent="0.25">
      <c r="A191">
        <v>489</v>
      </c>
      <c r="B191" s="2">
        <v>42642</v>
      </c>
      <c r="C191">
        <v>9</v>
      </c>
      <c r="D191">
        <v>2016</v>
      </c>
      <c r="E191" t="s">
        <v>18</v>
      </c>
      <c r="F191" t="s">
        <v>19</v>
      </c>
      <c r="G191" t="s">
        <v>24</v>
      </c>
      <c r="H191">
        <v>60</v>
      </c>
      <c r="I191" t="s">
        <v>52</v>
      </c>
      <c r="J191">
        <v>4897</v>
      </c>
      <c r="K191">
        <v>58764</v>
      </c>
      <c r="L191">
        <v>13</v>
      </c>
      <c r="M191" t="s">
        <v>50</v>
      </c>
      <c r="N191">
        <v>5</v>
      </c>
      <c r="O191" t="s">
        <v>54</v>
      </c>
      <c r="P191" t="s">
        <v>20</v>
      </c>
      <c r="Q191" t="s">
        <v>32</v>
      </c>
      <c r="R191" t="s">
        <v>17</v>
      </c>
    </row>
    <row r="192" spans="1:18" x14ac:dyDescent="0.25">
      <c r="A192">
        <v>491</v>
      </c>
      <c r="B192" s="2">
        <v>42146</v>
      </c>
      <c r="C192">
        <v>5</v>
      </c>
      <c r="D192">
        <v>2015</v>
      </c>
      <c r="E192" t="s">
        <v>12</v>
      </c>
      <c r="F192" t="s">
        <v>13</v>
      </c>
      <c r="G192" t="s">
        <v>14</v>
      </c>
      <c r="H192">
        <v>59</v>
      </c>
      <c r="I192" t="s">
        <v>52</v>
      </c>
      <c r="J192">
        <v>7279</v>
      </c>
      <c r="K192">
        <v>87348</v>
      </c>
      <c r="L192">
        <v>12</v>
      </c>
      <c r="M192" t="s">
        <v>50</v>
      </c>
      <c r="N192">
        <v>4</v>
      </c>
      <c r="O192" t="s">
        <v>54</v>
      </c>
      <c r="P192" t="s">
        <v>20</v>
      </c>
      <c r="Q192" t="s">
        <v>27</v>
      </c>
      <c r="R192" t="s">
        <v>25</v>
      </c>
    </row>
    <row r="193" spans="1:18" x14ac:dyDescent="0.25">
      <c r="A193">
        <v>494</v>
      </c>
      <c r="B193" s="2">
        <v>45045</v>
      </c>
      <c r="C193">
        <v>4</v>
      </c>
      <c r="D193">
        <v>2023</v>
      </c>
      <c r="E193" t="s">
        <v>12</v>
      </c>
      <c r="F193" t="s">
        <v>41</v>
      </c>
      <c r="G193" t="s">
        <v>14</v>
      </c>
      <c r="H193">
        <v>40</v>
      </c>
      <c r="I193" t="s">
        <v>49</v>
      </c>
      <c r="J193">
        <v>11185</v>
      </c>
      <c r="K193">
        <v>134220</v>
      </c>
      <c r="L193">
        <v>14</v>
      </c>
      <c r="M193" t="s">
        <v>50</v>
      </c>
      <c r="N193">
        <v>4</v>
      </c>
      <c r="O193" t="s">
        <v>54</v>
      </c>
      <c r="P193" t="s">
        <v>15</v>
      </c>
      <c r="Q193" t="s">
        <v>27</v>
      </c>
      <c r="R193" t="s">
        <v>21</v>
      </c>
    </row>
    <row r="194" spans="1:18" x14ac:dyDescent="0.25">
      <c r="A194">
        <v>15</v>
      </c>
      <c r="B194" s="2">
        <v>43753</v>
      </c>
      <c r="C194">
        <v>10</v>
      </c>
      <c r="D194">
        <v>2019</v>
      </c>
      <c r="E194" t="s">
        <v>36</v>
      </c>
      <c r="F194" t="s">
        <v>37</v>
      </c>
      <c r="G194" t="s">
        <v>24</v>
      </c>
      <c r="H194">
        <v>46</v>
      </c>
      <c r="I194" t="s">
        <v>52</v>
      </c>
      <c r="J194">
        <v>5189</v>
      </c>
      <c r="K194">
        <v>62268</v>
      </c>
      <c r="L194">
        <v>10</v>
      </c>
      <c r="M194" t="s">
        <v>50</v>
      </c>
      <c r="N194">
        <v>3</v>
      </c>
      <c r="O194" t="s">
        <v>55</v>
      </c>
      <c r="P194" t="s">
        <v>20</v>
      </c>
      <c r="Q194" t="s">
        <v>16</v>
      </c>
      <c r="R194" t="s">
        <v>21</v>
      </c>
    </row>
    <row r="195" spans="1:18" x14ac:dyDescent="0.25">
      <c r="A195">
        <v>30</v>
      </c>
      <c r="B195" s="2">
        <v>44579</v>
      </c>
      <c r="C195">
        <v>1</v>
      </c>
      <c r="D195">
        <v>2022</v>
      </c>
      <c r="E195" t="s">
        <v>30</v>
      </c>
      <c r="F195" t="s">
        <v>31</v>
      </c>
      <c r="G195" t="s">
        <v>14</v>
      </c>
      <c r="H195">
        <v>34</v>
      </c>
      <c r="I195" t="s">
        <v>49</v>
      </c>
      <c r="J195">
        <v>18565</v>
      </c>
      <c r="K195">
        <v>222780</v>
      </c>
      <c r="L195">
        <v>13</v>
      </c>
      <c r="M195" t="s">
        <v>50</v>
      </c>
      <c r="N195">
        <v>3</v>
      </c>
      <c r="O195" t="s">
        <v>55</v>
      </c>
      <c r="P195" t="s">
        <v>15</v>
      </c>
      <c r="Q195" t="s">
        <v>32</v>
      </c>
      <c r="R195" t="s">
        <v>25</v>
      </c>
    </row>
    <row r="196" spans="1:18" x14ac:dyDescent="0.25">
      <c r="A196">
        <v>33</v>
      </c>
      <c r="B196" s="2">
        <v>44828</v>
      </c>
      <c r="C196">
        <v>9</v>
      </c>
      <c r="D196">
        <v>2022</v>
      </c>
      <c r="E196" t="s">
        <v>28</v>
      </c>
      <c r="F196" t="s">
        <v>29</v>
      </c>
      <c r="G196" t="s">
        <v>24</v>
      </c>
      <c r="H196">
        <v>44</v>
      </c>
      <c r="I196" t="s">
        <v>49</v>
      </c>
      <c r="J196">
        <v>4897</v>
      </c>
      <c r="K196">
        <v>58764</v>
      </c>
      <c r="L196">
        <v>11</v>
      </c>
      <c r="M196" t="s">
        <v>50</v>
      </c>
      <c r="N196">
        <v>3</v>
      </c>
      <c r="O196" t="s">
        <v>55</v>
      </c>
      <c r="P196" t="s">
        <v>20</v>
      </c>
      <c r="Q196" t="s">
        <v>16</v>
      </c>
      <c r="R196" t="s">
        <v>21</v>
      </c>
    </row>
    <row r="197" spans="1:18" x14ac:dyDescent="0.25">
      <c r="A197">
        <v>56</v>
      </c>
      <c r="B197" s="2">
        <v>40555</v>
      </c>
      <c r="C197">
        <v>1</v>
      </c>
      <c r="D197">
        <v>2011</v>
      </c>
      <c r="E197" t="s">
        <v>12</v>
      </c>
      <c r="F197" t="s">
        <v>41</v>
      </c>
      <c r="G197" t="s">
        <v>14</v>
      </c>
      <c r="H197">
        <v>54</v>
      </c>
      <c r="I197" t="s">
        <v>52</v>
      </c>
      <c r="J197">
        <v>12718</v>
      </c>
      <c r="K197">
        <v>152616</v>
      </c>
      <c r="L197">
        <v>15</v>
      </c>
      <c r="M197" t="s">
        <v>50</v>
      </c>
      <c r="N197">
        <v>3</v>
      </c>
      <c r="O197" t="s">
        <v>55</v>
      </c>
      <c r="P197" t="s">
        <v>15</v>
      </c>
      <c r="Q197" t="s">
        <v>16</v>
      </c>
      <c r="R197" t="s">
        <v>25</v>
      </c>
    </row>
    <row r="198" spans="1:18" x14ac:dyDescent="0.25">
      <c r="A198">
        <v>66</v>
      </c>
      <c r="B198" s="2">
        <v>45081</v>
      </c>
      <c r="C198">
        <v>6</v>
      </c>
      <c r="D198">
        <v>2023</v>
      </c>
      <c r="E198" t="s">
        <v>30</v>
      </c>
      <c r="F198" t="s">
        <v>38</v>
      </c>
      <c r="G198" t="s">
        <v>14</v>
      </c>
      <c r="H198">
        <v>38</v>
      </c>
      <c r="I198" t="s">
        <v>49</v>
      </c>
      <c r="J198">
        <v>6054</v>
      </c>
      <c r="K198">
        <v>72648</v>
      </c>
      <c r="L198">
        <v>8</v>
      </c>
      <c r="M198" t="s">
        <v>50</v>
      </c>
      <c r="N198">
        <v>3</v>
      </c>
      <c r="O198" t="s">
        <v>55</v>
      </c>
      <c r="P198" t="s">
        <v>15</v>
      </c>
      <c r="Q198" t="s">
        <v>27</v>
      </c>
      <c r="R198" t="s">
        <v>17</v>
      </c>
    </row>
    <row r="199" spans="1:18" x14ac:dyDescent="0.25">
      <c r="A199">
        <v>76</v>
      </c>
      <c r="B199" s="2">
        <v>40762</v>
      </c>
      <c r="C199">
        <v>8</v>
      </c>
      <c r="D199">
        <v>2011</v>
      </c>
      <c r="E199" t="s">
        <v>36</v>
      </c>
      <c r="F199" t="s">
        <v>40</v>
      </c>
      <c r="G199" t="s">
        <v>24</v>
      </c>
      <c r="H199">
        <v>52</v>
      </c>
      <c r="I199" t="s">
        <v>52</v>
      </c>
      <c r="J199">
        <v>17987</v>
      </c>
      <c r="K199">
        <v>215844</v>
      </c>
      <c r="L199">
        <v>11</v>
      </c>
      <c r="M199" t="s">
        <v>50</v>
      </c>
      <c r="N199">
        <v>3</v>
      </c>
      <c r="O199" t="s">
        <v>55</v>
      </c>
      <c r="P199" t="s">
        <v>20</v>
      </c>
      <c r="Q199" t="s">
        <v>16</v>
      </c>
      <c r="R199" t="s">
        <v>34</v>
      </c>
    </row>
    <row r="200" spans="1:18" x14ac:dyDescent="0.25">
      <c r="A200">
        <v>109</v>
      </c>
      <c r="B200" s="2">
        <v>45039</v>
      </c>
      <c r="C200">
        <v>4</v>
      </c>
      <c r="D200">
        <v>2023</v>
      </c>
      <c r="E200" t="s">
        <v>28</v>
      </c>
      <c r="F200" t="s">
        <v>29</v>
      </c>
      <c r="G200" t="s">
        <v>24</v>
      </c>
      <c r="H200">
        <v>52</v>
      </c>
      <c r="I200" t="s">
        <v>52</v>
      </c>
      <c r="J200">
        <v>8345</v>
      </c>
      <c r="K200">
        <v>100140</v>
      </c>
      <c r="L200">
        <v>8</v>
      </c>
      <c r="M200" t="s">
        <v>50</v>
      </c>
      <c r="N200">
        <v>3</v>
      </c>
      <c r="O200" t="s">
        <v>55</v>
      </c>
      <c r="P200" t="s">
        <v>15</v>
      </c>
      <c r="Q200" t="s">
        <v>32</v>
      </c>
      <c r="R200" t="s">
        <v>25</v>
      </c>
    </row>
    <row r="201" spans="1:18" x14ac:dyDescent="0.25">
      <c r="A201">
        <v>111</v>
      </c>
      <c r="B201" s="2">
        <v>44430</v>
      </c>
      <c r="C201">
        <v>8</v>
      </c>
      <c r="D201">
        <v>2021</v>
      </c>
      <c r="E201" t="s">
        <v>30</v>
      </c>
      <c r="F201" t="s">
        <v>38</v>
      </c>
      <c r="G201" t="s">
        <v>14</v>
      </c>
      <c r="H201">
        <v>38</v>
      </c>
      <c r="I201" t="s">
        <v>49</v>
      </c>
      <c r="J201">
        <v>17026</v>
      </c>
      <c r="K201">
        <v>204312</v>
      </c>
      <c r="L201">
        <v>11</v>
      </c>
      <c r="M201" t="s">
        <v>50</v>
      </c>
      <c r="N201">
        <v>3</v>
      </c>
      <c r="O201" t="s">
        <v>55</v>
      </c>
      <c r="P201" t="s">
        <v>20</v>
      </c>
      <c r="Q201" t="s">
        <v>27</v>
      </c>
      <c r="R201" t="s">
        <v>21</v>
      </c>
    </row>
    <row r="202" spans="1:18" x14ac:dyDescent="0.25">
      <c r="A202">
        <v>120</v>
      </c>
      <c r="B202" s="2">
        <v>41840</v>
      </c>
      <c r="C202">
        <v>7</v>
      </c>
      <c r="D202">
        <v>2014</v>
      </c>
      <c r="E202" t="s">
        <v>12</v>
      </c>
      <c r="F202" t="s">
        <v>13</v>
      </c>
      <c r="G202" t="s">
        <v>14</v>
      </c>
      <c r="H202">
        <v>23</v>
      </c>
      <c r="I202" t="s">
        <v>53</v>
      </c>
      <c r="J202">
        <v>16765</v>
      </c>
      <c r="K202">
        <v>201180</v>
      </c>
      <c r="L202">
        <v>14</v>
      </c>
      <c r="M202" t="s">
        <v>50</v>
      </c>
      <c r="N202">
        <v>3</v>
      </c>
      <c r="O202" t="s">
        <v>55</v>
      </c>
      <c r="P202" t="s">
        <v>20</v>
      </c>
      <c r="Q202" t="s">
        <v>27</v>
      </c>
      <c r="R202" t="s">
        <v>25</v>
      </c>
    </row>
    <row r="203" spans="1:18" x14ac:dyDescent="0.25">
      <c r="A203">
        <v>122</v>
      </c>
      <c r="B203" s="2">
        <v>42697</v>
      </c>
      <c r="C203">
        <v>11</v>
      </c>
      <c r="D203">
        <v>2016</v>
      </c>
      <c r="E203" t="s">
        <v>36</v>
      </c>
      <c r="F203" t="s">
        <v>37</v>
      </c>
      <c r="G203" t="s">
        <v>24</v>
      </c>
      <c r="H203">
        <v>49</v>
      </c>
      <c r="I203" t="s">
        <v>52</v>
      </c>
      <c r="J203">
        <v>12471</v>
      </c>
      <c r="K203">
        <v>149652</v>
      </c>
      <c r="L203">
        <v>10</v>
      </c>
      <c r="M203" t="s">
        <v>50</v>
      </c>
      <c r="N203">
        <v>3</v>
      </c>
      <c r="O203" t="s">
        <v>55</v>
      </c>
      <c r="P203" t="s">
        <v>15</v>
      </c>
      <c r="Q203" t="s">
        <v>16</v>
      </c>
      <c r="R203" t="s">
        <v>21</v>
      </c>
    </row>
    <row r="204" spans="1:18" x14ac:dyDescent="0.25">
      <c r="A204">
        <v>124</v>
      </c>
      <c r="B204" s="2">
        <v>43817</v>
      </c>
      <c r="C204">
        <v>12</v>
      </c>
      <c r="D204">
        <v>2019</v>
      </c>
      <c r="E204" t="s">
        <v>22</v>
      </c>
      <c r="F204" t="s">
        <v>35</v>
      </c>
      <c r="G204" t="s">
        <v>24</v>
      </c>
      <c r="H204">
        <v>22</v>
      </c>
      <c r="I204" t="s">
        <v>53</v>
      </c>
      <c r="J204">
        <v>17819</v>
      </c>
      <c r="K204">
        <v>213828</v>
      </c>
      <c r="L204">
        <v>8</v>
      </c>
      <c r="M204" t="s">
        <v>50</v>
      </c>
      <c r="N204">
        <v>3</v>
      </c>
      <c r="O204" t="s">
        <v>55</v>
      </c>
      <c r="P204" t="s">
        <v>15</v>
      </c>
      <c r="Q204" t="s">
        <v>16</v>
      </c>
      <c r="R204" t="s">
        <v>17</v>
      </c>
    </row>
    <row r="205" spans="1:18" x14ac:dyDescent="0.25">
      <c r="A205">
        <v>136</v>
      </c>
      <c r="B205" s="2">
        <v>41456</v>
      </c>
      <c r="C205">
        <v>7</v>
      </c>
      <c r="D205">
        <v>2013</v>
      </c>
      <c r="E205" t="s">
        <v>18</v>
      </c>
      <c r="F205" t="s">
        <v>19</v>
      </c>
      <c r="G205" t="s">
        <v>24</v>
      </c>
      <c r="H205">
        <v>51</v>
      </c>
      <c r="I205" t="s">
        <v>52</v>
      </c>
      <c r="J205">
        <v>4966</v>
      </c>
      <c r="K205">
        <v>59592</v>
      </c>
      <c r="L205">
        <v>10</v>
      </c>
      <c r="M205" t="s">
        <v>50</v>
      </c>
      <c r="N205">
        <v>3</v>
      </c>
      <c r="O205" t="s">
        <v>55</v>
      </c>
      <c r="P205" t="s">
        <v>15</v>
      </c>
      <c r="Q205" t="s">
        <v>27</v>
      </c>
      <c r="R205" t="s">
        <v>34</v>
      </c>
    </row>
    <row r="206" spans="1:18" x14ac:dyDescent="0.25">
      <c r="A206">
        <v>143</v>
      </c>
      <c r="B206" s="2">
        <v>44899</v>
      </c>
      <c r="C206">
        <v>12</v>
      </c>
      <c r="D206">
        <v>2022</v>
      </c>
      <c r="E206" t="s">
        <v>36</v>
      </c>
      <c r="F206" t="s">
        <v>42</v>
      </c>
      <c r="G206" t="s">
        <v>24</v>
      </c>
      <c r="H206">
        <v>43</v>
      </c>
      <c r="I206" t="s">
        <v>49</v>
      </c>
      <c r="J206">
        <v>17122</v>
      </c>
      <c r="K206">
        <v>205464</v>
      </c>
      <c r="L206">
        <v>12</v>
      </c>
      <c r="M206" t="s">
        <v>50</v>
      </c>
      <c r="N206">
        <v>3</v>
      </c>
      <c r="O206" t="s">
        <v>55</v>
      </c>
      <c r="P206" t="s">
        <v>20</v>
      </c>
      <c r="Q206" t="s">
        <v>32</v>
      </c>
      <c r="R206" t="s">
        <v>39</v>
      </c>
    </row>
    <row r="207" spans="1:18" x14ac:dyDescent="0.25">
      <c r="A207">
        <v>152</v>
      </c>
      <c r="B207" s="2">
        <v>45109</v>
      </c>
      <c r="C207">
        <v>7</v>
      </c>
      <c r="D207">
        <v>2023</v>
      </c>
      <c r="E207" t="s">
        <v>18</v>
      </c>
      <c r="F207" t="s">
        <v>26</v>
      </c>
      <c r="G207" t="s">
        <v>24</v>
      </c>
      <c r="H207">
        <v>45</v>
      </c>
      <c r="I207" t="s">
        <v>49</v>
      </c>
      <c r="J207">
        <v>14729</v>
      </c>
      <c r="K207">
        <v>176748</v>
      </c>
      <c r="L207">
        <v>12</v>
      </c>
      <c r="M207" t="s">
        <v>50</v>
      </c>
      <c r="N207">
        <v>3</v>
      </c>
      <c r="O207" t="s">
        <v>55</v>
      </c>
      <c r="P207" t="s">
        <v>15</v>
      </c>
      <c r="Q207" t="s">
        <v>27</v>
      </c>
      <c r="R207" t="s">
        <v>39</v>
      </c>
    </row>
    <row r="208" spans="1:18" x14ac:dyDescent="0.25">
      <c r="A208">
        <v>178</v>
      </c>
      <c r="B208" s="2">
        <v>44795</v>
      </c>
      <c r="C208">
        <v>8</v>
      </c>
      <c r="D208">
        <v>2022</v>
      </c>
      <c r="E208" t="s">
        <v>12</v>
      </c>
      <c r="F208" t="s">
        <v>41</v>
      </c>
      <c r="G208" t="s">
        <v>14</v>
      </c>
      <c r="H208">
        <v>42</v>
      </c>
      <c r="I208" t="s">
        <v>49</v>
      </c>
      <c r="J208">
        <v>14590</v>
      </c>
      <c r="K208">
        <v>175080</v>
      </c>
      <c r="L208">
        <v>9</v>
      </c>
      <c r="M208" t="s">
        <v>50</v>
      </c>
      <c r="N208">
        <v>3</v>
      </c>
      <c r="O208" t="s">
        <v>55</v>
      </c>
      <c r="P208" t="s">
        <v>15</v>
      </c>
      <c r="Q208" t="s">
        <v>16</v>
      </c>
      <c r="R208" t="s">
        <v>21</v>
      </c>
    </row>
    <row r="209" spans="1:18" x14ac:dyDescent="0.25">
      <c r="A209">
        <v>194</v>
      </c>
      <c r="B209" s="2">
        <v>43209</v>
      </c>
      <c r="C209">
        <v>4</v>
      </c>
      <c r="D209">
        <v>2018</v>
      </c>
      <c r="E209" t="s">
        <v>30</v>
      </c>
      <c r="F209" t="s">
        <v>31</v>
      </c>
      <c r="G209" t="s">
        <v>24</v>
      </c>
      <c r="H209">
        <v>38</v>
      </c>
      <c r="I209" t="s">
        <v>49</v>
      </c>
      <c r="J209">
        <v>6717</v>
      </c>
      <c r="K209">
        <v>80604</v>
      </c>
      <c r="L209">
        <v>12</v>
      </c>
      <c r="M209" t="s">
        <v>50</v>
      </c>
      <c r="N209">
        <v>3</v>
      </c>
      <c r="O209" t="s">
        <v>55</v>
      </c>
      <c r="P209" t="s">
        <v>20</v>
      </c>
      <c r="Q209" t="s">
        <v>27</v>
      </c>
      <c r="R209" t="s">
        <v>39</v>
      </c>
    </row>
    <row r="210" spans="1:18" x14ac:dyDescent="0.25">
      <c r="A210">
        <v>196</v>
      </c>
      <c r="B210" s="2">
        <v>43020</v>
      </c>
      <c r="C210">
        <v>10</v>
      </c>
      <c r="D210">
        <v>2017</v>
      </c>
      <c r="E210" t="s">
        <v>36</v>
      </c>
      <c r="F210" t="s">
        <v>42</v>
      </c>
      <c r="G210" t="s">
        <v>24</v>
      </c>
      <c r="H210">
        <v>37</v>
      </c>
      <c r="I210" t="s">
        <v>49</v>
      </c>
      <c r="J210">
        <v>10907</v>
      </c>
      <c r="K210">
        <v>130884</v>
      </c>
      <c r="L210">
        <v>8</v>
      </c>
      <c r="M210" t="s">
        <v>50</v>
      </c>
      <c r="N210">
        <v>3</v>
      </c>
      <c r="O210" t="s">
        <v>55</v>
      </c>
      <c r="P210" t="s">
        <v>15</v>
      </c>
      <c r="Q210" t="s">
        <v>32</v>
      </c>
      <c r="R210" t="s">
        <v>39</v>
      </c>
    </row>
    <row r="211" spans="1:18" x14ac:dyDescent="0.25">
      <c r="A211">
        <v>200</v>
      </c>
      <c r="B211" s="2">
        <v>43010</v>
      </c>
      <c r="C211">
        <v>10</v>
      </c>
      <c r="D211">
        <v>2017</v>
      </c>
      <c r="E211" t="s">
        <v>36</v>
      </c>
      <c r="F211" t="s">
        <v>42</v>
      </c>
      <c r="G211" t="s">
        <v>14</v>
      </c>
      <c r="H211">
        <v>56</v>
      </c>
      <c r="I211" t="s">
        <v>52</v>
      </c>
      <c r="J211">
        <v>16313</v>
      </c>
      <c r="K211">
        <v>195756</v>
      </c>
      <c r="L211">
        <v>12</v>
      </c>
      <c r="M211" t="s">
        <v>50</v>
      </c>
      <c r="N211">
        <v>3</v>
      </c>
      <c r="O211" t="s">
        <v>55</v>
      </c>
      <c r="P211" t="s">
        <v>15</v>
      </c>
      <c r="Q211" t="s">
        <v>16</v>
      </c>
      <c r="R211" t="s">
        <v>21</v>
      </c>
    </row>
    <row r="212" spans="1:18" x14ac:dyDescent="0.25">
      <c r="A212">
        <v>204</v>
      </c>
      <c r="B212" s="2">
        <v>44755</v>
      </c>
      <c r="C212">
        <v>7</v>
      </c>
      <c r="D212">
        <v>2022</v>
      </c>
      <c r="E212" t="s">
        <v>28</v>
      </c>
      <c r="F212" t="s">
        <v>29</v>
      </c>
      <c r="G212" t="s">
        <v>14</v>
      </c>
      <c r="H212">
        <v>59</v>
      </c>
      <c r="I212" t="s">
        <v>52</v>
      </c>
      <c r="J212">
        <v>17190</v>
      </c>
      <c r="K212">
        <v>206280</v>
      </c>
      <c r="L212">
        <v>10</v>
      </c>
      <c r="M212" t="s">
        <v>50</v>
      </c>
      <c r="N212">
        <v>3</v>
      </c>
      <c r="O212" t="s">
        <v>55</v>
      </c>
      <c r="P212" t="s">
        <v>15</v>
      </c>
      <c r="Q212" t="s">
        <v>16</v>
      </c>
      <c r="R212" t="s">
        <v>25</v>
      </c>
    </row>
    <row r="213" spans="1:18" x14ac:dyDescent="0.25">
      <c r="A213">
        <v>215</v>
      </c>
      <c r="B213" s="2">
        <v>43396</v>
      </c>
      <c r="C213">
        <v>10</v>
      </c>
      <c r="D213">
        <v>2018</v>
      </c>
      <c r="E213" t="s">
        <v>18</v>
      </c>
      <c r="F213" t="s">
        <v>19</v>
      </c>
      <c r="G213" t="s">
        <v>14</v>
      </c>
      <c r="H213">
        <v>35</v>
      </c>
      <c r="I213" t="s">
        <v>49</v>
      </c>
      <c r="J213">
        <v>19631</v>
      </c>
      <c r="K213">
        <v>235572</v>
      </c>
      <c r="L213">
        <v>11</v>
      </c>
      <c r="M213" t="s">
        <v>50</v>
      </c>
      <c r="N213">
        <v>3</v>
      </c>
      <c r="O213" t="s">
        <v>55</v>
      </c>
      <c r="P213" t="s">
        <v>20</v>
      </c>
      <c r="Q213" t="s">
        <v>27</v>
      </c>
      <c r="R213" t="s">
        <v>17</v>
      </c>
    </row>
    <row r="214" spans="1:18" x14ac:dyDescent="0.25">
      <c r="A214">
        <v>242</v>
      </c>
      <c r="B214" s="2">
        <v>42291</v>
      </c>
      <c r="C214">
        <v>10</v>
      </c>
      <c r="D214">
        <v>2015</v>
      </c>
      <c r="E214" t="s">
        <v>36</v>
      </c>
      <c r="F214" t="s">
        <v>42</v>
      </c>
      <c r="G214" t="s">
        <v>14</v>
      </c>
      <c r="H214">
        <v>39</v>
      </c>
      <c r="I214" t="s">
        <v>49</v>
      </c>
      <c r="J214">
        <v>4150</v>
      </c>
      <c r="K214">
        <v>49800</v>
      </c>
      <c r="L214">
        <v>13</v>
      </c>
      <c r="M214" t="s">
        <v>50</v>
      </c>
      <c r="N214">
        <v>3</v>
      </c>
      <c r="O214" t="s">
        <v>55</v>
      </c>
      <c r="P214" t="s">
        <v>20</v>
      </c>
      <c r="Q214" t="s">
        <v>16</v>
      </c>
      <c r="R214" t="s">
        <v>34</v>
      </c>
    </row>
    <row r="215" spans="1:18" x14ac:dyDescent="0.25">
      <c r="A215">
        <v>243</v>
      </c>
      <c r="B215" s="2">
        <v>41547</v>
      </c>
      <c r="C215">
        <v>9</v>
      </c>
      <c r="D215">
        <v>2013</v>
      </c>
      <c r="E215" t="s">
        <v>36</v>
      </c>
      <c r="F215" t="s">
        <v>40</v>
      </c>
      <c r="G215" t="s">
        <v>24</v>
      </c>
      <c r="H215">
        <v>44</v>
      </c>
      <c r="I215" t="s">
        <v>49</v>
      </c>
      <c r="J215">
        <v>19019</v>
      </c>
      <c r="K215">
        <v>228228</v>
      </c>
      <c r="L215">
        <v>11</v>
      </c>
      <c r="M215" t="s">
        <v>50</v>
      </c>
      <c r="N215">
        <v>3</v>
      </c>
      <c r="O215" t="s">
        <v>55</v>
      </c>
      <c r="P215" t="s">
        <v>20</v>
      </c>
      <c r="Q215" t="s">
        <v>16</v>
      </c>
      <c r="R215" t="s">
        <v>25</v>
      </c>
    </row>
    <row r="216" spans="1:18" x14ac:dyDescent="0.25">
      <c r="A216">
        <v>244</v>
      </c>
      <c r="B216" s="2">
        <v>42869</v>
      </c>
      <c r="C216">
        <v>5</v>
      </c>
      <c r="D216">
        <v>2017</v>
      </c>
      <c r="E216" t="s">
        <v>28</v>
      </c>
      <c r="F216" t="s">
        <v>33</v>
      </c>
      <c r="G216" t="s">
        <v>14</v>
      </c>
      <c r="H216">
        <v>44</v>
      </c>
      <c r="I216" t="s">
        <v>49</v>
      </c>
      <c r="J216">
        <v>6943</v>
      </c>
      <c r="K216">
        <v>83316</v>
      </c>
      <c r="L216">
        <v>15</v>
      </c>
      <c r="M216" t="s">
        <v>50</v>
      </c>
      <c r="N216">
        <v>3</v>
      </c>
      <c r="O216" t="s">
        <v>55</v>
      </c>
      <c r="P216" t="s">
        <v>20</v>
      </c>
      <c r="Q216" t="s">
        <v>16</v>
      </c>
      <c r="R216" t="s">
        <v>39</v>
      </c>
    </row>
    <row r="217" spans="1:18" x14ac:dyDescent="0.25">
      <c r="A217">
        <v>248</v>
      </c>
      <c r="B217" s="2">
        <v>42418</v>
      </c>
      <c r="C217">
        <v>2</v>
      </c>
      <c r="D217">
        <v>2016</v>
      </c>
      <c r="E217" t="s">
        <v>36</v>
      </c>
      <c r="F217" t="s">
        <v>37</v>
      </c>
      <c r="G217" t="s">
        <v>14</v>
      </c>
      <c r="H217">
        <v>38</v>
      </c>
      <c r="I217" t="s">
        <v>49</v>
      </c>
      <c r="J217">
        <v>6074</v>
      </c>
      <c r="K217">
        <v>72888</v>
      </c>
      <c r="L217">
        <v>10</v>
      </c>
      <c r="M217" t="s">
        <v>50</v>
      </c>
      <c r="N217">
        <v>3</v>
      </c>
      <c r="O217" t="s">
        <v>55</v>
      </c>
      <c r="P217" t="s">
        <v>20</v>
      </c>
      <c r="Q217" t="s">
        <v>32</v>
      </c>
      <c r="R217" t="s">
        <v>39</v>
      </c>
    </row>
    <row r="218" spans="1:18" x14ac:dyDescent="0.25">
      <c r="A218">
        <v>257</v>
      </c>
      <c r="B218" s="2">
        <v>43870</v>
      </c>
      <c r="C218">
        <v>2</v>
      </c>
      <c r="D218">
        <v>2020</v>
      </c>
      <c r="E218" t="s">
        <v>12</v>
      </c>
      <c r="F218" t="s">
        <v>13</v>
      </c>
      <c r="G218" t="s">
        <v>24</v>
      </c>
      <c r="H218">
        <v>31</v>
      </c>
      <c r="I218" t="s">
        <v>49</v>
      </c>
      <c r="J218">
        <v>11061</v>
      </c>
      <c r="K218">
        <v>132732</v>
      </c>
      <c r="L218">
        <v>8</v>
      </c>
      <c r="M218" t="s">
        <v>50</v>
      </c>
      <c r="N218">
        <v>3</v>
      </c>
      <c r="O218" t="s">
        <v>55</v>
      </c>
      <c r="P218" t="s">
        <v>15</v>
      </c>
      <c r="Q218" t="s">
        <v>27</v>
      </c>
      <c r="R218" t="s">
        <v>21</v>
      </c>
    </row>
    <row r="219" spans="1:18" x14ac:dyDescent="0.25">
      <c r="A219">
        <v>279</v>
      </c>
      <c r="B219" s="2">
        <v>45101</v>
      </c>
      <c r="C219">
        <v>6</v>
      </c>
      <c r="D219">
        <v>2023</v>
      </c>
      <c r="E219" t="s">
        <v>22</v>
      </c>
      <c r="F219" t="s">
        <v>23</v>
      </c>
      <c r="G219" t="s">
        <v>14</v>
      </c>
      <c r="H219">
        <v>46</v>
      </c>
      <c r="I219" t="s">
        <v>52</v>
      </c>
      <c r="J219">
        <v>18462</v>
      </c>
      <c r="K219">
        <v>221544</v>
      </c>
      <c r="L219">
        <v>12</v>
      </c>
      <c r="M219" t="s">
        <v>50</v>
      </c>
      <c r="N219">
        <v>3</v>
      </c>
      <c r="O219" t="s">
        <v>55</v>
      </c>
      <c r="P219" t="s">
        <v>15</v>
      </c>
      <c r="Q219" t="s">
        <v>27</v>
      </c>
      <c r="R219" t="s">
        <v>34</v>
      </c>
    </row>
    <row r="220" spans="1:18" x14ac:dyDescent="0.25">
      <c r="A220">
        <v>294</v>
      </c>
      <c r="B220" s="2">
        <v>44358</v>
      </c>
      <c r="C220">
        <v>6</v>
      </c>
      <c r="D220">
        <v>2021</v>
      </c>
      <c r="E220" t="s">
        <v>30</v>
      </c>
      <c r="F220" t="s">
        <v>38</v>
      </c>
      <c r="G220" t="s">
        <v>14</v>
      </c>
      <c r="H220">
        <v>31</v>
      </c>
      <c r="I220" t="s">
        <v>49</v>
      </c>
      <c r="J220">
        <v>8868</v>
      </c>
      <c r="K220">
        <v>106416</v>
      </c>
      <c r="L220">
        <v>8</v>
      </c>
      <c r="M220" t="s">
        <v>50</v>
      </c>
      <c r="N220">
        <v>3</v>
      </c>
      <c r="O220" t="s">
        <v>55</v>
      </c>
      <c r="P220" t="s">
        <v>20</v>
      </c>
      <c r="Q220" t="s">
        <v>32</v>
      </c>
      <c r="R220" t="s">
        <v>21</v>
      </c>
    </row>
    <row r="221" spans="1:18" x14ac:dyDescent="0.25">
      <c r="A221">
        <v>309</v>
      </c>
      <c r="B221" s="2">
        <v>45054</v>
      </c>
      <c r="C221">
        <v>5</v>
      </c>
      <c r="D221">
        <v>2023</v>
      </c>
      <c r="E221" t="s">
        <v>18</v>
      </c>
      <c r="F221" t="s">
        <v>19</v>
      </c>
      <c r="G221" t="s">
        <v>24</v>
      </c>
      <c r="H221">
        <v>59</v>
      </c>
      <c r="I221" t="s">
        <v>52</v>
      </c>
      <c r="J221">
        <v>11547</v>
      </c>
      <c r="K221">
        <v>138564</v>
      </c>
      <c r="L221">
        <v>8</v>
      </c>
      <c r="M221" t="s">
        <v>50</v>
      </c>
      <c r="N221">
        <v>3</v>
      </c>
      <c r="O221" t="s">
        <v>55</v>
      </c>
      <c r="P221" t="s">
        <v>15</v>
      </c>
      <c r="Q221" t="s">
        <v>32</v>
      </c>
      <c r="R221" t="s">
        <v>21</v>
      </c>
    </row>
    <row r="222" spans="1:18" x14ac:dyDescent="0.25">
      <c r="A222">
        <v>336</v>
      </c>
      <c r="B222" s="2">
        <v>42909</v>
      </c>
      <c r="C222">
        <v>6</v>
      </c>
      <c r="D222">
        <v>2017</v>
      </c>
      <c r="E222" t="s">
        <v>18</v>
      </c>
      <c r="F222" t="s">
        <v>26</v>
      </c>
      <c r="G222" t="s">
        <v>24</v>
      </c>
      <c r="H222">
        <v>22</v>
      </c>
      <c r="I222" t="s">
        <v>53</v>
      </c>
      <c r="J222">
        <v>18859</v>
      </c>
      <c r="K222">
        <v>226308</v>
      </c>
      <c r="L222">
        <v>9</v>
      </c>
      <c r="M222" t="s">
        <v>50</v>
      </c>
      <c r="N222">
        <v>3</v>
      </c>
      <c r="O222" t="s">
        <v>55</v>
      </c>
      <c r="P222" t="s">
        <v>15</v>
      </c>
      <c r="Q222" t="s">
        <v>16</v>
      </c>
      <c r="R222" t="s">
        <v>34</v>
      </c>
    </row>
    <row r="223" spans="1:18" x14ac:dyDescent="0.25">
      <c r="A223">
        <v>339</v>
      </c>
      <c r="B223" s="2">
        <v>42521</v>
      </c>
      <c r="C223">
        <v>5</v>
      </c>
      <c r="D223">
        <v>2016</v>
      </c>
      <c r="E223" t="s">
        <v>18</v>
      </c>
      <c r="F223" t="s">
        <v>26</v>
      </c>
      <c r="G223" t="s">
        <v>14</v>
      </c>
      <c r="H223">
        <v>38</v>
      </c>
      <c r="I223" t="s">
        <v>49</v>
      </c>
      <c r="J223">
        <v>19094</v>
      </c>
      <c r="K223">
        <v>229128</v>
      </c>
      <c r="L223">
        <v>12</v>
      </c>
      <c r="M223" t="s">
        <v>50</v>
      </c>
      <c r="N223">
        <v>3</v>
      </c>
      <c r="O223" t="s">
        <v>55</v>
      </c>
      <c r="P223" t="s">
        <v>15</v>
      </c>
      <c r="Q223" t="s">
        <v>32</v>
      </c>
      <c r="R223" t="s">
        <v>34</v>
      </c>
    </row>
    <row r="224" spans="1:18" x14ac:dyDescent="0.25">
      <c r="A224">
        <v>347</v>
      </c>
      <c r="B224" s="2">
        <v>43464</v>
      </c>
      <c r="C224">
        <v>12</v>
      </c>
      <c r="D224">
        <v>2018</v>
      </c>
      <c r="E224" t="s">
        <v>18</v>
      </c>
      <c r="F224" t="s">
        <v>19</v>
      </c>
      <c r="G224" t="s">
        <v>14</v>
      </c>
      <c r="H224">
        <v>24</v>
      </c>
      <c r="I224" t="s">
        <v>53</v>
      </c>
      <c r="J224">
        <v>16436</v>
      </c>
      <c r="K224">
        <v>197232</v>
      </c>
      <c r="L224">
        <v>15</v>
      </c>
      <c r="M224" t="s">
        <v>50</v>
      </c>
      <c r="N224">
        <v>3</v>
      </c>
      <c r="O224" t="s">
        <v>55</v>
      </c>
      <c r="P224" t="s">
        <v>15</v>
      </c>
      <c r="Q224" t="s">
        <v>16</v>
      </c>
      <c r="R224" t="s">
        <v>17</v>
      </c>
    </row>
    <row r="225" spans="1:18" x14ac:dyDescent="0.25">
      <c r="A225">
        <v>392</v>
      </c>
      <c r="B225" s="2">
        <v>41077</v>
      </c>
      <c r="C225">
        <v>6</v>
      </c>
      <c r="D225">
        <v>2012</v>
      </c>
      <c r="E225" t="s">
        <v>22</v>
      </c>
      <c r="F225" t="s">
        <v>23</v>
      </c>
      <c r="G225" t="s">
        <v>24</v>
      </c>
      <c r="H225">
        <v>37</v>
      </c>
      <c r="I225" t="s">
        <v>49</v>
      </c>
      <c r="J225">
        <v>17397</v>
      </c>
      <c r="K225">
        <v>208764</v>
      </c>
      <c r="L225">
        <v>12</v>
      </c>
      <c r="M225" t="s">
        <v>50</v>
      </c>
      <c r="N225">
        <v>3</v>
      </c>
      <c r="O225" t="s">
        <v>55</v>
      </c>
      <c r="P225" t="s">
        <v>15</v>
      </c>
      <c r="Q225" t="s">
        <v>32</v>
      </c>
      <c r="R225" t="s">
        <v>17</v>
      </c>
    </row>
    <row r="226" spans="1:18" x14ac:dyDescent="0.25">
      <c r="A226">
        <v>426</v>
      </c>
      <c r="B226" s="2">
        <v>44670</v>
      </c>
      <c r="C226">
        <v>4</v>
      </c>
      <c r="D226">
        <v>2022</v>
      </c>
      <c r="E226" t="s">
        <v>36</v>
      </c>
      <c r="F226" t="s">
        <v>42</v>
      </c>
      <c r="G226" t="s">
        <v>24</v>
      </c>
      <c r="H226">
        <v>56</v>
      </c>
      <c r="I226" t="s">
        <v>52</v>
      </c>
      <c r="J226">
        <v>8828</v>
      </c>
      <c r="K226">
        <v>105936</v>
      </c>
      <c r="L226">
        <v>12</v>
      </c>
      <c r="M226" t="s">
        <v>50</v>
      </c>
      <c r="N226">
        <v>3</v>
      </c>
      <c r="O226" t="s">
        <v>55</v>
      </c>
      <c r="P226" t="s">
        <v>20</v>
      </c>
      <c r="Q226" t="s">
        <v>16</v>
      </c>
      <c r="R226" t="s">
        <v>34</v>
      </c>
    </row>
    <row r="227" spans="1:18" x14ac:dyDescent="0.25">
      <c r="A227">
        <v>452</v>
      </c>
      <c r="B227" s="2">
        <v>42762</v>
      </c>
      <c r="C227">
        <v>1</v>
      </c>
      <c r="D227">
        <v>2017</v>
      </c>
      <c r="E227" t="s">
        <v>28</v>
      </c>
      <c r="F227" t="s">
        <v>29</v>
      </c>
      <c r="G227" t="s">
        <v>24</v>
      </c>
      <c r="H227">
        <v>39</v>
      </c>
      <c r="I227" t="s">
        <v>49</v>
      </c>
      <c r="J227">
        <v>19926</v>
      </c>
      <c r="K227">
        <v>239112</v>
      </c>
      <c r="L227">
        <v>12</v>
      </c>
      <c r="M227" t="s">
        <v>50</v>
      </c>
      <c r="N227">
        <v>3</v>
      </c>
      <c r="O227" t="s">
        <v>55</v>
      </c>
      <c r="P227" t="s">
        <v>20</v>
      </c>
      <c r="Q227" t="s">
        <v>16</v>
      </c>
      <c r="R227" t="s">
        <v>17</v>
      </c>
    </row>
    <row r="228" spans="1:18" x14ac:dyDescent="0.25">
      <c r="A228">
        <v>493</v>
      </c>
      <c r="B228" s="2">
        <v>41975</v>
      </c>
      <c r="C228">
        <v>12</v>
      </c>
      <c r="D228">
        <v>2014</v>
      </c>
      <c r="E228" t="s">
        <v>12</v>
      </c>
      <c r="F228" t="s">
        <v>41</v>
      </c>
      <c r="G228" t="s">
        <v>24</v>
      </c>
      <c r="H228">
        <v>51</v>
      </c>
      <c r="I228" t="s">
        <v>52</v>
      </c>
      <c r="J228">
        <v>8623</v>
      </c>
      <c r="K228">
        <v>103476</v>
      </c>
      <c r="L228">
        <v>8</v>
      </c>
      <c r="M228" t="s">
        <v>50</v>
      </c>
      <c r="N228">
        <v>3</v>
      </c>
      <c r="O228" t="s">
        <v>55</v>
      </c>
      <c r="P228" t="s">
        <v>15</v>
      </c>
      <c r="Q228" t="s">
        <v>16</v>
      </c>
      <c r="R228" t="s">
        <v>34</v>
      </c>
    </row>
    <row r="229" spans="1:18" x14ac:dyDescent="0.25">
      <c r="A229">
        <v>495</v>
      </c>
      <c r="B229" s="2">
        <v>43227</v>
      </c>
      <c r="C229">
        <v>5</v>
      </c>
      <c r="D229">
        <v>2018</v>
      </c>
      <c r="E229" t="s">
        <v>12</v>
      </c>
      <c r="F229" t="s">
        <v>13</v>
      </c>
      <c r="G229" t="s">
        <v>14</v>
      </c>
      <c r="H229">
        <v>31</v>
      </c>
      <c r="I229" t="s">
        <v>49</v>
      </c>
      <c r="J229">
        <v>12263</v>
      </c>
      <c r="K229">
        <v>147156</v>
      </c>
      <c r="L229">
        <v>8</v>
      </c>
      <c r="M229" t="s">
        <v>50</v>
      </c>
      <c r="N229">
        <v>3</v>
      </c>
      <c r="O229" t="s">
        <v>55</v>
      </c>
      <c r="P229" t="s">
        <v>15</v>
      </c>
      <c r="Q229" t="s">
        <v>16</v>
      </c>
      <c r="R229" t="s">
        <v>34</v>
      </c>
    </row>
    <row r="230" spans="1:18" x14ac:dyDescent="0.25">
      <c r="A230">
        <v>1</v>
      </c>
      <c r="B230" s="2">
        <v>42198</v>
      </c>
      <c r="C230">
        <v>7</v>
      </c>
      <c r="D230">
        <v>2015</v>
      </c>
      <c r="E230" t="s">
        <v>12</v>
      </c>
      <c r="F230" t="s">
        <v>13</v>
      </c>
      <c r="G230" t="s">
        <v>14</v>
      </c>
      <c r="H230">
        <v>22</v>
      </c>
      <c r="I230" t="s">
        <v>53</v>
      </c>
      <c r="J230">
        <v>16057</v>
      </c>
      <c r="K230">
        <v>192684</v>
      </c>
      <c r="L230">
        <v>7</v>
      </c>
      <c r="M230" t="s">
        <v>56</v>
      </c>
      <c r="N230">
        <v>1</v>
      </c>
      <c r="O230" t="s">
        <v>51</v>
      </c>
      <c r="P230" t="s">
        <v>15</v>
      </c>
      <c r="Q230" t="s">
        <v>16</v>
      </c>
      <c r="R230" t="s">
        <v>17</v>
      </c>
    </row>
    <row r="231" spans="1:18" x14ac:dyDescent="0.25">
      <c r="A231">
        <v>3</v>
      </c>
      <c r="B231" s="2">
        <v>41974</v>
      </c>
      <c r="C231">
        <v>12</v>
      </c>
      <c r="D231">
        <v>2014</v>
      </c>
      <c r="E231" t="s">
        <v>22</v>
      </c>
      <c r="F231" t="s">
        <v>23</v>
      </c>
      <c r="G231" t="s">
        <v>24</v>
      </c>
      <c r="H231">
        <v>23</v>
      </c>
      <c r="I231" t="s">
        <v>53</v>
      </c>
      <c r="J231">
        <v>8731</v>
      </c>
      <c r="K231">
        <v>104772</v>
      </c>
      <c r="L231">
        <v>4</v>
      </c>
      <c r="M231" t="s">
        <v>56</v>
      </c>
      <c r="N231">
        <v>4</v>
      </c>
      <c r="O231" t="s">
        <v>54</v>
      </c>
      <c r="P231" t="s">
        <v>15</v>
      </c>
      <c r="Q231" t="s">
        <v>16</v>
      </c>
      <c r="R231" t="s">
        <v>25</v>
      </c>
    </row>
    <row r="232" spans="1:18" x14ac:dyDescent="0.25">
      <c r="A232">
        <v>4</v>
      </c>
      <c r="B232" s="2">
        <v>43340</v>
      </c>
      <c r="C232">
        <v>8</v>
      </c>
      <c r="D232">
        <v>2018</v>
      </c>
      <c r="E232" t="s">
        <v>18</v>
      </c>
      <c r="F232" t="s">
        <v>26</v>
      </c>
      <c r="G232" t="s">
        <v>24</v>
      </c>
      <c r="H232">
        <v>26</v>
      </c>
      <c r="I232" t="s">
        <v>53</v>
      </c>
      <c r="J232">
        <v>11380</v>
      </c>
      <c r="K232">
        <v>136560</v>
      </c>
      <c r="L232">
        <v>5</v>
      </c>
      <c r="M232" t="s">
        <v>56</v>
      </c>
      <c r="N232">
        <v>2</v>
      </c>
      <c r="O232" t="s">
        <v>51</v>
      </c>
      <c r="P232" t="s">
        <v>15</v>
      </c>
      <c r="Q232" t="s">
        <v>27</v>
      </c>
      <c r="R232" t="s">
        <v>17</v>
      </c>
    </row>
    <row r="233" spans="1:18" x14ac:dyDescent="0.25">
      <c r="A233">
        <v>6</v>
      </c>
      <c r="B233" s="2">
        <v>44548</v>
      </c>
      <c r="C233">
        <v>12</v>
      </c>
      <c r="D233">
        <v>2021</v>
      </c>
      <c r="E233" t="s">
        <v>30</v>
      </c>
      <c r="F233" t="s">
        <v>31</v>
      </c>
      <c r="G233" t="s">
        <v>24</v>
      </c>
      <c r="H233">
        <v>54</v>
      </c>
      <c r="I233" t="s">
        <v>52</v>
      </c>
      <c r="J233">
        <v>12162</v>
      </c>
      <c r="K233">
        <v>145944</v>
      </c>
      <c r="L233">
        <v>4</v>
      </c>
      <c r="M233" t="s">
        <v>56</v>
      </c>
      <c r="N233">
        <v>1</v>
      </c>
      <c r="O233" t="s">
        <v>51</v>
      </c>
      <c r="P233" t="s">
        <v>20</v>
      </c>
      <c r="Q233" t="s">
        <v>32</v>
      </c>
      <c r="R233" t="s">
        <v>17</v>
      </c>
    </row>
    <row r="234" spans="1:18" x14ac:dyDescent="0.25">
      <c r="A234">
        <v>13</v>
      </c>
      <c r="B234" s="2">
        <v>43330</v>
      </c>
      <c r="C234">
        <v>8</v>
      </c>
      <c r="D234">
        <v>2018</v>
      </c>
      <c r="E234" t="s">
        <v>18</v>
      </c>
      <c r="F234" t="s">
        <v>26</v>
      </c>
      <c r="G234" t="s">
        <v>14</v>
      </c>
      <c r="H234">
        <v>42</v>
      </c>
      <c r="I234" t="s">
        <v>49</v>
      </c>
      <c r="J234">
        <v>12305</v>
      </c>
      <c r="K234">
        <v>147660</v>
      </c>
      <c r="L234">
        <v>3</v>
      </c>
      <c r="M234" t="s">
        <v>56</v>
      </c>
      <c r="N234">
        <v>4</v>
      </c>
      <c r="O234" t="s">
        <v>54</v>
      </c>
      <c r="P234" t="s">
        <v>15</v>
      </c>
      <c r="Q234" t="s">
        <v>32</v>
      </c>
      <c r="R234" t="s">
        <v>25</v>
      </c>
    </row>
    <row r="235" spans="1:18" x14ac:dyDescent="0.25">
      <c r="A235">
        <v>18</v>
      </c>
      <c r="B235" s="2">
        <v>44236</v>
      </c>
      <c r="C235">
        <v>2</v>
      </c>
      <c r="D235">
        <v>2021</v>
      </c>
      <c r="E235" t="s">
        <v>30</v>
      </c>
      <c r="F235" t="s">
        <v>38</v>
      </c>
      <c r="G235" t="s">
        <v>24</v>
      </c>
      <c r="H235">
        <v>37</v>
      </c>
      <c r="I235" t="s">
        <v>49</v>
      </c>
      <c r="J235">
        <v>12562</v>
      </c>
      <c r="K235">
        <v>150744</v>
      </c>
      <c r="L235">
        <v>5</v>
      </c>
      <c r="M235" t="s">
        <v>56</v>
      </c>
      <c r="N235">
        <v>4</v>
      </c>
      <c r="O235" t="s">
        <v>54</v>
      </c>
      <c r="P235" t="s">
        <v>20</v>
      </c>
      <c r="Q235" t="s">
        <v>16</v>
      </c>
      <c r="R235" t="s">
        <v>39</v>
      </c>
    </row>
    <row r="236" spans="1:18" x14ac:dyDescent="0.25">
      <c r="A236">
        <v>20</v>
      </c>
      <c r="B236" s="2">
        <v>40757</v>
      </c>
      <c r="C236">
        <v>8</v>
      </c>
      <c r="D236">
        <v>2011</v>
      </c>
      <c r="E236" t="s">
        <v>18</v>
      </c>
      <c r="F236" t="s">
        <v>19</v>
      </c>
      <c r="G236" t="s">
        <v>14</v>
      </c>
      <c r="H236">
        <v>41</v>
      </c>
      <c r="I236" t="s">
        <v>49</v>
      </c>
      <c r="J236">
        <v>9797</v>
      </c>
      <c r="K236">
        <v>117564</v>
      </c>
      <c r="L236">
        <v>3</v>
      </c>
      <c r="M236" t="s">
        <v>56</v>
      </c>
      <c r="N236">
        <v>4</v>
      </c>
      <c r="O236" t="s">
        <v>54</v>
      </c>
      <c r="P236" t="s">
        <v>15</v>
      </c>
      <c r="Q236" t="s">
        <v>16</v>
      </c>
      <c r="R236" t="s">
        <v>39</v>
      </c>
    </row>
    <row r="237" spans="1:18" x14ac:dyDescent="0.25">
      <c r="A237">
        <v>22</v>
      </c>
      <c r="B237" s="2">
        <v>44016</v>
      </c>
      <c r="C237">
        <v>7</v>
      </c>
      <c r="D237">
        <v>2020</v>
      </c>
      <c r="E237" t="s">
        <v>18</v>
      </c>
      <c r="F237" t="s">
        <v>19</v>
      </c>
      <c r="G237" t="s">
        <v>24</v>
      </c>
      <c r="H237">
        <v>44</v>
      </c>
      <c r="I237" t="s">
        <v>49</v>
      </c>
      <c r="J237">
        <v>9208</v>
      </c>
      <c r="K237">
        <v>110496</v>
      </c>
      <c r="L237">
        <v>5</v>
      </c>
      <c r="M237" t="s">
        <v>56</v>
      </c>
      <c r="N237">
        <v>5</v>
      </c>
      <c r="O237" t="s">
        <v>54</v>
      </c>
      <c r="P237" t="s">
        <v>20</v>
      </c>
      <c r="Q237" t="s">
        <v>16</v>
      </c>
      <c r="R237" t="s">
        <v>21</v>
      </c>
    </row>
    <row r="238" spans="1:18" x14ac:dyDescent="0.25">
      <c r="A238">
        <v>27</v>
      </c>
      <c r="B238" s="2">
        <v>44154</v>
      </c>
      <c r="C238">
        <v>11</v>
      </c>
      <c r="D238">
        <v>2020</v>
      </c>
      <c r="E238" t="s">
        <v>22</v>
      </c>
      <c r="F238" t="s">
        <v>23</v>
      </c>
      <c r="G238" t="s">
        <v>24</v>
      </c>
      <c r="H238">
        <v>36</v>
      </c>
      <c r="I238" t="s">
        <v>49</v>
      </c>
      <c r="J238">
        <v>10809</v>
      </c>
      <c r="K238">
        <v>129708</v>
      </c>
      <c r="L238">
        <v>4</v>
      </c>
      <c r="M238" t="s">
        <v>56</v>
      </c>
      <c r="N238">
        <v>4</v>
      </c>
      <c r="O238" t="s">
        <v>54</v>
      </c>
      <c r="P238" t="s">
        <v>20</v>
      </c>
      <c r="Q238" t="s">
        <v>16</v>
      </c>
      <c r="R238" t="s">
        <v>39</v>
      </c>
    </row>
    <row r="239" spans="1:18" x14ac:dyDescent="0.25">
      <c r="A239">
        <v>31</v>
      </c>
      <c r="B239" s="2">
        <v>40875</v>
      </c>
      <c r="C239">
        <v>11</v>
      </c>
      <c r="D239">
        <v>2011</v>
      </c>
      <c r="E239" t="s">
        <v>28</v>
      </c>
      <c r="F239" t="s">
        <v>29</v>
      </c>
      <c r="G239" t="s">
        <v>14</v>
      </c>
      <c r="H239">
        <v>37</v>
      </c>
      <c r="I239" t="s">
        <v>49</v>
      </c>
      <c r="J239">
        <v>13888</v>
      </c>
      <c r="K239">
        <v>166656</v>
      </c>
      <c r="L239">
        <v>7</v>
      </c>
      <c r="M239" t="s">
        <v>56</v>
      </c>
      <c r="N239">
        <v>3</v>
      </c>
      <c r="O239" t="s">
        <v>55</v>
      </c>
      <c r="P239" t="s">
        <v>20</v>
      </c>
      <c r="Q239" t="s">
        <v>32</v>
      </c>
      <c r="R239" t="s">
        <v>39</v>
      </c>
    </row>
    <row r="240" spans="1:18" x14ac:dyDescent="0.25">
      <c r="A240">
        <v>34</v>
      </c>
      <c r="B240" s="2">
        <v>44531</v>
      </c>
      <c r="C240">
        <v>12</v>
      </c>
      <c r="D240">
        <v>2021</v>
      </c>
      <c r="E240" t="s">
        <v>36</v>
      </c>
      <c r="F240" t="s">
        <v>40</v>
      </c>
      <c r="G240" t="s">
        <v>14</v>
      </c>
      <c r="H240">
        <v>46</v>
      </c>
      <c r="I240" t="s">
        <v>52</v>
      </c>
      <c r="J240">
        <v>17399</v>
      </c>
      <c r="K240">
        <v>208788</v>
      </c>
      <c r="L240">
        <v>6</v>
      </c>
      <c r="M240" t="s">
        <v>56</v>
      </c>
      <c r="N240">
        <v>5</v>
      </c>
      <c r="O240" t="s">
        <v>54</v>
      </c>
      <c r="P240" t="s">
        <v>15</v>
      </c>
      <c r="Q240" t="s">
        <v>16</v>
      </c>
      <c r="R240" t="s">
        <v>25</v>
      </c>
    </row>
    <row r="241" spans="1:18" x14ac:dyDescent="0.25">
      <c r="A241">
        <v>35</v>
      </c>
      <c r="B241" s="2">
        <v>41726</v>
      </c>
      <c r="C241">
        <v>3</v>
      </c>
      <c r="D241">
        <v>2014</v>
      </c>
      <c r="E241" t="s">
        <v>18</v>
      </c>
      <c r="F241" t="s">
        <v>19</v>
      </c>
      <c r="G241" t="s">
        <v>24</v>
      </c>
      <c r="H241">
        <v>26</v>
      </c>
      <c r="I241" t="s">
        <v>53</v>
      </c>
      <c r="J241">
        <v>13262</v>
      </c>
      <c r="K241">
        <v>159144</v>
      </c>
      <c r="L241">
        <v>3</v>
      </c>
      <c r="M241" t="s">
        <v>56</v>
      </c>
      <c r="N241">
        <v>4</v>
      </c>
      <c r="O241" t="s">
        <v>54</v>
      </c>
      <c r="P241" t="s">
        <v>20</v>
      </c>
      <c r="Q241" t="s">
        <v>32</v>
      </c>
      <c r="R241" t="s">
        <v>17</v>
      </c>
    </row>
    <row r="242" spans="1:18" x14ac:dyDescent="0.25">
      <c r="A242">
        <v>39</v>
      </c>
      <c r="B242" s="2">
        <v>42362</v>
      </c>
      <c r="C242">
        <v>12</v>
      </c>
      <c r="D242">
        <v>2015</v>
      </c>
      <c r="E242" t="s">
        <v>30</v>
      </c>
      <c r="F242" t="s">
        <v>31</v>
      </c>
      <c r="G242" t="s">
        <v>24</v>
      </c>
      <c r="H242">
        <v>37</v>
      </c>
      <c r="I242" t="s">
        <v>49</v>
      </c>
      <c r="J242">
        <v>8738</v>
      </c>
      <c r="K242">
        <v>104856</v>
      </c>
      <c r="L242">
        <v>4</v>
      </c>
      <c r="M242" t="s">
        <v>56</v>
      </c>
      <c r="N242">
        <v>5</v>
      </c>
      <c r="O242" t="s">
        <v>54</v>
      </c>
      <c r="P242" t="s">
        <v>20</v>
      </c>
      <c r="Q242" t="s">
        <v>27</v>
      </c>
      <c r="R242" t="s">
        <v>21</v>
      </c>
    </row>
    <row r="243" spans="1:18" x14ac:dyDescent="0.25">
      <c r="A243">
        <v>40</v>
      </c>
      <c r="B243" s="2">
        <v>44252</v>
      </c>
      <c r="C243">
        <v>2</v>
      </c>
      <c r="D243">
        <v>2021</v>
      </c>
      <c r="E243" t="s">
        <v>36</v>
      </c>
      <c r="F243" t="s">
        <v>37</v>
      </c>
      <c r="G243" t="s">
        <v>14</v>
      </c>
      <c r="H243">
        <v>58</v>
      </c>
      <c r="I243" t="s">
        <v>52</v>
      </c>
      <c r="J243">
        <v>5742</v>
      </c>
      <c r="K243">
        <v>68904</v>
      </c>
      <c r="L243">
        <v>6</v>
      </c>
      <c r="M243" t="s">
        <v>56</v>
      </c>
      <c r="N243">
        <v>5</v>
      </c>
      <c r="O243" t="s">
        <v>54</v>
      </c>
      <c r="P243" t="s">
        <v>15</v>
      </c>
      <c r="Q243" t="s">
        <v>16</v>
      </c>
      <c r="R243" t="s">
        <v>17</v>
      </c>
    </row>
    <row r="244" spans="1:18" x14ac:dyDescent="0.25">
      <c r="A244">
        <v>41</v>
      </c>
      <c r="B244" s="2">
        <v>43587</v>
      </c>
      <c r="C244">
        <v>5</v>
      </c>
      <c r="D244">
        <v>2019</v>
      </c>
      <c r="E244" t="s">
        <v>28</v>
      </c>
      <c r="F244" t="s">
        <v>29</v>
      </c>
      <c r="G244" t="s">
        <v>14</v>
      </c>
      <c r="H244">
        <v>27</v>
      </c>
      <c r="I244" t="s">
        <v>53</v>
      </c>
      <c r="J244">
        <v>15101</v>
      </c>
      <c r="K244">
        <v>181212</v>
      </c>
      <c r="L244">
        <v>5</v>
      </c>
      <c r="M244" t="s">
        <v>56</v>
      </c>
      <c r="N244">
        <v>2</v>
      </c>
      <c r="O244" t="s">
        <v>51</v>
      </c>
      <c r="P244" t="s">
        <v>20</v>
      </c>
      <c r="Q244" t="s">
        <v>27</v>
      </c>
      <c r="R244" t="s">
        <v>21</v>
      </c>
    </row>
    <row r="245" spans="1:18" x14ac:dyDescent="0.25">
      <c r="A245">
        <v>47</v>
      </c>
      <c r="B245" s="2">
        <v>42417</v>
      </c>
      <c r="C245">
        <v>2</v>
      </c>
      <c r="D245">
        <v>2016</v>
      </c>
      <c r="E245" t="s">
        <v>36</v>
      </c>
      <c r="F245" t="s">
        <v>42</v>
      </c>
      <c r="G245" t="s">
        <v>14</v>
      </c>
      <c r="H245">
        <v>23</v>
      </c>
      <c r="I245" t="s">
        <v>53</v>
      </c>
      <c r="J245">
        <v>16048</v>
      </c>
      <c r="K245">
        <v>192576</v>
      </c>
      <c r="L245">
        <v>6</v>
      </c>
      <c r="M245" t="s">
        <v>56</v>
      </c>
      <c r="N245">
        <v>4</v>
      </c>
      <c r="O245" t="s">
        <v>54</v>
      </c>
      <c r="P245" t="s">
        <v>15</v>
      </c>
      <c r="Q245" t="s">
        <v>16</v>
      </c>
      <c r="R245" t="s">
        <v>34</v>
      </c>
    </row>
    <row r="246" spans="1:18" x14ac:dyDescent="0.25">
      <c r="A246">
        <v>48</v>
      </c>
      <c r="B246" s="2">
        <v>42611</v>
      </c>
      <c r="C246">
        <v>8</v>
      </c>
      <c r="D246">
        <v>2016</v>
      </c>
      <c r="E246" t="s">
        <v>12</v>
      </c>
      <c r="F246" t="s">
        <v>13</v>
      </c>
      <c r="G246" t="s">
        <v>14</v>
      </c>
      <c r="H246">
        <v>50</v>
      </c>
      <c r="I246" t="s">
        <v>52</v>
      </c>
      <c r="J246">
        <v>12469</v>
      </c>
      <c r="K246">
        <v>149628</v>
      </c>
      <c r="L246">
        <v>4</v>
      </c>
      <c r="M246" t="s">
        <v>56</v>
      </c>
      <c r="N246">
        <v>3</v>
      </c>
      <c r="O246" t="s">
        <v>55</v>
      </c>
      <c r="P246" t="s">
        <v>20</v>
      </c>
      <c r="Q246" t="s">
        <v>27</v>
      </c>
      <c r="R246" t="s">
        <v>34</v>
      </c>
    </row>
    <row r="247" spans="1:18" x14ac:dyDescent="0.25">
      <c r="A247">
        <v>51</v>
      </c>
      <c r="B247" s="2">
        <v>44401</v>
      </c>
      <c r="C247">
        <v>7</v>
      </c>
      <c r="D247">
        <v>2021</v>
      </c>
      <c r="E247" t="s">
        <v>12</v>
      </c>
      <c r="F247" t="s">
        <v>13</v>
      </c>
      <c r="G247" t="s">
        <v>24</v>
      </c>
      <c r="H247">
        <v>28</v>
      </c>
      <c r="I247" t="s">
        <v>53</v>
      </c>
      <c r="J247">
        <v>19918</v>
      </c>
      <c r="K247">
        <v>239016</v>
      </c>
      <c r="L247">
        <v>3</v>
      </c>
      <c r="M247" t="s">
        <v>56</v>
      </c>
      <c r="N247">
        <v>1</v>
      </c>
      <c r="O247" t="s">
        <v>51</v>
      </c>
      <c r="P247" t="s">
        <v>20</v>
      </c>
      <c r="Q247" t="s">
        <v>27</v>
      </c>
      <c r="R247" t="s">
        <v>34</v>
      </c>
    </row>
    <row r="248" spans="1:18" x14ac:dyDescent="0.25">
      <c r="A248">
        <v>53</v>
      </c>
      <c r="B248" s="2">
        <v>44801</v>
      </c>
      <c r="C248">
        <v>8</v>
      </c>
      <c r="D248">
        <v>2022</v>
      </c>
      <c r="E248" t="s">
        <v>36</v>
      </c>
      <c r="F248" t="s">
        <v>40</v>
      </c>
      <c r="G248" t="s">
        <v>24</v>
      </c>
      <c r="H248">
        <v>45</v>
      </c>
      <c r="I248" t="s">
        <v>49</v>
      </c>
      <c r="J248">
        <v>12063</v>
      </c>
      <c r="K248">
        <v>144756</v>
      </c>
      <c r="L248">
        <v>7</v>
      </c>
      <c r="M248" t="s">
        <v>56</v>
      </c>
      <c r="N248">
        <v>1</v>
      </c>
      <c r="O248" t="s">
        <v>51</v>
      </c>
      <c r="P248" t="s">
        <v>20</v>
      </c>
      <c r="Q248" t="s">
        <v>27</v>
      </c>
      <c r="R248" t="s">
        <v>39</v>
      </c>
    </row>
    <row r="249" spans="1:18" x14ac:dyDescent="0.25">
      <c r="A249">
        <v>54</v>
      </c>
      <c r="B249" s="2">
        <v>42727</v>
      </c>
      <c r="C249">
        <v>12</v>
      </c>
      <c r="D249">
        <v>2016</v>
      </c>
      <c r="E249" t="s">
        <v>36</v>
      </c>
      <c r="F249" t="s">
        <v>42</v>
      </c>
      <c r="G249" t="s">
        <v>14</v>
      </c>
      <c r="H249">
        <v>26</v>
      </c>
      <c r="I249" t="s">
        <v>53</v>
      </c>
      <c r="J249">
        <v>16096</v>
      </c>
      <c r="K249">
        <v>193152</v>
      </c>
      <c r="L249">
        <v>4</v>
      </c>
      <c r="M249" t="s">
        <v>56</v>
      </c>
      <c r="N249">
        <v>2</v>
      </c>
      <c r="O249" t="s">
        <v>51</v>
      </c>
      <c r="P249" t="s">
        <v>15</v>
      </c>
      <c r="Q249" t="s">
        <v>32</v>
      </c>
      <c r="R249" t="s">
        <v>25</v>
      </c>
    </row>
    <row r="250" spans="1:18" x14ac:dyDescent="0.25">
      <c r="A250">
        <v>57</v>
      </c>
      <c r="B250" s="2">
        <v>44510</v>
      </c>
      <c r="C250">
        <v>11</v>
      </c>
      <c r="D250">
        <v>2021</v>
      </c>
      <c r="E250" t="s">
        <v>18</v>
      </c>
      <c r="F250" t="s">
        <v>26</v>
      </c>
      <c r="G250" t="s">
        <v>14</v>
      </c>
      <c r="H250">
        <v>25</v>
      </c>
      <c r="I250" t="s">
        <v>53</v>
      </c>
      <c r="J250">
        <v>6016</v>
      </c>
      <c r="K250">
        <v>72192</v>
      </c>
      <c r="L250">
        <v>7</v>
      </c>
      <c r="M250" t="s">
        <v>56</v>
      </c>
      <c r="N250">
        <v>3</v>
      </c>
      <c r="O250" t="s">
        <v>55</v>
      </c>
      <c r="P250" t="s">
        <v>15</v>
      </c>
      <c r="Q250" t="s">
        <v>16</v>
      </c>
      <c r="R250" t="s">
        <v>25</v>
      </c>
    </row>
    <row r="251" spans="1:18" x14ac:dyDescent="0.25">
      <c r="A251">
        <v>60</v>
      </c>
      <c r="B251" s="2">
        <v>41096</v>
      </c>
      <c r="C251">
        <v>7</v>
      </c>
      <c r="D251">
        <v>2012</v>
      </c>
      <c r="E251" t="s">
        <v>28</v>
      </c>
      <c r="F251" t="s">
        <v>33</v>
      </c>
      <c r="G251" t="s">
        <v>14</v>
      </c>
      <c r="H251">
        <v>55</v>
      </c>
      <c r="I251" t="s">
        <v>52</v>
      </c>
      <c r="J251">
        <v>5291</v>
      </c>
      <c r="K251">
        <v>63492</v>
      </c>
      <c r="L251">
        <v>4</v>
      </c>
      <c r="M251" t="s">
        <v>56</v>
      </c>
      <c r="N251">
        <v>5</v>
      </c>
      <c r="O251" t="s">
        <v>54</v>
      </c>
      <c r="P251" t="s">
        <v>15</v>
      </c>
      <c r="Q251" t="s">
        <v>16</v>
      </c>
      <c r="R251" t="s">
        <v>21</v>
      </c>
    </row>
    <row r="252" spans="1:18" x14ac:dyDescent="0.25">
      <c r="A252">
        <v>61</v>
      </c>
      <c r="B252" s="2">
        <v>42749</v>
      </c>
      <c r="C252">
        <v>1</v>
      </c>
      <c r="D252">
        <v>2017</v>
      </c>
      <c r="E252" t="s">
        <v>18</v>
      </c>
      <c r="F252" t="s">
        <v>26</v>
      </c>
      <c r="G252" t="s">
        <v>24</v>
      </c>
      <c r="H252">
        <v>25</v>
      </c>
      <c r="I252" t="s">
        <v>53</v>
      </c>
      <c r="J252">
        <v>18870</v>
      </c>
      <c r="K252">
        <v>226440</v>
      </c>
      <c r="L252">
        <v>4</v>
      </c>
      <c r="M252" t="s">
        <v>56</v>
      </c>
      <c r="N252">
        <v>3</v>
      </c>
      <c r="O252" t="s">
        <v>55</v>
      </c>
      <c r="P252" t="s">
        <v>15</v>
      </c>
      <c r="Q252" t="s">
        <v>32</v>
      </c>
      <c r="R252" t="s">
        <v>17</v>
      </c>
    </row>
    <row r="253" spans="1:18" x14ac:dyDescent="0.25">
      <c r="A253">
        <v>63</v>
      </c>
      <c r="B253" s="2">
        <v>43519</v>
      </c>
      <c r="C253">
        <v>2</v>
      </c>
      <c r="D253">
        <v>2019</v>
      </c>
      <c r="E253" t="s">
        <v>36</v>
      </c>
      <c r="F253" t="s">
        <v>37</v>
      </c>
      <c r="G253" t="s">
        <v>14</v>
      </c>
      <c r="H253">
        <v>34</v>
      </c>
      <c r="I253" t="s">
        <v>49</v>
      </c>
      <c r="J253">
        <v>18683</v>
      </c>
      <c r="K253">
        <v>224196</v>
      </c>
      <c r="L253">
        <v>6</v>
      </c>
      <c r="M253" t="s">
        <v>56</v>
      </c>
      <c r="N253">
        <v>5</v>
      </c>
      <c r="O253" t="s">
        <v>54</v>
      </c>
      <c r="P253" t="s">
        <v>15</v>
      </c>
      <c r="Q253" t="s">
        <v>27</v>
      </c>
      <c r="R253" t="s">
        <v>17</v>
      </c>
    </row>
    <row r="254" spans="1:18" x14ac:dyDescent="0.25">
      <c r="A254">
        <v>64</v>
      </c>
      <c r="B254" s="2">
        <v>44161</v>
      </c>
      <c r="C254">
        <v>11</v>
      </c>
      <c r="D254">
        <v>2020</v>
      </c>
      <c r="E254" t="s">
        <v>30</v>
      </c>
      <c r="F254" t="s">
        <v>31</v>
      </c>
      <c r="G254" t="s">
        <v>24</v>
      </c>
      <c r="H254">
        <v>37</v>
      </c>
      <c r="I254" t="s">
        <v>49</v>
      </c>
      <c r="J254">
        <v>16402</v>
      </c>
      <c r="K254">
        <v>196824</v>
      </c>
      <c r="L254">
        <v>5</v>
      </c>
      <c r="M254" t="s">
        <v>56</v>
      </c>
      <c r="N254">
        <v>4</v>
      </c>
      <c r="O254" t="s">
        <v>54</v>
      </c>
      <c r="P254" t="s">
        <v>20</v>
      </c>
      <c r="Q254" t="s">
        <v>27</v>
      </c>
      <c r="R254" t="s">
        <v>17</v>
      </c>
    </row>
    <row r="255" spans="1:18" x14ac:dyDescent="0.25">
      <c r="A255">
        <v>67</v>
      </c>
      <c r="B255" s="2">
        <v>45091</v>
      </c>
      <c r="C255">
        <v>6</v>
      </c>
      <c r="D255">
        <v>2023</v>
      </c>
      <c r="E255" t="s">
        <v>12</v>
      </c>
      <c r="F255" t="s">
        <v>41</v>
      </c>
      <c r="G255" t="s">
        <v>24</v>
      </c>
      <c r="H255">
        <v>32</v>
      </c>
      <c r="I255" t="s">
        <v>49</v>
      </c>
      <c r="J255">
        <v>10689</v>
      </c>
      <c r="K255">
        <v>128268</v>
      </c>
      <c r="L255">
        <v>3</v>
      </c>
      <c r="M255" t="s">
        <v>56</v>
      </c>
      <c r="N255">
        <v>2</v>
      </c>
      <c r="O255" t="s">
        <v>51</v>
      </c>
      <c r="P255" t="s">
        <v>15</v>
      </c>
      <c r="Q255" t="s">
        <v>32</v>
      </c>
      <c r="R255" t="s">
        <v>25</v>
      </c>
    </row>
    <row r="256" spans="1:18" x14ac:dyDescent="0.25">
      <c r="A256">
        <v>69</v>
      </c>
      <c r="B256" s="2">
        <v>42130</v>
      </c>
      <c r="C256">
        <v>5</v>
      </c>
      <c r="D256">
        <v>2015</v>
      </c>
      <c r="E256" t="s">
        <v>28</v>
      </c>
      <c r="F256" t="s">
        <v>33</v>
      </c>
      <c r="G256" t="s">
        <v>14</v>
      </c>
      <c r="H256">
        <v>47</v>
      </c>
      <c r="I256" t="s">
        <v>52</v>
      </c>
      <c r="J256">
        <v>6396</v>
      </c>
      <c r="K256">
        <v>76752</v>
      </c>
      <c r="L256">
        <v>3</v>
      </c>
      <c r="M256" t="s">
        <v>56</v>
      </c>
      <c r="N256">
        <v>4</v>
      </c>
      <c r="O256" t="s">
        <v>54</v>
      </c>
      <c r="P256" t="s">
        <v>15</v>
      </c>
      <c r="Q256" t="s">
        <v>16</v>
      </c>
      <c r="R256" t="s">
        <v>17</v>
      </c>
    </row>
    <row r="257" spans="1:18" x14ac:dyDescent="0.25">
      <c r="A257">
        <v>70</v>
      </c>
      <c r="B257" s="2">
        <v>44657</v>
      </c>
      <c r="C257">
        <v>4</v>
      </c>
      <c r="D257">
        <v>2022</v>
      </c>
      <c r="E257" t="s">
        <v>28</v>
      </c>
      <c r="F257" t="s">
        <v>29</v>
      </c>
      <c r="G257" t="s">
        <v>14</v>
      </c>
      <c r="H257">
        <v>33</v>
      </c>
      <c r="I257" t="s">
        <v>49</v>
      </c>
      <c r="J257">
        <v>7268</v>
      </c>
      <c r="K257">
        <v>87216</v>
      </c>
      <c r="L257">
        <v>5</v>
      </c>
      <c r="M257" t="s">
        <v>56</v>
      </c>
      <c r="N257">
        <v>1</v>
      </c>
      <c r="O257" t="s">
        <v>51</v>
      </c>
      <c r="P257" t="s">
        <v>15</v>
      </c>
      <c r="Q257" t="s">
        <v>32</v>
      </c>
      <c r="R257" t="s">
        <v>39</v>
      </c>
    </row>
    <row r="258" spans="1:18" x14ac:dyDescent="0.25">
      <c r="A258">
        <v>75</v>
      </c>
      <c r="B258" s="2">
        <v>44437</v>
      </c>
      <c r="C258">
        <v>8</v>
      </c>
      <c r="D258">
        <v>2021</v>
      </c>
      <c r="E258" t="s">
        <v>30</v>
      </c>
      <c r="F258" t="s">
        <v>38</v>
      </c>
      <c r="G258" t="s">
        <v>24</v>
      </c>
      <c r="H258">
        <v>47</v>
      </c>
      <c r="I258" t="s">
        <v>52</v>
      </c>
      <c r="J258">
        <v>5086</v>
      </c>
      <c r="K258">
        <v>61032</v>
      </c>
      <c r="L258">
        <v>5</v>
      </c>
      <c r="M258" t="s">
        <v>56</v>
      </c>
      <c r="N258">
        <v>2</v>
      </c>
      <c r="O258" t="s">
        <v>51</v>
      </c>
      <c r="P258" t="s">
        <v>20</v>
      </c>
      <c r="Q258" t="s">
        <v>27</v>
      </c>
      <c r="R258" t="s">
        <v>21</v>
      </c>
    </row>
    <row r="259" spans="1:18" x14ac:dyDescent="0.25">
      <c r="A259">
        <v>78</v>
      </c>
      <c r="B259" s="2">
        <v>41730</v>
      </c>
      <c r="C259">
        <v>4</v>
      </c>
      <c r="D259">
        <v>2014</v>
      </c>
      <c r="E259" t="s">
        <v>22</v>
      </c>
      <c r="F259" t="s">
        <v>23</v>
      </c>
      <c r="G259" t="s">
        <v>24</v>
      </c>
      <c r="H259">
        <v>23</v>
      </c>
      <c r="I259" t="s">
        <v>53</v>
      </c>
      <c r="J259">
        <v>16916</v>
      </c>
      <c r="K259">
        <v>202992</v>
      </c>
      <c r="L259">
        <v>6</v>
      </c>
      <c r="M259" t="s">
        <v>56</v>
      </c>
      <c r="N259">
        <v>2</v>
      </c>
      <c r="O259" t="s">
        <v>51</v>
      </c>
      <c r="P259" t="s">
        <v>20</v>
      </c>
      <c r="Q259" t="s">
        <v>27</v>
      </c>
      <c r="R259" t="s">
        <v>34</v>
      </c>
    </row>
    <row r="260" spans="1:18" x14ac:dyDescent="0.25">
      <c r="A260">
        <v>79</v>
      </c>
      <c r="B260" s="2">
        <v>40689</v>
      </c>
      <c r="C260">
        <v>5</v>
      </c>
      <c r="D260">
        <v>2011</v>
      </c>
      <c r="E260" t="s">
        <v>30</v>
      </c>
      <c r="F260" t="s">
        <v>38</v>
      </c>
      <c r="G260" t="s">
        <v>24</v>
      </c>
      <c r="H260">
        <v>46</v>
      </c>
      <c r="I260" t="s">
        <v>52</v>
      </c>
      <c r="J260">
        <v>13953</v>
      </c>
      <c r="K260">
        <v>167436</v>
      </c>
      <c r="L260">
        <v>7</v>
      </c>
      <c r="M260" t="s">
        <v>56</v>
      </c>
      <c r="N260">
        <v>4</v>
      </c>
      <c r="O260" t="s">
        <v>54</v>
      </c>
      <c r="P260" t="s">
        <v>15</v>
      </c>
      <c r="Q260" t="s">
        <v>32</v>
      </c>
      <c r="R260" t="s">
        <v>17</v>
      </c>
    </row>
    <row r="261" spans="1:18" x14ac:dyDescent="0.25">
      <c r="A261">
        <v>80</v>
      </c>
      <c r="B261" s="2">
        <v>43684</v>
      </c>
      <c r="C261">
        <v>8</v>
      </c>
      <c r="D261">
        <v>2019</v>
      </c>
      <c r="E261" t="s">
        <v>36</v>
      </c>
      <c r="F261" t="s">
        <v>37</v>
      </c>
      <c r="G261" t="s">
        <v>24</v>
      </c>
      <c r="H261">
        <v>36</v>
      </c>
      <c r="I261" t="s">
        <v>49</v>
      </c>
      <c r="J261">
        <v>17768</v>
      </c>
      <c r="K261">
        <v>213216</v>
      </c>
      <c r="L261">
        <v>6</v>
      </c>
      <c r="M261" t="s">
        <v>56</v>
      </c>
      <c r="N261">
        <v>2</v>
      </c>
      <c r="O261" t="s">
        <v>51</v>
      </c>
      <c r="P261" t="s">
        <v>15</v>
      </c>
      <c r="Q261" t="s">
        <v>27</v>
      </c>
      <c r="R261" t="s">
        <v>34</v>
      </c>
    </row>
    <row r="262" spans="1:18" x14ac:dyDescent="0.25">
      <c r="A262">
        <v>86</v>
      </c>
      <c r="B262" s="2">
        <v>42282</v>
      </c>
      <c r="C262">
        <v>10</v>
      </c>
      <c r="D262">
        <v>2015</v>
      </c>
      <c r="E262" t="s">
        <v>28</v>
      </c>
      <c r="F262" t="s">
        <v>33</v>
      </c>
      <c r="G262" t="s">
        <v>24</v>
      </c>
      <c r="H262">
        <v>49</v>
      </c>
      <c r="I262" t="s">
        <v>52</v>
      </c>
      <c r="J262">
        <v>17447</v>
      </c>
      <c r="K262">
        <v>209364</v>
      </c>
      <c r="L262">
        <v>6</v>
      </c>
      <c r="M262" t="s">
        <v>56</v>
      </c>
      <c r="N262">
        <v>1</v>
      </c>
      <c r="O262" t="s">
        <v>51</v>
      </c>
      <c r="P262" t="s">
        <v>15</v>
      </c>
      <c r="Q262" t="s">
        <v>16</v>
      </c>
      <c r="R262" t="s">
        <v>34</v>
      </c>
    </row>
    <row r="263" spans="1:18" x14ac:dyDescent="0.25">
      <c r="A263">
        <v>89</v>
      </c>
      <c r="B263" s="2">
        <v>44796</v>
      </c>
      <c r="C263">
        <v>8</v>
      </c>
      <c r="D263">
        <v>2022</v>
      </c>
      <c r="E263" t="s">
        <v>18</v>
      </c>
      <c r="F263" t="s">
        <v>19</v>
      </c>
      <c r="G263" t="s">
        <v>14</v>
      </c>
      <c r="H263">
        <v>44</v>
      </c>
      <c r="I263" t="s">
        <v>49</v>
      </c>
      <c r="J263">
        <v>8106</v>
      </c>
      <c r="K263">
        <v>97272</v>
      </c>
      <c r="L263">
        <v>7</v>
      </c>
      <c r="M263" t="s">
        <v>56</v>
      </c>
      <c r="N263">
        <v>3</v>
      </c>
      <c r="O263" t="s">
        <v>55</v>
      </c>
      <c r="P263" t="s">
        <v>15</v>
      </c>
      <c r="Q263" t="s">
        <v>32</v>
      </c>
      <c r="R263" t="s">
        <v>34</v>
      </c>
    </row>
    <row r="264" spans="1:18" x14ac:dyDescent="0.25">
      <c r="A264">
        <v>90</v>
      </c>
      <c r="B264" s="2">
        <v>44082</v>
      </c>
      <c r="C264">
        <v>9</v>
      </c>
      <c r="D264">
        <v>2020</v>
      </c>
      <c r="E264" t="s">
        <v>36</v>
      </c>
      <c r="F264" t="s">
        <v>37</v>
      </c>
      <c r="G264" t="s">
        <v>24</v>
      </c>
      <c r="H264">
        <v>43</v>
      </c>
      <c r="I264" t="s">
        <v>49</v>
      </c>
      <c r="J264">
        <v>14979</v>
      </c>
      <c r="K264">
        <v>179748</v>
      </c>
      <c r="L264">
        <v>7</v>
      </c>
      <c r="M264" t="s">
        <v>56</v>
      </c>
      <c r="N264">
        <v>1</v>
      </c>
      <c r="O264" t="s">
        <v>51</v>
      </c>
      <c r="P264" t="s">
        <v>15</v>
      </c>
      <c r="Q264" t="s">
        <v>16</v>
      </c>
      <c r="R264" t="s">
        <v>21</v>
      </c>
    </row>
    <row r="265" spans="1:18" x14ac:dyDescent="0.25">
      <c r="A265">
        <v>91</v>
      </c>
      <c r="B265" s="2">
        <v>43565</v>
      </c>
      <c r="C265">
        <v>4</v>
      </c>
      <c r="D265">
        <v>2019</v>
      </c>
      <c r="E265" t="s">
        <v>22</v>
      </c>
      <c r="F265" t="s">
        <v>35</v>
      </c>
      <c r="G265" t="s">
        <v>14</v>
      </c>
      <c r="H265">
        <v>35</v>
      </c>
      <c r="I265" t="s">
        <v>49</v>
      </c>
      <c r="J265">
        <v>11823</v>
      </c>
      <c r="K265">
        <v>141876</v>
      </c>
      <c r="L265">
        <v>7</v>
      </c>
      <c r="M265" t="s">
        <v>56</v>
      </c>
      <c r="N265">
        <v>5</v>
      </c>
      <c r="O265" t="s">
        <v>54</v>
      </c>
      <c r="P265" t="s">
        <v>20</v>
      </c>
      <c r="Q265" t="s">
        <v>27</v>
      </c>
      <c r="R265" t="s">
        <v>39</v>
      </c>
    </row>
    <row r="266" spans="1:18" x14ac:dyDescent="0.25">
      <c r="A266">
        <v>94</v>
      </c>
      <c r="B266" s="2">
        <v>43921</v>
      </c>
      <c r="C266">
        <v>3</v>
      </c>
      <c r="D266">
        <v>2020</v>
      </c>
      <c r="E266" t="s">
        <v>18</v>
      </c>
      <c r="F266" t="s">
        <v>19</v>
      </c>
      <c r="G266" t="s">
        <v>14</v>
      </c>
      <c r="H266">
        <v>60</v>
      </c>
      <c r="I266" t="s">
        <v>52</v>
      </c>
      <c r="J266">
        <v>12069</v>
      </c>
      <c r="K266">
        <v>144828</v>
      </c>
      <c r="L266">
        <v>6</v>
      </c>
      <c r="M266" t="s">
        <v>56</v>
      </c>
      <c r="N266">
        <v>1</v>
      </c>
      <c r="O266" t="s">
        <v>51</v>
      </c>
      <c r="P266" t="s">
        <v>20</v>
      </c>
      <c r="Q266" t="s">
        <v>27</v>
      </c>
      <c r="R266" t="s">
        <v>25</v>
      </c>
    </row>
    <row r="267" spans="1:18" x14ac:dyDescent="0.25">
      <c r="A267">
        <v>100</v>
      </c>
      <c r="B267" s="2">
        <v>44393</v>
      </c>
      <c r="C267">
        <v>7</v>
      </c>
      <c r="D267">
        <v>2021</v>
      </c>
      <c r="E267" t="s">
        <v>36</v>
      </c>
      <c r="F267" t="s">
        <v>42</v>
      </c>
      <c r="G267" t="s">
        <v>24</v>
      </c>
      <c r="H267">
        <v>35</v>
      </c>
      <c r="I267" t="s">
        <v>49</v>
      </c>
      <c r="J267">
        <v>13671</v>
      </c>
      <c r="K267">
        <v>164052</v>
      </c>
      <c r="L267">
        <v>7</v>
      </c>
      <c r="M267" t="s">
        <v>56</v>
      </c>
      <c r="N267">
        <v>2</v>
      </c>
      <c r="O267" t="s">
        <v>51</v>
      </c>
      <c r="P267" t="s">
        <v>20</v>
      </c>
      <c r="Q267" t="s">
        <v>27</v>
      </c>
      <c r="R267" t="s">
        <v>25</v>
      </c>
    </row>
    <row r="268" spans="1:18" x14ac:dyDescent="0.25">
      <c r="A268">
        <v>101</v>
      </c>
      <c r="B268" s="2">
        <v>41043</v>
      </c>
      <c r="C268">
        <v>5</v>
      </c>
      <c r="D268">
        <v>2012</v>
      </c>
      <c r="E268" t="s">
        <v>18</v>
      </c>
      <c r="F268" t="s">
        <v>26</v>
      </c>
      <c r="G268" t="s">
        <v>24</v>
      </c>
      <c r="H268">
        <v>50</v>
      </c>
      <c r="I268" t="s">
        <v>52</v>
      </c>
      <c r="J268">
        <v>4165</v>
      </c>
      <c r="K268">
        <v>49980</v>
      </c>
      <c r="L268">
        <v>4</v>
      </c>
      <c r="M268" t="s">
        <v>56</v>
      </c>
      <c r="N268">
        <v>4</v>
      </c>
      <c r="O268" t="s">
        <v>54</v>
      </c>
      <c r="P268" t="s">
        <v>20</v>
      </c>
      <c r="Q268" t="s">
        <v>32</v>
      </c>
      <c r="R268" t="s">
        <v>25</v>
      </c>
    </row>
    <row r="269" spans="1:18" x14ac:dyDescent="0.25">
      <c r="A269">
        <v>104</v>
      </c>
      <c r="B269" s="2">
        <v>42650</v>
      </c>
      <c r="C269">
        <v>10</v>
      </c>
      <c r="D269">
        <v>2016</v>
      </c>
      <c r="E269" t="s">
        <v>36</v>
      </c>
      <c r="F269" t="s">
        <v>37</v>
      </c>
      <c r="G269" t="s">
        <v>14</v>
      </c>
      <c r="H269">
        <v>48</v>
      </c>
      <c r="I269" t="s">
        <v>52</v>
      </c>
      <c r="J269">
        <v>4013</v>
      </c>
      <c r="K269">
        <v>48156</v>
      </c>
      <c r="L269">
        <v>6</v>
      </c>
      <c r="M269" t="s">
        <v>56</v>
      </c>
      <c r="N269">
        <v>2</v>
      </c>
      <c r="O269" t="s">
        <v>51</v>
      </c>
      <c r="P269" t="s">
        <v>20</v>
      </c>
      <c r="Q269" t="s">
        <v>32</v>
      </c>
      <c r="R269" t="s">
        <v>25</v>
      </c>
    </row>
    <row r="270" spans="1:18" x14ac:dyDescent="0.25">
      <c r="A270">
        <v>106</v>
      </c>
      <c r="B270" s="2">
        <v>42919</v>
      </c>
      <c r="C270">
        <v>7</v>
      </c>
      <c r="D270">
        <v>2017</v>
      </c>
      <c r="E270" t="s">
        <v>18</v>
      </c>
      <c r="F270" t="s">
        <v>19</v>
      </c>
      <c r="G270" t="s">
        <v>24</v>
      </c>
      <c r="H270">
        <v>47</v>
      </c>
      <c r="I270" t="s">
        <v>52</v>
      </c>
      <c r="J270">
        <v>5436</v>
      </c>
      <c r="K270">
        <v>65232</v>
      </c>
      <c r="L270">
        <v>4</v>
      </c>
      <c r="M270" t="s">
        <v>56</v>
      </c>
      <c r="N270">
        <v>4</v>
      </c>
      <c r="O270" t="s">
        <v>54</v>
      </c>
      <c r="P270" t="s">
        <v>15</v>
      </c>
      <c r="Q270" t="s">
        <v>32</v>
      </c>
      <c r="R270" t="s">
        <v>21</v>
      </c>
    </row>
    <row r="271" spans="1:18" x14ac:dyDescent="0.25">
      <c r="A271">
        <v>107</v>
      </c>
      <c r="B271" s="2">
        <v>45048</v>
      </c>
      <c r="C271">
        <v>5</v>
      </c>
      <c r="D271">
        <v>2023</v>
      </c>
      <c r="E271" t="s">
        <v>18</v>
      </c>
      <c r="F271" t="s">
        <v>19</v>
      </c>
      <c r="G271" t="s">
        <v>14</v>
      </c>
      <c r="H271">
        <v>23</v>
      </c>
      <c r="I271" t="s">
        <v>53</v>
      </c>
      <c r="J271">
        <v>4463</v>
      </c>
      <c r="K271">
        <v>53556</v>
      </c>
      <c r="L271">
        <v>7</v>
      </c>
      <c r="M271" t="s">
        <v>56</v>
      </c>
      <c r="N271">
        <v>2</v>
      </c>
      <c r="O271" t="s">
        <v>51</v>
      </c>
      <c r="P271" t="s">
        <v>20</v>
      </c>
      <c r="Q271" t="s">
        <v>32</v>
      </c>
      <c r="R271" t="s">
        <v>39</v>
      </c>
    </row>
    <row r="272" spans="1:18" x14ac:dyDescent="0.25">
      <c r="A272">
        <v>115</v>
      </c>
      <c r="B272" s="2">
        <v>40625</v>
      </c>
      <c r="C272">
        <v>3</v>
      </c>
      <c r="D272">
        <v>2011</v>
      </c>
      <c r="E272" t="s">
        <v>18</v>
      </c>
      <c r="F272" t="s">
        <v>19</v>
      </c>
      <c r="G272" t="s">
        <v>24</v>
      </c>
      <c r="H272">
        <v>23</v>
      </c>
      <c r="I272" t="s">
        <v>53</v>
      </c>
      <c r="J272">
        <v>4421</v>
      </c>
      <c r="K272">
        <v>53052</v>
      </c>
      <c r="L272">
        <v>4</v>
      </c>
      <c r="M272" t="s">
        <v>56</v>
      </c>
      <c r="N272">
        <v>3</v>
      </c>
      <c r="O272" t="s">
        <v>55</v>
      </c>
      <c r="P272" t="s">
        <v>15</v>
      </c>
      <c r="Q272" t="s">
        <v>27</v>
      </c>
      <c r="R272" t="s">
        <v>39</v>
      </c>
    </row>
    <row r="273" spans="1:18" x14ac:dyDescent="0.25">
      <c r="A273">
        <v>116</v>
      </c>
      <c r="B273" s="2">
        <v>45118</v>
      </c>
      <c r="C273">
        <v>7</v>
      </c>
      <c r="D273">
        <v>2023</v>
      </c>
      <c r="E273" t="s">
        <v>12</v>
      </c>
      <c r="F273" t="s">
        <v>13</v>
      </c>
      <c r="G273" t="s">
        <v>14</v>
      </c>
      <c r="H273">
        <v>43</v>
      </c>
      <c r="I273" t="s">
        <v>49</v>
      </c>
      <c r="J273">
        <v>9502</v>
      </c>
      <c r="K273">
        <v>114024</v>
      </c>
      <c r="L273">
        <v>7</v>
      </c>
      <c r="M273" t="s">
        <v>56</v>
      </c>
      <c r="N273">
        <v>1</v>
      </c>
      <c r="O273" t="s">
        <v>51</v>
      </c>
      <c r="P273" t="s">
        <v>15</v>
      </c>
      <c r="Q273" t="s">
        <v>16</v>
      </c>
      <c r="R273" t="s">
        <v>34</v>
      </c>
    </row>
    <row r="274" spans="1:18" x14ac:dyDescent="0.25">
      <c r="A274">
        <v>119</v>
      </c>
      <c r="B274" s="2">
        <v>41106</v>
      </c>
      <c r="C274">
        <v>7</v>
      </c>
      <c r="D274">
        <v>2012</v>
      </c>
      <c r="E274" t="s">
        <v>36</v>
      </c>
      <c r="F274" t="s">
        <v>37</v>
      </c>
      <c r="G274" t="s">
        <v>24</v>
      </c>
      <c r="H274">
        <v>50</v>
      </c>
      <c r="I274" t="s">
        <v>52</v>
      </c>
      <c r="J274">
        <v>10952</v>
      </c>
      <c r="K274">
        <v>131424</v>
      </c>
      <c r="L274">
        <v>6</v>
      </c>
      <c r="M274" t="s">
        <v>56</v>
      </c>
      <c r="N274">
        <v>5</v>
      </c>
      <c r="O274" t="s">
        <v>54</v>
      </c>
      <c r="P274" t="s">
        <v>20</v>
      </c>
      <c r="Q274" t="s">
        <v>32</v>
      </c>
      <c r="R274" t="s">
        <v>39</v>
      </c>
    </row>
    <row r="275" spans="1:18" x14ac:dyDescent="0.25">
      <c r="A275">
        <v>125</v>
      </c>
      <c r="B275" s="2">
        <v>44007</v>
      </c>
      <c r="C275">
        <v>6</v>
      </c>
      <c r="D275">
        <v>2020</v>
      </c>
      <c r="E275" t="s">
        <v>22</v>
      </c>
      <c r="F275" t="s">
        <v>23</v>
      </c>
      <c r="G275" t="s">
        <v>24</v>
      </c>
      <c r="H275">
        <v>30</v>
      </c>
      <c r="I275" t="s">
        <v>49</v>
      </c>
      <c r="J275">
        <v>11987</v>
      </c>
      <c r="K275">
        <v>143844</v>
      </c>
      <c r="L275">
        <v>5</v>
      </c>
      <c r="M275" t="s">
        <v>56</v>
      </c>
      <c r="N275">
        <v>2</v>
      </c>
      <c r="O275" t="s">
        <v>51</v>
      </c>
      <c r="P275" t="s">
        <v>20</v>
      </c>
      <c r="Q275" t="s">
        <v>32</v>
      </c>
      <c r="R275" t="s">
        <v>39</v>
      </c>
    </row>
    <row r="276" spans="1:18" x14ac:dyDescent="0.25">
      <c r="A276">
        <v>128</v>
      </c>
      <c r="B276" s="2">
        <v>44367</v>
      </c>
      <c r="C276">
        <v>6</v>
      </c>
      <c r="D276">
        <v>2021</v>
      </c>
      <c r="E276" t="s">
        <v>28</v>
      </c>
      <c r="F276" t="s">
        <v>33</v>
      </c>
      <c r="G276" t="s">
        <v>14</v>
      </c>
      <c r="H276">
        <v>25</v>
      </c>
      <c r="I276" t="s">
        <v>53</v>
      </c>
      <c r="J276">
        <v>7068</v>
      </c>
      <c r="K276">
        <v>84816</v>
      </c>
      <c r="L276">
        <v>3</v>
      </c>
      <c r="M276" t="s">
        <v>56</v>
      </c>
      <c r="N276">
        <v>1</v>
      </c>
      <c r="O276" t="s">
        <v>51</v>
      </c>
      <c r="P276" t="s">
        <v>20</v>
      </c>
      <c r="Q276" t="s">
        <v>27</v>
      </c>
      <c r="R276" t="s">
        <v>17</v>
      </c>
    </row>
    <row r="277" spans="1:18" x14ac:dyDescent="0.25">
      <c r="A277">
        <v>134</v>
      </c>
      <c r="B277" s="2">
        <v>42038</v>
      </c>
      <c r="C277">
        <v>2</v>
      </c>
      <c r="D277">
        <v>2015</v>
      </c>
      <c r="E277" t="s">
        <v>22</v>
      </c>
      <c r="F277" t="s">
        <v>35</v>
      </c>
      <c r="G277" t="s">
        <v>24</v>
      </c>
      <c r="H277">
        <v>53</v>
      </c>
      <c r="I277" t="s">
        <v>52</v>
      </c>
      <c r="J277">
        <v>9130</v>
      </c>
      <c r="K277">
        <v>109560</v>
      </c>
      <c r="L277">
        <v>7</v>
      </c>
      <c r="M277" t="s">
        <v>56</v>
      </c>
      <c r="N277">
        <v>5</v>
      </c>
      <c r="O277" t="s">
        <v>54</v>
      </c>
      <c r="P277" t="s">
        <v>20</v>
      </c>
      <c r="Q277" t="s">
        <v>27</v>
      </c>
      <c r="R277" t="s">
        <v>21</v>
      </c>
    </row>
    <row r="278" spans="1:18" x14ac:dyDescent="0.25">
      <c r="A278">
        <v>137</v>
      </c>
      <c r="B278" s="2">
        <v>42336</v>
      </c>
      <c r="C278">
        <v>11</v>
      </c>
      <c r="D278">
        <v>2015</v>
      </c>
      <c r="E278" t="s">
        <v>18</v>
      </c>
      <c r="F278" t="s">
        <v>19</v>
      </c>
      <c r="G278" t="s">
        <v>14</v>
      </c>
      <c r="H278">
        <v>41</v>
      </c>
      <c r="I278" t="s">
        <v>49</v>
      </c>
      <c r="J278">
        <v>7084</v>
      </c>
      <c r="K278">
        <v>85008</v>
      </c>
      <c r="L278">
        <v>5</v>
      </c>
      <c r="M278" t="s">
        <v>56</v>
      </c>
      <c r="N278">
        <v>1</v>
      </c>
      <c r="O278" t="s">
        <v>51</v>
      </c>
      <c r="P278" t="s">
        <v>20</v>
      </c>
      <c r="Q278" t="s">
        <v>16</v>
      </c>
      <c r="R278" t="s">
        <v>21</v>
      </c>
    </row>
    <row r="279" spans="1:18" x14ac:dyDescent="0.25">
      <c r="A279">
        <v>145</v>
      </c>
      <c r="B279" s="2">
        <v>41675</v>
      </c>
      <c r="C279">
        <v>2</v>
      </c>
      <c r="D279">
        <v>2014</v>
      </c>
      <c r="E279" t="s">
        <v>30</v>
      </c>
      <c r="F279" t="s">
        <v>38</v>
      </c>
      <c r="G279" t="s">
        <v>14</v>
      </c>
      <c r="H279">
        <v>48</v>
      </c>
      <c r="I279" t="s">
        <v>52</v>
      </c>
      <c r="J279">
        <v>14050</v>
      </c>
      <c r="K279">
        <v>168600</v>
      </c>
      <c r="L279">
        <v>7</v>
      </c>
      <c r="M279" t="s">
        <v>56</v>
      </c>
      <c r="N279">
        <v>1</v>
      </c>
      <c r="O279" t="s">
        <v>51</v>
      </c>
      <c r="P279" t="s">
        <v>20</v>
      </c>
      <c r="Q279" t="s">
        <v>16</v>
      </c>
      <c r="R279" t="s">
        <v>34</v>
      </c>
    </row>
    <row r="280" spans="1:18" x14ac:dyDescent="0.25">
      <c r="A280">
        <v>147</v>
      </c>
      <c r="B280" s="2">
        <v>43425</v>
      </c>
      <c r="C280">
        <v>11</v>
      </c>
      <c r="D280">
        <v>2018</v>
      </c>
      <c r="E280" t="s">
        <v>22</v>
      </c>
      <c r="F280" t="s">
        <v>35</v>
      </c>
      <c r="G280" t="s">
        <v>14</v>
      </c>
      <c r="H280">
        <v>24</v>
      </c>
      <c r="I280" t="s">
        <v>53</v>
      </c>
      <c r="J280">
        <v>9169</v>
      </c>
      <c r="K280">
        <v>110028</v>
      </c>
      <c r="L280">
        <v>6</v>
      </c>
      <c r="M280" t="s">
        <v>56</v>
      </c>
      <c r="N280">
        <v>2</v>
      </c>
      <c r="O280" t="s">
        <v>51</v>
      </c>
      <c r="P280" t="s">
        <v>20</v>
      </c>
      <c r="Q280" t="s">
        <v>16</v>
      </c>
      <c r="R280" t="s">
        <v>34</v>
      </c>
    </row>
    <row r="281" spans="1:18" x14ac:dyDescent="0.25">
      <c r="A281">
        <v>150</v>
      </c>
      <c r="B281" s="2">
        <v>44162</v>
      </c>
      <c r="C281">
        <v>11</v>
      </c>
      <c r="D281">
        <v>2020</v>
      </c>
      <c r="E281" t="s">
        <v>30</v>
      </c>
      <c r="F281" t="s">
        <v>38</v>
      </c>
      <c r="G281" t="s">
        <v>24</v>
      </c>
      <c r="H281">
        <v>56</v>
      </c>
      <c r="I281" t="s">
        <v>52</v>
      </c>
      <c r="J281">
        <v>8940</v>
      </c>
      <c r="K281">
        <v>107280</v>
      </c>
      <c r="L281">
        <v>4</v>
      </c>
      <c r="M281" t="s">
        <v>56</v>
      </c>
      <c r="N281">
        <v>3</v>
      </c>
      <c r="O281" t="s">
        <v>55</v>
      </c>
      <c r="P281" t="s">
        <v>15</v>
      </c>
      <c r="Q281" t="s">
        <v>32</v>
      </c>
      <c r="R281" t="s">
        <v>17</v>
      </c>
    </row>
    <row r="282" spans="1:18" x14ac:dyDescent="0.25">
      <c r="A282">
        <v>151</v>
      </c>
      <c r="B282" s="2">
        <v>42152</v>
      </c>
      <c r="C282">
        <v>5</v>
      </c>
      <c r="D282">
        <v>2015</v>
      </c>
      <c r="E282" t="s">
        <v>36</v>
      </c>
      <c r="F282" t="s">
        <v>37</v>
      </c>
      <c r="G282" t="s">
        <v>24</v>
      </c>
      <c r="H282">
        <v>38</v>
      </c>
      <c r="I282" t="s">
        <v>49</v>
      </c>
      <c r="J282">
        <v>18786</v>
      </c>
      <c r="K282">
        <v>225432</v>
      </c>
      <c r="L282">
        <v>6</v>
      </c>
      <c r="M282" t="s">
        <v>56</v>
      </c>
      <c r="N282">
        <v>5</v>
      </c>
      <c r="O282" t="s">
        <v>54</v>
      </c>
      <c r="P282" t="s">
        <v>20</v>
      </c>
      <c r="Q282" t="s">
        <v>32</v>
      </c>
      <c r="R282" t="s">
        <v>25</v>
      </c>
    </row>
    <row r="283" spans="1:18" x14ac:dyDescent="0.25">
      <c r="A283">
        <v>153</v>
      </c>
      <c r="B283" s="2">
        <v>41846</v>
      </c>
      <c r="C283">
        <v>7</v>
      </c>
      <c r="D283">
        <v>2014</v>
      </c>
      <c r="E283" t="s">
        <v>36</v>
      </c>
      <c r="F283" t="s">
        <v>37</v>
      </c>
      <c r="G283" t="s">
        <v>24</v>
      </c>
      <c r="H283">
        <v>40</v>
      </c>
      <c r="I283" t="s">
        <v>49</v>
      </c>
      <c r="J283">
        <v>6468</v>
      </c>
      <c r="K283">
        <v>77616</v>
      </c>
      <c r="L283">
        <v>4</v>
      </c>
      <c r="M283" t="s">
        <v>56</v>
      </c>
      <c r="N283">
        <v>1</v>
      </c>
      <c r="O283" t="s">
        <v>51</v>
      </c>
      <c r="P283" t="s">
        <v>20</v>
      </c>
      <c r="Q283" t="s">
        <v>27</v>
      </c>
      <c r="R283" t="s">
        <v>25</v>
      </c>
    </row>
    <row r="284" spans="1:18" x14ac:dyDescent="0.25">
      <c r="A284">
        <v>155</v>
      </c>
      <c r="B284" s="2">
        <v>42084</v>
      </c>
      <c r="C284">
        <v>3</v>
      </c>
      <c r="D284">
        <v>2015</v>
      </c>
      <c r="E284" t="s">
        <v>12</v>
      </c>
      <c r="F284" t="s">
        <v>41</v>
      </c>
      <c r="G284" t="s">
        <v>24</v>
      </c>
      <c r="H284">
        <v>26</v>
      </c>
      <c r="I284" t="s">
        <v>53</v>
      </c>
      <c r="J284">
        <v>7287</v>
      </c>
      <c r="K284">
        <v>87444</v>
      </c>
      <c r="L284">
        <v>4</v>
      </c>
      <c r="M284" t="s">
        <v>56</v>
      </c>
      <c r="N284">
        <v>5</v>
      </c>
      <c r="O284" t="s">
        <v>54</v>
      </c>
      <c r="P284" t="s">
        <v>15</v>
      </c>
      <c r="Q284" t="s">
        <v>16</v>
      </c>
      <c r="R284" t="s">
        <v>39</v>
      </c>
    </row>
    <row r="285" spans="1:18" x14ac:dyDescent="0.25">
      <c r="A285">
        <v>157</v>
      </c>
      <c r="B285" s="2">
        <v>43887</v>
      </c>
      <c r="C285">
        <v>2</v>
      </c>
      <c r="D285">
        <v>2020</v>
      </c>
      <c r="E285" t="s">
        <v>22</v>
      </c>
      <c r="F285" t="s">
        <v>35</v>
      </c>
      <c r="G285" t="s">
        <v>24</v>
      </c>
      <c r="H285">
        <v>46</v>
      </c>
      <c r="I285" t="s">
        <v>52</v>
      </c>
      <c r="J285">
        <v>17248</v>
      </c>
      <c r="K285">
        <v>206976</v>
      </c>
      <c r="L285">
        <v>7</v>
      </c>
      <c r="M285" t="s">
        <v>56</v>
      </c>
      <c r="N285">
        <v>2</v>
      </c>
      <c r="O285" t="s">
        <v>51</v>
      </c>
      <c r="P285" t="s">
        <v>20</v>
      </c>
      <c r="Q285" t="s">
        <v>27</v>
      </c>
      <c r="R285" t="s">
        <v>21</v>
      </c>
    </row>
    <row r="286" spans="1:18" x14ac:dyDescent="0.25">
      <c r="A286">
        <v>158</v>
      </c>
      <c r="B286" s="2">
        <v>42679</v>
      </c>
      <c r="C286">
        <v>11</v>
      </c>
      <c r="D286">
        <v>2016</v>
      </c>
      <c r="E286" t="s">
        <v>36</v>
      </c>
      <c r="F286" t="s">
        <v>42</v>
      </c>
      <c r="G286" t="s">
        <v>24</v>
      </c>
      <c r="H286">
        <v>43</v>
      </c>
      <c r="I286" t="s">
        <v>49</v>
      </c>
      <c r="J286">
        <v>17261</v>
      </c>
      <c r="K286">
        <v>207132</v>
      </c>
      <c r="L286">
        <v>6</v>
      </c>
      <c r="M286" t="s">
        <v>56</v>
      </c>
      <c r="N286">
        <v>5</v>
      </c>
      <c r="O286" t="s">
        <v>54</v>
      </c>
      <c r="P286" t="s">
        <v>20</v>
      </c>
      <c r="Q286" t="s">
        <v>16</v>
      </c>
      <c r="R286" t="s">
        <v>34</v>
      </c>
    </row>
    <row r="287" spans="1:18" x14ac:dyDescent="0.25">
      <c r="A287">
        <v>160</v>
      </c>
      <c r="B287" s="2">
        <v>42536</v>
      </c>
      <c r="C287">
        <v>6</v>
      </c>
      <c r="D287">
        <v>2016</v>
      </c>
      <c r="E287" t="s">
        <v>18</v>
      </c>
      <c r="F287" t="s">
        <v>26</v>
      </c>
      <c r="G287" t="s">
        <v>24</v>
      </c>
      <c r="H287">
        <v>53</v>
      </c>
      <c r="I287" t="s">
        <v>52</v>
      </c>
      <c r="J287">
        <v>16320</v>
      </c>
      <c r="K287">
        <v>195840</v>
      </c>
      <c r="L287">
        <v>5</v>
      </c>
      <c r="M287" t="s">
        <v>56</v>
      </c>
      <c r="N287">
        <v>4</v>
      </c>
      <c r="O287" t="s">
        <v>54</v>
      </c>
      <c r="P287" t="s">
        <v>20</v>
      </c>
      <c r="Q287" t="s">
        <v>27</v>
      </c>
      <c r="R287" t="s">
        <v>21</v>
      </c>
    </row>
    <row r="288" spans="1:18" x14ac:dyDescent="0.25">
      <c r="A288">
        <v>165</v>
      </c>
      <c r="B288" s="2">
        <v>44042</v>
      </c>
      <c r="C288">
        <v>7</v>
      </c>
      <c r="D288">
        <v>2020</v>
      </c>
      <c r="E288" t="s">
        <v>12</v>
      </c>
      <c r="F288" t="s">
        <v>13</v>
      </c>
      <c r="G288" t="s">
        <v>24</v>
      </c>
      <c r="H288">
        <v>27</v>
      </c>
      <c r="I288" t="s">
        <v>53</v>
      </c>
      <c r="J288">
        <v>17844</v>
      </c>
      <c r="K288">
        <v>214128</v>
      </c>
      <c r="L288">
        <v>5</v>
      </c>
      <c r="M288" t="s">
        <v>56</v>
      </c>
      <c r="N288">
        <v>1</v>
      </c>
      <c r="O288" t="s">
        <v>51</v>
      </c>
      <c r="P288" t="s">
        <v>20</v>
      </c>
      <c r="Q288" t="s">
        <v>32</v>
      </c>
      <c r="R288" t="s">
        <v>21</v>
      </c>
    </row>
    <row r="289" spans="1:18" x14ac:dyDescent="0.25">
      <c r="A289">
        <v>168</v>
      </c>
      <c r="B289" s="2">
        <v>40246</v>
      </c>
      <c r="C289">
        <v>3</v>
      </c>
      <c r="D289">
        <v>2010</v>
      </c>
      <c r="E289" t="s">
        <v>28</v>
      </c>
      <c r="F289" t="s">
        <v>29</v>
      </c>
      <c r="G289" t="s">
        <v>14</v>
      </c>
      <c r="H289">
        <v>28</v>
      </c>
      <c r="I289" t="s">
        <v>53</v>
      </c>
      <c r="J289">
        <v>10335</v>
      </c>
      <c r="K289">
        <v>124020</v>
      </c>
      <c r="L289">
        <v>5</v>
      </c>
      <c r="M289" t="s">
        <v>56</v>
      </c>
      <c r="N289">
        <v>1</v>
      </c>
      <c r="O289" t="s">
        <v>51</v>
      </c>
      <c r="P289" t="s">
        <v>15</v>
      </c>
      <c r="Q289" t="s">
        <v>27</v>
      </c>
      <c r="R289" t="s">
        <v>17</v>
      </c>
    </row>
    <row r="290" spans="1:18" x14ac:dyDescent="0.25">
      <c r="A290">
        <v>171</v>
      </c>
      <c r="B290" s="2">
        <v>43729</v>
      </c>
      <c r="C290">
        <v>9</v>
      </c>
      <c r="D290">
        <v>2019</v>
      </c>
      <c r="E290" t="s">
        <v>30</v>
      </c>
      <c r="F290" t="s">
        <v>38</v>
      </c>
      <c r="G290" t="s">
        <v>14</v>
      </c>
      <c r="H290">
        <v>35</v>
      </c>
      <c r="I290" t="s">
        <v>49</v>
      </c>
      <c r="J290">
        <v>6585</v>
      </c>
      <c r="K290">
        <v>79020</v>
      </c>
      <c r="L290">
        <v>6</v>
      </c>
      <c r="M290" t="s">
        <v>56</v>
      </c>
      <c r="N290">
        <v>1</v>
      </c>
      <c r="O290" t="s">
        <v>51</v>
      </c>
      <c r="P290" t="s">
        <v>15</v>
      </c>
      <c r="Q290" t="s">
        <v>32</v>
      </c>
      <c r="R290" t="s">
        <v>21</v>
      </c>
    </row>
    <row r="291" spans="1:18" x14ac:dyDescent="0.25">
      <c r="A291">
        <v>173</v>
      </c>
      <c r="B291" s="2">
        <v>40544</v>
      </c>
      <c r="C291">
        <v>1</v>
      </c>
      <c r="D291">
        <v>2011</v>
      </c>
      <c r="E291" t="s">
        <v>28</v>
      </c>
      <c r="F291" t="s">
        <v>33</v>
      </c>
      <c r="G291" t="s">
        <v>14</v>
      </c>
      <c r="H291">
        <v>54</v>
      </c>
      <c r="I291" t="s">
        <v>52</v>
      </c>
      <c r="J291">
        <v>19206</v>
      </c>
      <c r="K291">
        <v>230472</v>
      </c>
      <c r="L291">
        <v>4</v>
      </c>
      <c r="M291" t="s">
        <v>56</v>
      </c>
      <c r="N291">
        <v>4</v>
      </c>
      <c r="O291" t="s">
        <v>54</v>
      </c>
      <c r="P291" t="s">
        <v>15</v>
      </c>
      <c r="Q291" t="s">
        <v>27</v>
      </c>
      <c r="R291" t="s">
        <v>25</v>
      </c>
    </row>
    <row r="292" spans="1:18" x14ac:dyDescent="0.25">
      <c r="A292">
        <v>174</v>
      </c>
      <c r="B292" s="2">
        <v>40537</v>
      </c>
      <c r="C292">
        <v>12</v>
      </c>
      <c r="D292">
        <v>2010</v>
      </c>
      <c r="E292" t="s">
        <v>28</v>
      </c>
      <c r="F292" t="s">
        <v>33</v>
      </c>
      <c r="G292" t="s">
        <v>14</v>
      </c>
      <c r="H292">
        <v>38</v>
      </c>
      <c r="I292" t="s">
        <v>49</v>
      </c>
      <c r="J292">
        <v>13334</v>
      </c>
      <c r="K292">
        <v>160008</v>
      </c>
      <c r="L292">
        <v>4</v>
      </c>
      <c r="M292" t="s">
        <v>56</v>
      </c>
      <c r="N292">
        <v>3</v>
      </c>
      <c r="O292" t="s">
        <v>55</v>
      </c>
      <c r="P292" t="s">
        <v>20</v>
      </c>
      <c r="Q292" t="s">
        <v>32</v>
      </c>
      <c r="R292" t="s">
        <v>17</v>
      </c>
    </row>
    <row r="293" spans="1:18" x14ac:dyDescent="0.25">
      <c r="A293">
        <v>177</v>
      </c>
      <c r="B293" s="2">
        <v>42453</v>
      </c>
      <c r="C293">
        <v>3</v>
      </c>
      <c r="D293">
        <v>2016</v>
      </c>
      <c r="E293" t="s">
        <v>28</v>
      </c>
      <c r="F293" t="s">
        <v>33</v>
      </c>
      <c r="G293" t="s">
        <v>24</v>
      </c>
      <c r="H293">
        <v>35</v>
      </c>
      <c r="I293" t="s">
        <v>49</v>
      </c>
      <c r="J293">
        <v>16157</v>
      </c>
      <c r="K293">
        <v>193884</v>
      </c>
      <c r="L293">
        <v>7</v>
      </c>
      <c r="M293" t="s">
        <v>56</v>
      </c>
      <c r="N293">
        <v>2</v>
      </c>
      <c r="O293" t="s">
        <v>51</v>
      </c>
      <c r="P293" t="s">
        <v>20</v>
      </c>
      <c r="Q293" t="s">
        <v>27</v>
      </c>
      <c r="R293" t="s">
        <v>17</v>
      </c>
    </row>
    <row r="294" spans="1:18" x14ac:dyDescent="0.25">
      <c r="A294">
        <v>184</v>
      </c>
      <c r="B294" s="2">
        <v>43670</v>
      </c>
      <c r="C294">
        <v>7</v>
      </c>
      <c r="D294">
        <v>2019</v>
      </c>
      <c r="E294" t="s">
        <v>22</v>
      </c>
      <c r="F294" t="s">
        <v>23</v>
      </c>
      <c r="G294" t="s">
        <v>14</v>
      </c>
      <c r="H294">
        <v>23</v>
      </c>
      <c r="I294" t="s">
        <v>53</v>
      </c>
      <c r="J294">
        <v>8712</v>
      </c>
      <c r="K294">
        <v>104544</v>
      </c>
      <c r="L294">
        <v>7</v>
      </c>
      <c r="M294" t="s">
        <v>56</v>
      </c>
      <c r="N294">
        <v>5</v>
      </c>
      <c r="O294" t="s">
        <v>54</v>
      </c>
      <c r="P294" t="s">
        <v>15</v>
      </c>
      <c r="Q294" t="s">
        <v>32</v>
      </c>
      <c r="R294" t="s">
        <v>21</v>
      </c>
    </row>
    <row r="295" spans="1:18" x14ac:dyDescent="0.25">
      <c r="A295">
        <v>185</v>
      </c>
      <c r="B295" s="2">
        <v>40680</v>
      </c>
      <c r="C295">
        <v>5</v>
      </c>
      <c r="D295">
        <v>2011</v>
      </c>
      <c r="E295" t="s">
        <v>12</v>
      </c>
      <c r="F295" t="s">
        <v>13</v>
      </c>
      <c r="G295" t="s">
        <v>24</v>
      </c>
      <c r="H295">
        <v>48</v>
      </c>
      <c r="I295" t="s">
        <v>52</v>
      </c>
      <c r="J295">
        <v>4601</v>
      </c>
      <c r="K295">
        <v>55212</v>
      </c>
      <c r="L295">
        <v>3</v>
      </c>
      <c r="M295" t="s">
        <v>56</v>
      </c>
      <c r="N295">
        <v>3</v>
      </c>
      <c r="O295" t="s">
        <v>55</v>
      </c>
      <c r="P295" t="s">
        <v>15</v>
      </c>
      <c r="Q295" t="s">
        <v>16</v>
      </c>
      <c r="R295" t="s">
        <v>25</v>
      </c>
    </row>
    <row r="296" spans="1:18" x14ac:dyDescent="0.25">
      <c r="A296">
        <v>186</v>
      </c>
      <c r="B296" s="2">
        <v>43117</v>
      </c>
      <c r="C296">
        <v>1</v>
      </c>
      <c r="D296">
        <v>2018</v>
      </c>
      <c r="E296" t="s">
        <v>18</v>
      </c>
      <c r="F296" t="s">
        <v>19</v>
      </c>
      <c r="G296" t="s">
        <v>24</v>
      </c>
      <c r="H296">
        <v>47</v>
      </c>
      <c r="I296" t="s">
        <v>52</v>
      </c>
      <c r="J296">
        <v>15035</v>
      </c>
      <c r="K296">
        <v>180420</v>
      </c>
      <c r="L296">
        <v>3</v>
      </c>
      <c r="M296" t="s">
        <v>56</v>
      </c>
      <c r="N296">
        <v>2</v>
      </c>
      <c r="O296" t="s">
        <v>51</v>
      </c>
      <c r="P296" t="s">
        <v>15</v>
      </c>
      <c r="Q296" t="s">
        <v>16</v>
      </c>
      <c r="R296" t="s">
        <v>39</v>
      </c>
    </row>
    <row r="297" spans="1:18" x14ac:dyDescent="0.25">
      <c r="A297">
        <v>187</v>
      </c>
      <c r="B297" s="2">
        <v>40374</v>
      </c>
      <c r="C297">
        <v>7</v>
      </c>
      <c r="D297">
        <v>2010</v>
      </c>
      <c r="E297" t="s">
        <v>12</v>
      </c>
      <c r="F297" t="s">
        <v>41</v>
      </c>
      <c r="G297" t="s">
        <v>14</v>
      </c>
      <c r="H297">
        <v>53</v>
      </c>
      <c r="I297" t="s">
        <v>52</v>
      </c>
      <c r="J297">
        <v>12715</v>
      </c>
      <c r="K297">
        <v>152580</v>
      </c>
      <c r="L297">
        <v>4</v>
      </c>
      <c r="M297" t="s">
        <v>56</v>
      </c>
      <c r="N297">
        <v>5</v>
      </c>
      <c r="O297" t="s">
        <v>54</v>
      </c>
      <c r="P297" t="s">
        <v>15</v>
      </c>
      <c r="Q297" t="s">
        <v>27</v>
      </c>
      <c r="R297" t="s">
        <v>34</v>
      </c>
    </row>
    <row r="298" spans="1:18" x14ac:dyDescent="0.25">
      <c r="A298">
        <v>188</v>
      </c>
      <c r="B298" s="2">
        <v>40711</v>
      </c>
      <c r="C298">
        <v>6</v>
      </c>
      <c r="D298">
        <v>2011</v>
      </c>
      <c r="E298" t="s">
        <v>30</v>
      </c>
      <c r="F298" t="s">
        <v>38</v>
      </c>
      <c r="G298" t="s">
        <v>24</v>
      </c>
      <c r="H298">
        <v>43</v>
      </c>
      <c r="I298" t="s">
        <v>49</v>
      </c>
      <c r="J298">
        <v>13920</v>
      </c>
      <c r="K298">
        <v>167040</v>
      </c>
      <c r="L298">
        <v>6</v>
      </c>
      <c r="M298" t="s">
        <v>56</v>
      </c>
      <c r="N298">
        <v>2</v>
      </c>
      <c r="O298" t="s">
        <v>51</v>
      </c>
      <c r="P298" t="s">
        <v>20</v>
      </c>
      <c r="Q298" t="s">
        <v>32</v>
      </c>
      <c r="R298" t="s">
        <v>25</v>
      </c>
    </row>
    <row r="299" spans="1:18" x14ac:dyDescent="0.25">
      <c r="A299">
        <v>190</v>
      </c>
      <c r="B299" s="2">
        <v>42866</v>
      </c>
      <c r="C299">
        <v>5</v>
      </c>
      <c r="D299">
        <v>2017</v>
      </c>
      <c r="E299" t="s">
        <v>12</v>
      </c>
      <c r="F299" t="s">
        <v>41</v>
      </c>
      <c r="G299" t="s">
        <v>14</v>
      </c>
      <c r="H299">
        <v>39</v>
      </c>
      <c r="I299" t="s">
        <v>49</v>
      </c>
      <c r="J299">
        <v>12697</v>
      </c>
      <c r="K299">
        <v>152364</v>
      </c>
      <c r="L299">
        <v>5</v>
      </c>
      <c r="M299" t="s">
        <v>56</v>
      </c>
      <c r="N299">
        <v>2</v>
      </c>
      <c r="O299" t="s">
        <v>51</v>
      </c>
      <c r="P299" t="s">
        <v>15</v>
      </c>
      <c r="Q299" t="s">
        <v>16</v>
      </c>
      <c r="R299" t="s">
        <v>39</v>
      </c>
    </row>
    <row r="300" spans="1:18" x14ac:dyDescent="0.25">
      <c r="A300">
        <v>191</v>
      </c>
      <c r="B300" s="2">
        <v>41539</v>
      </c>
      <c r="C300">
        <v>9</v>
      </c>
      <c r="D300">
        <v>2013</v>
      </c>
      <c r="E300" t="s">
        <v>30</v>
      </c>
      <c r="F300" t="s">
        <v>38</v>
      </c>
      <c r="G300" t="s">
        <v>14</v>
      </c>
      <c r="H300">
        <v>54</v>
      </c>
      <c r="I300" t="s">
        <v>52</v>
      </c>
      <c r="J300">
        <v>16006</v>
      </c>
      <c r="K300">
        <v>192072</v>
      </c>
      <c r="L300">
        <v>4</v>
      </c>
      <c r="M300" t="s">
        <v>56</v>
      </c>
      <c r="N300">
        <v>3</v>
      </c>
      <c r="O300" t="s">
        <v>55</v>
      </c>
      <c r="P300" t="s">
        <v>20</v>
      </c>
      <c r="Q300" t="s">
        <v>32</v>
      </c>
      <c r="R300" t="s">
        <v>21</v>
      </c>
    </row>
    <row r="301" spans="1:18" x14ac:dyDescent="0.25">
      <c r="A301">
        <v>193</v>
      </c>
      <c r="B301" s="2">
        <v>44065</v>
      </c>
      <c r="C301">
        <v>8</v>
      </c>
      <c r="D301">
        <v>2020</v>
      </c>
      <c r="E301" t="s">
        <v>30</v>
      </c>
      <c r="F301" t="s">
        <v>31</v>
      </c>
      <c r="G301" t="s">
        <v>24</v>
      </c>
      <c r="H301">
        <v>36</v>
      </c>
      <c r="I301" t="s">
        <v>49</v>
      </c>
      <c r="J301">
        <v>17042</v>
      </c>
      <c r="K301">
        <v>204504</v>
      </c>
      <c r="L301">
        <v>3</v>
      </c>
      <c r="M301" t="s">
        <v>56</v>
      </c>
      <c r="N301">
        <v>1</v>
      </c>
      <c r="O301" t="s">
        <v>51</v>
      </c>
      <c r="P301" t="s">
        <v>15</v>
      </c>
      <c r="Q301" t="s">
        <v>32</v>
      </c>
      <c r="R301" t="s">
        <v>34</v>
      </c>
    </row>
    <row r="302" spans="1:18" x14ac:dyDescent="0.25">
      <c r="A302">
        <v>195</v>
      </c>
      <c r="B302" s="2">
        <v>40194</v>
      </c>
      <c r="C302">
        <v>1</v>
      </c>
      <c r="D302">
        <v>2010</v>
      </c>
      <c r="E302" t="s">
        <v>36</v>
      </c>
      <c r="F302" t="s">
        <v>42</v>
      </c>
      <c r="G302" t="s">
        <v>24</v>
      </c>
      <c r="H302">
        <v>46</v>
      </c>
      <c r="I302" t="s">
        <v>52</v>
      </c>
      <c r="J302">
        <v>19076</v>
      </c>
      <c r="K302">
        <v>228912</v>
      </c>
      <c r="L302">
        <v>6</v>
      </c>
      <c r="M302" t="s">
        <v>56</v>
      </c>
      <c r="N302">
        <v>2</v>
      </c>
      <c r="O302" t="s">
        <v>51</v>
      </c>
      <c r="P302" t="s">
        <v>20</v>
      </c>
      <c r="Q302" t="s">
        <v>32</v>
      </c>
      <c r="R302" t="s">
        <v>17</v>
      </c>
    </row>
    <row r="303" spans="1:18" x14ac:dyDescent="0.25">
      <c r="A303">
        <v>198</v>
      </c>
      <c r="B303" s="2">
        <v>44717</v>
      </c>
      <c r="C303">
        <v>6</v>
      </c>
      <c r="D303">
        <v>2022</v>
      </c>
      <c r="E303" t="s">
        <v>18</v>
      </c>
      <c r="F303" t="s">
        <v>19</v>
      </c>
      <c r="G303" t="s">
        <v>14</v>
      </c>
      <c r="H303">
        <v>34</v>
      </c>
      <c r="I303" t="s">
        <v>49</v>
      </c>
      <c r="J303">
        <v>19715</v>
      </c>
      <c r="K303">
        <v>236580</v>
      </c>
      <c r="L303">
        <v>6</v>
      </c>
      <c r="M303" t="s">
        <v>56</v>
      </c>
      <c r="N303">
        <v>1</v>
      </c>
      <c r="O303" t="s">
        <v>51</v>
      </c>
      <c r="P303" t="s">
        <v>15</v>
      </c>
      <c r="Q303" t="s">
        <v>32</v>
      </c>
      <c r="R303" t="s">
        <v>21</v>
      </c>
    </row>
    <row r="304" spans="1:18" x14ac:dyDescent="0.25">
      <c r="A304">
        <v>202</v>
      </c>
      <c r="B304" s="2">
        <v>42567</v>
      </c>
      <c r="C304">
        <v>7</v>
      </c>
      <c r="D304">
        <v>2016</v>
      </c>
      <c r="E304" t="s">
        <v>30</v>
      </c>
      <c r="F304" t="s">
        <v>38</v>
      </c>
      <c r="G304" t="s">
        <v>24</v>
      </c>
      <c r="H304">
        <v>23</v>
      </c>
      <c r="I304" t="s">
        <v>53</v>
      </c>
      <c r="J304">
        <v>8446</v>
      </c>
      <c r="K304">
        <v>101352</v>
      </c>
      <c r="L304">
        <v>3</v>
      </c>
      <c r="M304" t="s">
        <v>56</v>
      </c>
      <c r="N304">
        <v>4</v>
      </c>
      <c r="O304" t="s">
        <v>54</v>
      </c>
      <c r="P304" t="s">
        <v>15</v>
      </c>
      <c r="Q304" t="s">
        <v>16</v>
      </c>
      <c r="R304" t="s">
        <v>17</v>
      </c>
    </row>
    <row r="305" spans="1:18" x14ac:dyDescent="0.25">
      <c r="A305">
        <v>206</v>
      </c>
      <c r="B305" s="2">
        <v>42798</v>
      </c>
      <c r="C305">
        <v>3</v>
      </c>
      <c r="D305">
        <v>2017</v>
      </c>
      <c r="E305" t="s">
        <v>22</v>
      </c>
      <c r="F305" t="s">
        <v>23</v>
      </c>
      <c r="G305" t="s">
        <v>14</v>
      </c>
      <c r="H305">
        <v>55</v>
      </c>
      <c r="I305" t="s">
        <v>52</v>
      </c>
      <c r="J305">
        <v>14861</v>
      </c>
      <c r="K305">
        <v>178332</v>
      </c>
      <c r="L305">
        <v>4</v>
      </c>
      <c r="M305" t="s">
        <v>56</v>
      </c>
      <c r="N305">
        <v>2</v>
      </c>
      <c r="O305" t="s">
        <v>51</v>
      </c>
      <c r="P305" t="s">
        <v>15</v>
      </c>
      <c r="Q305" t="s">
        <v>32</v>
      </c>
      <c r="R305" t="s">
        <v>34</v>
      </c>
    </row>
    <row r="306" spans="1:18" x14ac:dyDescent="0.25">
      <c r="A306">
        <v>210</v>
      </c>
      <c r="B306" s="2">
        <v>40505</v>
      </c>
      <c r="C306">
        <v>11</v>
      </c>
      <c r="D306">
        <v>2010</v>
      </c>
      <c r="E306" t="s">
        <v>36</v>
      </c>
      <c r="F306" t="s">
        <v>42</v>
      </c>
      <c r="G306" t="s">
        <v>14</v>
      </c>
      <c r="H306">
        <v>53</v>
      </c>
      <c r="I306" t="s">
        <v>52</v>
      </c>
      <c r="J306">
        <v>13928</v>
      </c>
      <c r="K306">
        <v>167136</v>
      </c>
      <c r="L306">
        <v>7</v>
      </c>
      <c r="M306" t="s">
        <v>56</v>
      </c>
      <c r="N306">
        <v>4</v>
      </c>
      <c r="O306" t="s">
        <v>54</v>
      </c>
      <c r="P306" t="s">
        <v>15</v>
      </c>
      <c r="Q306" t="s">
        <v>16</v>
      </c>
      <c r="R306" t="s">
        <v>39</v>
      </c>
    </row>
    <row r="307" spans="1:18" x14ac:dyDescent="0.25">
      <c r="A307">
        <v>216</v>
      </c>
      <c r="B307" s="2">
        <v>44364</v>
      </c>
      <c r="C307">
        <v>6</v>
      </c>
      <c r="D307">
        <v>2021</v>
      </c>
      <c r="E307" t="s">
        <v>28</v>
      </c>
      <c r="F307" t="s">
        <v>29</v>
      </c>
      <c r="G307" t="s">
        <v>14</v>
      </c>
      <c r="H307">
        <v>26</v>
      </c>
      <c r="I307" t="s">
        <v>53</v>
      </c>
      <c r="J307">
        <v>12713</v>
      </c>
      <c r="K307">
        <v>152556</v>
      </c>
      <c r="L307">
        <v>3</v>
      </c>
      <c r="M307" t="s">
        <v>56</v>
      </c>
      <c r="N307">
        <v>1</v>
      </c>
      <c r="O307" t="s">
        <v>51</v>
      </c>
      <c r="P307" t="s">
        <v>20</v>
      </c>
      <c r="Q307" t="s">
        <v>32</v>
      </c>
      <c r="R307" t="s">
        <v>25</v>
      </c>
    </row>
    <row r="308" spans="1:18" x14ac:dyDescent="0.25">
      <c r="A308">
        <v>218</v>
      </c>
      <c r="B308" s="2">
        <v>43756</v>
      </c>
      <c r="C308">
        <v>10</v>
      </c>
      <c r="D308">
        <v>2019</v>
      </c>
      <c r="E308" t="s">
        <v>30</v>
      </c>
      <c r="F308" t="s">
        <v>31</v>
      </c>
      <c r="G308" t="s">
        <v>24</v>
      </c>
      <c r="H308">
        <v>22</v>
      </c>
      <c r="I308" t="s">
        <v>53</v>
      </c>
      <c r="J308">
        <v>10212</v>
      </c>
      <c r="K308">
        <v>122544</v>
      </c>
      <c r="L308">
        <v>7</v>
      </c>
      <c r="M308" t="s">
        <v>56</v>
      </c>
      <c r="N308">
        <v>1</v>
      </c>
      <c r="O308" t="s">
        <v>51</v>
      </c>
      <c r="P308" t="s">
        <v>20</v>
      </c>
      <c r="Q308" t="s">
        <v>27</v>
      </c>
      <c r="R308" t="s">
        <v>34</v>
      </c>
    </row>
    <row r="309" spans="1:18" x14ac:dyDescent="0.25">
      <c r="A309">
        <v>225</v>
      </c>
      <c r="B309" s="2">
        <v>41351</v>
      </c>
      <c r="C309">
        <v>3</v>
      </c>
      <c r="D309">
        <v>2013</v>
      </c>
      <c r="E309" t="s">
        <v>18</v>
      </c>
      <c r="F309" t="s">
        <v>19</v>
      </c>
      <c r="G309" t="s">
        <v>24</v>
      </c>
      <c r="H309">
        <v>52</v>
      </c>
      <c r="I309" t="s">
        <v>52</v>
      </c>
      <c r="J309">
        <v>9294</v>
      </c>
      <c r="K309">
        <v>111528</v>
      </c>
      <c r="L309">
        <v>3</v>
      </c>
      <c r="M309" t="s">
        <v>56</v>
      </c>
      <c r="N309">
        <v>3</v>
      </c>
      <c r="O309" t="s">
        <v>55</v>
      </c>
      <c r="P309" t="s">
        <v>20</v>
      </c>
      <c r="Q309" t="s">
        <v>32</v>
      </c>
      <c r="R309" t="s">
        <v>21</v>
      </c>
    </row>
    <row r="310" spans="1:18" x14ac:dyDescent="0.25">
      <c r="A310">
        <v>226</v>
      </c>
      <c r="B310" s="2">
        <v>42027</v>
      </c>
      <c r="C310">
        <v>1</v>
      </c>
      <c r="D310">
        <v>2015</v>
      </c>
      <c r="E310" t="s">
        <v>22</v>
      </c>
      <c r="F310" t="s">
        <v>23</v>
      </c>
      <c r="G310" t="s">
        <v>14</v>
      </c>
      <c r="H310">
        <v>39</v>
      </c>
      <c r="I310" t="s">
        <v>49</v>
      </c>
      <c r="J310">
        <v>18679</v>
      </c>
      <c r="K310">
        <v>224148</v>
      </c>
      <c r="L310">
        <v>6</v>
      </c>
      <c r="M310" t="s">
        <v>56</v>
      </c>
      <c r="N310">
        <v>1</v>
      </c>
      <c r="O310" t="s">
        <v>51</v>
      </c>
      <c r="P310" t="s">
        <v>15</v>
      </c>
      <c r="Q310" t="s">
        <v>27</v>
      </c>
      <c r="R310" t="s">
        <v>21</v>
      </c>
    </row>
    <row r="311" spans="1:18" x14ac:dyDescent="0.25">
      <c r="A311">
        <v>230</v>
      </c>
      <c r="B311" s="2">
        <v>44164</v>
      </c>
      <c r="C311">
        <v>11</v>
      </c>
      <c r="D311">
        <v>2020</v>
      </c>
      <c r="E311" t="s">
        <v>30</v>
      </c>
      <c r="F311" t="s">
        <v>38</v>
      </c>
      <c r="G311" t="s">
        <v>14</v>
      </c>
      <c r="H311">
        <v>24</v>
      </c>
      <c r="I311" t="s">
        <v>53</v>
      </c>
      <c r="J311">
        <v>4536</v>
      </c>
      <c r="K311">
        <v>54432</v>
      </c>
      <c r="L311">
        <v>3</v>
      </c>
      <c r="M311" t="s">
        <v>56</v>
      </c>
      <c r="N311">
        <v>5</v>
      </c>
      <c r="O311" t="s">
        <v>54</v>
      </c>
      <c r="P311" t="s">
        <v>20</v>
      </c>
      <c r="Q311" t="s">
        <v>32</v>
      </c>
      <c r="R311" t="s">
        <v>21</v>
      </c>
    </row>
    <row r="312" spans="1:18" x14ac:dyDescent="0.25">
      <c r="A312">
        <v>231</v>
      </c>
      <c r="B312" s="2">
        <v>41716</v>
      </c>
      <c r="C312">
        <v>3</v>
      </c>
      <c r="D312">
        <v>2014</v>
      </c>
      <c r="E312" t="s">
        <v>30</v>
      </c>
      <c r="F312" t="s">
        <v>38</v>
      </c>
      <c r="G312" t="s">
        <v>14</v>
      </c>
      <c r="H312">
        <v>25</v>
      </c>
      <c r="I312" t="s">
        <v>53</v>
      </c>
      <c r="J312">
        <v>4375</v>
      </c>
      <c r="K312">
        <v>52500</v>
      </c>
      <c r="L312">
        <v>6</v>
      </c>
      <c r="M312" t="s">
        <v>56</v>
      </c>
      <c r="N312">
        <v>5</v>
      </c>
      <c r="O312" t="s">
        <v>54</v>
      </c>
      <c r="P312" t="s">
        <v>15</v>
      </c>
      <c r="Q312" t="s">
        <v>32</v>
      </c>
      <c r="R312" t="s">
        <v>21</v>
      </c>
    </row>
    <row r="313" spans="1:18" x14ac:dyDescent="0.25">
      <c r="A313">
        <v>237</v>
      </c>
      <c r="B313" s="2">
        <v>40804</v>
      </c>
      <c r="C313">
        <v>9</v>
      </c>
      <c r="D313">
        <v>2011</v>
      </c>
      <c r="E313" t="s">
        <v>12</v>
      </c>
      <c r="F313" t="s">
        <v>13</v>
      </c>
      <c r="G313" t="s">
        <v>24</v>
      </c>
      <c r="H313">
        <v>33</v>
      </c>
      <c r="I313" t="s">
        <v>49</v>
      </c>
      <c r="J313">
        <v>15143</v>
      </c>
      <c r="K313">
        <v>181716</v>
      </c>
      <c r="L313">
        <v>4</v>
      </c>
      <c r="M313" t="s">
        <v>56</v>
      </c>
      <c r="N313">
        <v>2</v>
      </c>
      <c r="O313" t="s">
        <v>51</v>
      </c>
      <c r="P313" t="s">
        <v>20</v>
      </c>
      <c r="Q313" t="s">
        <v>32</v>
      </c>
      <c r="R313" t="s">
        <v>21</v>
      </c>
    </row>
    <row r="314" spans="1:18" x14ac:dyDescent="0.25">
      <c r="A314">
        <v>241</v>
      </c>
      <c r="B314" s="2">
        <v>44907</v>
      </c>
      <c r="C314">
        <v>12</v>
      </c>
      <c r="D314">
        <v>2022</v>
      </c>
      <c r="E314" t="s">
        <v>12</v>
      </c>
      <c r="F314" t="s">
        <v>13</v>
      </c>
      <c r="G314" t="s">
        <v>14</v>
      </c>
      <c r="H314">
        <v>22</v>
      </c>
      <c r="I314" t="s">
        <v>53</v>
      </c>
      <c r="J314">
        <v>8938</v>
      </c>
      <c r="K314">
        <v>107256</v>
      </c>
      <c r="L314">
        <v>6</v>
      </c>
      <c r="M314" t="s">
        <v>56</v>
      </c>
      <c r="N314">
        <v>1</v>
      </c>
      <c r="O314" t="s">
        <v>51</v>
      </c>
      <c r="P314" t="s">
        <v>20</v>
      </c>
      <c r="Q314" t="s">
        <v>32</v>
      </c>
      <c r="R314" t="s">
        <v>25</v>
      </c>
    </row>
    <row r="315" spans="1:18" x14ac:dyDescent="0.25">
      <c r="A315">
        <v>247</v>
      </c>
      <c r="B315" s="2">
        <v>44478</v>
      </c>
      <c r="C315">
        <v>10</v>
      </c>
      <c r="D315">
        <v>2021</v>
      </c>
      <c r="E315" t="s">
        <v>36</v>
      </c>
      <c r="F315" t="s">
        <v>42</v>
      </c>
      <c r="G315" t="s">
        <v>14</v>
      </c>
      <c r="H315">
        <v>46</v>
      </c>
      <c r="I315" t="s">
        <v>52</v>
      </c>
      <c r="J315">
        <v>14599</v>
      </c>
      <c r="K315">
        <v>175188</v>
      </c>
      <c r="L315">
        <v>7</v>
      </c>
      <c r="M315" t="s">
        <v>56</v>
      </c>
      <c r="N315">
        <v>1</v>
      </c>
      <c r="O315" t="s">
        <v>51</v>
      </c>
      <c r="P315" t="s">
        <v>15</v>
      </c>
      <c r="Q315" t="s">
        <v>16</v>
      </c>
      <c r="R315" t="s">
        <v>34</v>
      </c>
    </row>
    <row r="316" spans="1:18" x14ac:dyDescent="0.25">
      <c r="A316">
        <v>249</v>
      </c>
      <c r="B316" s="2">
        <v>42151</v>
      </c>
      <c r="C316">
        <v>5</v>
      </c>
      <c r="D316">
        <v>2015</v>
      </c>
      <c r="E316" t="s">
        <v>30</v>
      </c>
      <c r="F316" t="s">
        <v>31</v>
      </c>
      <c r="G316" t="s">
        <v>24</v>
      </c>
      <c r="H316">
        <v>43</v>
      </c>
      <c r="I316" t="s">
        <v>49</v>
      </c>
      <c r="J316">
        <v>9356</v>
      </c>
      <c r="K316">
        <v>112272</v>
      </c>
      <c r="L316">
        <v>3</v>
      </c>
      <c r="M316" t="s">
        <v>56</v>
      </c>
      <c r="N316">
        <v>4</v>
      </c>
      <c r="O316" t="s">
        <v>54</v>
      </c>
      <c r="P316" t="s">
        <v>15</v>
      </c>
      <c r="Q316" t="s">
        <v>27</v>
      </c>
      <c r="R316" t="s">
        <v>17</v>
      </c>
    </row>
    <row r="317" spans="1:18" x14ac:dyDescent="0.25">
      <c r="A317">
        <v>250</v>
      </c>
      <c r="B317" s="2">
        <v>40721</v>
      </c>
      <c r="C317">
        <v>6</v>
      </c>
      <c r="D317">
        <v>2011</v>
      </c>
      <c r="E317" t="s">
        <v>36</v>
      </c>
      <c r="F317" t="s">
        <v>40</v>
      </c>
      <c r="G317" t="s">
        <v>14</v>
      </c>
      <c r="H317">
        <v>60</v>
      </c>
      <c r="I317" t="s">
        <v>52</v>
      </c>
      <c r="J317">
        <v>8927</v>
      </c>
      <c r="K317">
        <v>107124</v>
      </c>
      <c r="L317">
        <v>5</v>
      </c>
      <c r="M317" t="s">
        <v>56</v>
      </c>
      <c r="N317">
        <v>2</v>
      </c>
      <c r="O317" t="s">
        <v>51</v>
      </c>
      <c r="P317" t="s">
        <v>15</v>
      </c>
      <c r="Q317" t="s">
        <v>16</v>
      </c>
      <c r="R317" t="s">
        <v>39</v>
      </c>
    </row>
    <row r="318" spans="1:18" x14ac:dyDescent="0.25">
      <c r="A318">
        <v>251</v>
      </c>
      <c r="B318" s="2">
        <v>43401</v>
      </c>
      <c r="C318">
        <v>10</v>
      </c>
      <c r="D318">
        <v>2018</v>
      </c>
      <c r="E318" t="s">
        <v>12</v>
      </c>
      <c r="F318" t="s">
        <v>13</v>
      </c>
      <c r="G318" t="s">
        <v>24</v>
      </c>
      <c r="H318">
        <v>51</v>
      </c>
      <c r="I318" t="s">
        <v>52</v>
      </c>
      <c r="J318">
        <v>7013</v>
      </c>
      <c r="K318">
        <v>84156</v>
      </c>
      <c r="L318">
        <v>7</v>
      </c>
      <c r="M318" t="s">
        <v>56</v>
      </c>
      <c r="N318">
        <v>5</v>
      </c>
      <c r="O318" t="s">
        <v>54</v>
      </c>
      <c r="P318" t="s">
        <v>15</v>
      </c>
      <c r="Q318" t="s">
        <v>32</v>
      </c>
      <c r="R318" t="s">
        <v>21</v>
      </c>
    </row>
    <row r="319" spans="1:18" x14ac:dyDescent="0.25">
      <c r="A319">
        <v>253</v>
      </c>
      <c r="B319" s="2">
        <v>40426</v>
      </c>
      <c r="C319">
        <v>9</v>
      </c>
      <c r="D319">
        <v>2010</v>
      </c>
      <c r="E319" t="s">
        <v>28</v>
      </c>
      <c r="F319" t="s">
        <v>29</v>
      </c>
      <c r="G319" t="s">
        <v>14</v>
      </c>
      <c r="H319">
        <v>52</v>
      </c>
      <c r="I319" t="s">
        <v>52</v>
      </c>
      <c r="J319">
        <v>4280</v>
      </c>
      <c r="K319">
        <v>51360</v>
      </c>
      <c r="L319">
        <v>5</v>
      </c>
      <c r="M319" t="s">
        <v>56</v>
      </c>
      <c r="N319">
        <v>3</v>
      </c>
      <c r="O319" t="s">
        <v>55</v>
      </c>
      <c r="P319" t="s">
        <v>20</v>
      </c>
      <c r="Q319" t="s">
        <v>32</v>
      </c>
      <c r="R319" t="s">
        <v>25</v>
      </c>
    </row>
    <row r="320" spans="1:18" x14ac:dyDescent="0.25">
      <c r="A320">
        <v>255</v>
      </c>
      <c r="B320" s="2">
        <v>43374</v>
      </c>
      <c r="C320">
        <v>10</v>
      </c>
      <c r="D320">
        <v>2018</v>
      </c>
      <c r="E320" t="s">
        <v>12</v>
      </c>
      <c r="F320" t="s">
        <v>13</v>
      </c>
      <c r="G320" t="s">
        <v>24</v>
      </c>
      <c r="H320">
        <v>51</v>
      </c>
      <c r="I320" t="s">
        <v>52</v>
      </c>
      <c r="J320">
        <v>5339</v>
      </c>
      <c r="K320">
        <v>64068</v>
      </c>
      <c r="L320">
        <v>7</v>
      </c>
      <c r="M320" t="s">
        <v>56</v>
      </c>
      <c r="N320">
        <v>2</v>
      </c>
      <c r="O320" t="s">
        <v>51</v>
      </c>
      <c r="P320" t="s">
        <v>20</v>
      </c>
      <c r="Q320" t="s">
        <v>16</v>
      </c>
      <c r="R320" t="s">
        <v>21</v>
      </c>
    </row>
    <row r="321" spans="1:18" x14ac:dyDescent="0.25">
      <c r="A321">
        <v>256</v>
      </c>
      <c r="B321" s="2">
        <v>42285</v>
      </c>
      <c r="C321">
        <v>10</v>
      </c>
      <c r="D321">
        <v>2015</v>
      </c>
      <c r="E321" t="s">
        <v>12</v>
      </c>
      <c r="F321" t="s">
        <v>41</v>
      </c>
      <c r="G321" t="s">
        <v>24</v>
      </c>
      <c r="H321">
        <v>43</v>
      </c>
      <c r="I321" t="s">
        <v>49</v>
      </c>
      <c r="J321">
        <v>11145</v>
      </c>
      <c r="K321">
        <v>133740</v>
      </c>
      <c r="L321">
        <v>3</v>
      </c>
      <c r="M321" t="s">
        <v>56</v>
      </c>
      <c r="N321">
        <v>2</v>
      </c>
      <c r="O321" t="s">
        <v>51</v>
      </c>
      <c r="P321" t="s">
        <v>15</v>
      </c>
      <c r="Q321" t="s">
        <v>32</v>
      </c>
      <c r="R321" t="s">
        <v>17</v>
      </c>
    </row>
    <row r="322" spans="1:18" x14ac:dyDescent="0.25">
      <c r="A322">
        <v>258</v>
      </c>
      <c r="B322" s="2">
        <v>41471</v>
      </c>
      <c r="C322">
        <v>7</v>
      </c>
      <c r="D322">
        <v>2013</v>
      </c>
      <c r="E322" t="s">
        <v>22</v>
      </c>
      <c r="F322" t="s">
        <v>23</v>
      </c>
      <c r="G322" t="s">
        <v>14</v>
      </c>
      <c r="H322">
        <v>40</v>
      </c>
      <c r="I322" t="s">
        <v>49</v>
      </c>
      <c r="J322">
        <v>6978</v>
      </c>
      <c r="K322">
        <v>83736</v>
      </c>
      <c r="L322">
        <v>6</v>
      </c>
      <c r="M322" t="s">
        <v>56</v>
      </c>
      <c r="N322">
        <v>1</v>
      </c>
      <c r="O322" t="s">
        <v>51</v>
      </c>
      <c r="P322" t="s">
        <v>20</v>
      </c>
      <c r="Q322" t="s">
        <v>27</v>
      </c>
      <c r="R322" t="s">
        <v>34</v>
      </c>
    </row>
    <row r="323" spans="1:18" x14ac:dyDescent="0.25">
      <c r="A323">
        <v>262</v>
      </c>
      <c r="B323" s="2">
        <v>44315</v>
      </c>
      <c r="C323">
        <v>4</v>
      </c>
      <c r="D323">
        <v>2021</v>
      </c>
      <c r="E323" t="s">
        <v>12</v>
      </c>
      <c r="F323" t="s">
        <v>41</v>
      </c>
      <c r="G323" t="s">
        <v>24</v>
      </c>
      <c r="H323">
        <v>32</v>
      </c>
      <c r="I323" t="s">
        <v>49</v>
      </c>
      <c r="J323">
        <v>11633</v>
      </c>
      <c r="K323">
        <v>139596</v>
      </c>
      <c r="L323">
        <v>7</v>
      </c>
      <c r="M323" t="s">
        <v>56</v>
      </c>
      <c r="N323">
        <v>1</v>
      </c>
      <c r="O323" t="s">
        <v>51</v>
      </c>
      <c r="P323" t="s">
        <v>15</v>
      </c>
      <c r="Q323" t="s">
        <v>32</v>
      </c>
      <c r="R323" t="s">
        <v>17</v>
      </c>
    </row>
    <row r="324" spans="1:18" x14ac:dyDescent="0.25">
      <c r="A324">
        <v>270</v>
      </c>
      <c r="B324" s="2">
        <v>42068</v>
      </c>
      <c r="C324">
        <v>3</v>
      </c>
      <c r="D324">
        <v>2015</v>
      </c>
      <c r="E324" t="s">
        <v>28</v>
      </c>
      <c r="F324" t="s">
        <v>29</v>
      </c>
      <c r="G324" t="s">
        <v>14</v>
      </c>
      <c r="H324">
        <v>29</v>
      </c>
      <c r="I324" t="s">
        <v>53</v>
      </c>
      <c r="J324">
        <v>16381</v>
      </c>
      <c r="K324">
        <v>196572</v>
      </c>
      <c r="L324">
        <v>7</v>
      </c>
      <c r="M324" t="s">
        <v>56</v>
      </c>
      <c r="N324">
        <v>3</v>
      </c>
      <c r="O324" t="s">
        <v>55</v>
      </c>
      <c r="P324" t="s">
        <v>15</v>
      </c>
      <c r="Q324" t="s">
        <v>32</v>
      </c>
      <c r="R324" t="s">
        <v>34</v>
      </c>
    </row>
    <row r="325" spans="1:18" x14ac:dyDescent="0.25">
      <c r="A325">
        <v>273</v>
      </c>
      <c r="B325" s="2">
        <v>41977</v>
      </c>
      <c r="C325">
        <v>12</v>
      </c>
      <c r="D325">
        <v>2014</v>
      </c>
      <c r="E325" t="s">
        <v>30</v>
      </c>
      <c r="F325" t="s">
        <v>31</v>
      </c>
      <c r="G325" t="s">
        <v>24</v>
      </c>
      <c r="H325">
        <v>38</v>
      </c>
      <c r="I325" t="s">
        <v>49</v>
      </c>
      <c r="J325">
        <v>11299</v>
      </c>
      <c r="K325">
        <v>135588</v>
      </c>
      <c r="L325">
        <v>5</v>
      </c>
      <c r="M325" t="s">
        <v>56</v>
      </c>
      <c r="N325">
        <v>4</v>
      </c>
      <c r="O325" t="s">
        <v>54</v>
      </c>
      <c r="P325" t="s">
        <v>20</v>
      </c>
      <c r="Q325" t="s">
        <v>32</v>
      </c>
      <c r="R325" t="s">
        <v>34</v>
      </c>
    </row>
    <row r="326" spans="1:18" x14ac:dyDescent="0.25">
      <c r="A326">
        <v>274</v>
      </c>
      <c r="B326" s="2">
        <v>40601</v>
      </c>
      <c r="C326">
        <v>2</v>
      </c>
      <c r="D326">
        <v>2011</v>
      </c>
      <c r="E326" t="s">
        <v>12</v>
      </c>
      <c r="F326" t="s">
        <v>13</v>
      </c>
      <c r="G326" t="s">
        <v>24</v>
      </c>
      <c r="H326">
        <v>32</v>
      </c>
      <c r="I326" t="s">
        <v>49</v>
      </c>
      <c r="J326">
        <v>4140</v>
      </c>
      <c r="K326">
        <v>49680</v>
      </c>
      <c r="L326">
        <v>5</v>
      </c>
      <c r="M326" t="s">
        <v>56</v>
      </c>
      <c r="N326">
        <v>5</v>
      </c>
      <c r="O326" t="s">
        <v>54</v>
      </c>
      <c r="P326" t="s">
        <v>20</v>
      </c>
      <c r="Q326" t="s">
        <v>16</v>
      </c>
      <c r="R326" t="s">
        <v>34</v>
      </c>
    </row>
    <row r="327" spans="1:18" x14ac:dyDescent="0.25">
      <c r="A327">
        <v>286</v>
      </c>
      <c r="B327" s="2">
        <v>42440</v>
      </c>
      <c r="C327">
        <v>3</v>
      </c>
      <c r="D327">
        <v>2016</v>
      </c>
      <c r="E327" t="s">
        <v>30</v>
      </c>
      <c r="F327" t="s">
        <v>31</v>
      </c>
      <c r="G327" t="s">
        <v>14</v>
      </c>
      <c r="H327">
        <v>23</v>
      </c>
      <c r="I327" t="s">
        <v>53</v>
      </c>
      <c r="J327">
        <v>14807</v>
      </c>
      <c r="K327">
        <v>177684</v>
      </c>
      <c r="L327">
        <v>3</v>
      </c>
      <c r="M327" t="s">
        <v>56</v>
      </c>
      <c r="N327">
        <v>5</v>
      </c>
      <c r="O327" t="s">
        <v>54</v>
      </c>
      <c r="P327" t="s">
        <v>20</v>
      </c>
      <c r="Q327" t="s">
        <v>27</v>
      </c>
      <c r="R327" t="s">
        <v>17</v>
      </c>
    </row>
    <row r="328" spans="1:18" x14ac:dyDescent="0.25">
      <c r="A328">
        <v>287</v>
      </c>
      <c r="B328" s="2">
        <v>44687</v>
      </c>
      <c r="C328">
        <v>5</v>
      </c>
      <c r="D328">
        <v>2022</v>
      </c>
      <c r="E328" t="s">
        <v>28</v>
      </c>
      <c r="F328" t="s">
        <v>29</v>
      </c>
      <c r="G328" t="s">
        <v>24</v>
      </c>
      <c r="H328">
        <v>30</v>
      </c>
      <c r="I328" t="s">
        <v>49</v>
      </c>
      <c r="J328">
        <v>16045</v>
      </c>
      <c r="K328">
        <v>192540</v>
      </c>
      <c r="L328">
        <v>5</v>
      </c>
      <c r="M328" t="s">
        <v>56</v>
      </c>
      <c r="N328">
        <v>5</v>
      </c>
      <c r="O328" t="s">
        <v>54</v>
      </c>
      <c r="P328" t="s">
        <v>20</v>
      </c>
      <c r="Q328" t="s">
        <v>32</v>
      </c>
      <c r="R328" t="s">
        <v>17</v>
      </c>
    </row>
    <row r="329" spans="1:18" x14ac:dyDescent="0.25">
      <c r="A329">
        <v>288</v>
      </c>
      <c r="B329" s="2">
        <v>42257</v>
      </c>
      <c r="C329">
        <v>9</v>
      </c>
      <c r="D329">
        <v>2015</v>
      </c>
      <c r="E329" t="s">
        <v>12</v>
      </c>
      <c r="F329" t="s">
        <v>13</v>
      </c>
      <c r="G329" t="s">
        <v>14</v>
      </c>
      <c r="H329">
        <v>47</v>
      </c>
      <c r="I329" t="s">
        <v>52</v>
      </c>
      <c r="J329">
        <v>19304</v>
      </c>
      <c r="K329">
        <v>231648</v>
      </c>
      <c r="L329">
        <v>6</v>
      </c>
      <c r="M329" t="s">
        <v>56</v>
      </c>
      <c r="N329">
        <v>4</v>
      </c>
      <c r="O329" t="s">
        <v>54</v>
      </c>
      <c r="P329" t="s">
        <v>20</v>
      </c>
      <c r="Q329" t="s">
        <v>32</v>
      </c>
      <c r="R329" t="s">
        <v>25</v>
      </c>
    </row>
    <row r="330" spans="1:18" x14ac:dyDescent="0.25">
      <c r="A330">
        <v>289</v>
      </c>
      <c r="B330" s="2">
        <v>44052</v>
      </c>
      <c r="C330">
        <v>8</v>
      </c>
      <c r="D330">
        <v>2020</v>
      </c>
      <c r="E330" t="s">
        <v>28</v>
      </c>
      <c r="F330" t="s">
        <v>29</v>
      </c>
      <c r="G330" t="s">
        <v>14</v>
      </c>
      <c r="H330">
        <v>56</v>
      </c>
      <c r="I330" t="s">
        <v>52</v>
      </c>
      <c r="J330">
        <v>8084</v>
      </c>
      <c r="K330">
        <v>97008</v>
      </c>
      <c r="L330">
        <v>4</v>
      </c>
      <c r="M330" t="s">
        <v>56</v>
      </c>
      <c r="N330">
        <v>2</v>
      </c>
      <c r="O330" t="s">
        <v>51</v>
      </c>
      <c r="P330" t="s">
        <v>15</v>
      </c>
      <c r="Q330" t="s">
        <v>27</v>
      </c>
      <c r="R330" t="s">
        <v>34</v>
      </c>
    </row>
    <row r="331" spans="1:18" x14ac:dyDescent="0.25">
      <c r="A331">
        <v>291</v>
      </c>
      <c r="B331" s="2">
        <v>40914</v>
      </c>
      <c r="C331">
        <v>1</v>
      </c>
      <c r="D331">
        <v>2012</v>
      </c>
      <c r="E331" t="s">
        <v>36</v>
      </c>
      <c r="F331" t="s">
        <v>42</v>
      </c>
      <c r="G331" t="s">
        <v>14</v>
      </c>
      <c r="H331">
        <v>45</v>
      </c>
      <c r="I331" t="s">
        <v>49</v>
      </c>
      <c r="J331">
        <v>5798</v>
      </c>
      <c r="K331">
        <v>69576</v>
      </c>
      <c r="L331">
        <v>6</v>
      </c>
      <c r="M331" t="s">
        <v>56</v>
      </c>
      <c r="N331">
        <v>1</v>
      </c>
      <c r="O331" t="s">
        <v>51</v>
      </c>
      <c r="P331" t="s">
        <v>20</v>
      </c>
      <c r="Q331" t="s">
        <v>32</v>
      </c>
      <c r="R331" t="s">
        <v>17</v>
      </c>
    </row>
    <row r="332" spans="1:18" x14ac:dyDescent="0.25">
      <c r="A332">
        <v>292</v>
      </c>
      <c r="B332" s="2">
        <v>41984</v>
      </c>
      <c r="C332">
        <v>12</v>
      </c>
      <c r="D332">
        <v>2014</v>
      </c>
      <c r="E332" t="s">
        <v>28</v>
      </c>
      <c r="F332" t="s">
        <v>29</v>
      </c>
      <c r="G332" t="s">
        <v>24</v>
      </c>
      <c r="H332">
        <v>41</v>
      </c>
      <c r="I332" t="s">
        <v>49</v>
      </c>
      <c r="J332">
        <v>13111</v>
      </c>
      <c r="K332">
        <v>157332</v>
      </c>
      <c r="L332">
        <v>5</v>
      </c>
      <c r="M332" t="s">
        <v>56</v>
      </c>
      <c r="N332">
        <v>1</v>
      </c>
      <c r="O332" t="s">
        <v>51</v>
      </c>
      <c r="P332" t="s">
        <v>15</v>
      </c>
      <c r="Q332" t="s">
        <v>32</v>
      </c>
      <c r="R332" t="s">
        <v>17</v>
      </c>
    </row>
    <row r="333" spans="1:18" x14ac:dyDescent="0.25">
      <c r="A333">
        <v>295</v>
      </c>
      <c r="B333" s="2">
        <v>41773</v>
      </c>
      <c r="C333">
        <v>5</v>
      </c>
      <c r="D333">
        <v>2014</v>
      </c>
      <c r="E333" t="s">
        <v>36</v>
      </c>
      <c r="F333" t="s">
        <v>40</v>
      </c>
      <c r="G333" t="s">
        <v>24</v>
      </c>
      <c r="H333">
        <v>59</v>
      </c>
      <c r="I333" t="s">
        <v>52</v>
      </c>
      <c r="J333">
        <v>5060</v>
      </c>
      <c r="K333">
        <v>60720</v>
      </c>
      <c r="L333">
        <v>5</v>
      </c>
      <c r="M333" t="s">
        <v>56</v>
      </c>
      <c r="N333">
        <v>2</v>
      </c>
      <c r="O333" t="s">
        <v>51</v>
      </c>
      <c r="P333" t="s">
        <v>15</v>
      </c>
      <c r="Q333" t="s">
        <v>16</v>
      </c>
      <c r="R333" t="s">
        <v>25</v>
      </c>
    </row>
    <row r="334" spans="1:18" x14ac:dyDescent="0.25">
      <c r="A334">
        <v>296</v>
      </c>
      <c r="B334" s="2">
        <v>41211</v>
      </c>
      <c r="C334">
        <v>10</v>
      </c>
      <c r="D334">
        <v>2012</v>
      </c>
      <c r="E334" t="s">
        <v>36</v>
      </c>
      <c r="F334" t="s">
        <v>42</v>
      </c>
      <c r="G334" t="s">
        <v>24</v>
      </c>
      <c r="H334">
        <v>53</v>
      </c>
      <c r="I334" t="s">
        <v>52</v>
      </c>
      <c r="J334">
        <v>18713</v>
      </c>
      <c r="K334">
        <v>224556</v>
      </c>
      <c r="L334">
        <v>4</v>
      </c>
      <c r="M334" t="s">
        <v>56</v>
      </c>
      <c r="N334">
        <v>4</v>
      </c>
      <c r="O334" t="s">
        <v>54</v>
      </c>
      <c r="P334" t="s">
        <v>15</v>
      </c>
      <c r="Q334" t="s">
        <v>27</v>
      </c>
      <c r="R334" t="s">
        <v>25</v>
      </c>
    </row>
    <row r="335" spans="1:18" x14ac:dyDescent="0.25">
      <c r="A335">
        <v>299</v>
      </c>
      <c r="B335" s="2">
        <v>44981</v>
      </c>
      <c r="C335">
        <v>2</v>
      </c>
      <c r="D335">
        <v>2023</v>
      </c>
      <c r="E335" t="s">
        <v>28</v>
      </c>
      <c r="F335" t="s">
        <v>33</v>
      </c>
      <c r="G335" t="s">
        <v>24</v>
      </c>
      <c r="H335">
        <v>33</v>
      </c>
      <c r="I335" t="s">
        <v>49</v>
      </c>
      <c r="J335">
        <v>7785</v>
      </c>
      <c r="K335">
        <v>93420</v>
      </c>
      <c r="L335">
        <v>5</v>
      </c>
      <c r="M335" t="s">
        <v>56</v>
      </c>
      <c r="N335">
        <v>1</v>
      </c>
      <c r="O335" t="s">
        <v>51</v>
      </c>
      <c r="P335" t="s">
        <v>15</v>
      </c>
      <c r="Q335" t="s">
        <v>32</v>
      </c>
      <c r="R335" t="s">
        <v>25</v>
      </c>
    </row>
    <row r="336" spans="1:18" x14ac:dyDescent="0.25">
      <c r="A336">
        <v>300</v>
      </c>
      <c r="B336" s="2">
        <v>44541</v>
      </c>
      <c r="C336">
        <v>12</v>
      </c>
      <c r="D336">
        <v>2021</v>
      </c>
      <c r="E336" t="s">
        <v>30</v>
      </c>
      <c r="F336" t="s">
        <v>38</v>
      </c>
      <c r="G336" t="s">
        <v>24</v>
      </c>
      <c r="H336">
        <v>42</v>
      </c>
      <c r="I336" t="s">
        <v>49</v>
      </c>
      <c r="J336">
        <v>15916</v>
      </c>
      <c r="K336">
        <v>190992</v>
      </c>
      <c r="L336">
        <v>3</v>
      </c>
      <c r="M336" t="s">
        <v>56</v>
      </c>
      <c r="N336">
        <v>2</v>
      </c>
      <c r="O336" t="s">
        <v>51</v>
      </c>
      <c r="P336" t="s">
        <v>15</v>
      </c>
      <c r="Q336" t="s">
        <v>16</v>
      </c>
      <c r="R336" t="s">
        <v>25</v>
      </c>
    </row>
    <row r="337" spans="1:18" x14ac:dyDescent="0.25">
      <c r="A337">
        <v>301</v>
      </c>
      <c r="B337" s="2">
        <v>40496</v>
      </c>
      <c r="C337">
        <v>11</v>
      </c>
      <c r="D337">
        <v>2010</v>
      </c>
      <c r="E337" t="s">
        <v>30</v>
      </c>
      <c r="F337" t="s">
        <v>31</v>
      </c>
      <c r="G337" t="s">
        <v>24</v>
      </c>
      <c r="H337">
        <v>60</v>
      </c>
      <c r="I337" t="s">
        <v>52</v>
      </c>
      <c r="J337">
        <v>10156</v>
      </c>
      <c r="K337">
        <v>121872</v>
      </c>
      <c r="L337">
        <v>3</v>
      </c>
      <c r="M337" t="s">
        <v>56</v>
      </c>
      <c r="N337">
        <v>2</v>
      </c>
      <c r="O337" t="s">
        <v>51</v>
      </c>
      <c r="P337" t="s">
        <v>15</v>
      </c>
      <c r="Q337" t="s">
        <v>16</v>
      </c>
      <c r="R337" t="s">
        <v>34</v>
      </c>
    </row>
    <row r="338" spans="1:18" x14ac:dyDescent="0.25">
      <c r="A338">
        <v>303</v>
      </c>
      <c r="B338" s="2">
        <v>43623</v>
      </c>
      <c r="C338">
        <v>6</v>
      </c>
      <c r="D338">
        <v>2019</v>
      </c>
      <c r="E338" t="s">
        <v>18</v>
      </c>
      <c r="F338" t="s">
        <v>19</v>
      </c>
      <c r="G338" t="s">
        <v>14</v>
      </c>
      <c r="H338">
        <v>35</v>
      </c>
      <c r="I338" t="s">
        <v>49</v>
      </c>
      <c r="J338">
        <v>15846</v>
      </c>
      <c r="K338">
        <v>190152</v>
      </c>
      <c r="L338">
        <v>6</v>
      </c>
      <c r="M338" t="s">
        <v>56</v>
      </c>
      <c r="N338">
        <v>4</v>
      </c>
      <c r="O338" t="s">
        <v>54</v>
      </c>
      <c r="P338" t="s">
        <v>15</v>
      </c>
      <c r="Q338" t="s">
        <v>16</v>
      </c>
      <c r="R338" t="s">
        <v>17</v>
      </c>
    </row>
    <row r="339" spans="1:18" x14ac:dyDescent="0.25">
      <c r="A339">
        <v>306</v>
      </c>
      <c r="B339" s="2">
        <v>44110</v>
      </c>
      <c r="C339">
        <v>10</v>
      </c>
      <c r="D339">
        <v>2020</v>
      </c>
      <c r="E339" t="s">
        <v>22</v>
      </c>
      <c r="F339" t="s">
        <v>35</v>
      </c>
      <c r="G339" t="s">
        <v>24</v>
      </c>
      <c r="H339">
        <v>23</v>
      </c>
      <c r="I339" t="s">
        <v>53</v>
      </c>
      <c r="J339">
        <v>9673</v>
      </c>
      <c r="K339">
        <v>116076</v>
      </c>
      <c r="L339">
        <v>7</v>
      </c>
      <c r="M339" t="s">
        <v>56</v>
      </c>
      <c r="N339">
        <v>5</v>
      </c>
      <c r="O339" t="s">
        <v>54</v>
      </c>
      <c r="P339" t="s">
        <v>15</v>
      </c>
      <c r="Q339" t="s">
        <v>32</v>
      </c>
      <c r="R339" t="s">
        <v>25</v>
      </c>
    </row>
    <row r="340" spans="1:18" x14ac:dyDescent="0.25">
      <c r="A340">
        <v>307</v>
      </c>
      <c r="B340" s="2">
        <v>44723</v>
      </c>
      <c r="C340">
        <v>6</v>
      </c>
      <c r="D340">
        <v>2022</v>
      </c>
      <c r="E340" t="s">
        <v>22</v>
      </c>
      <c r="F340" t="s">
        <v>35</v>
      </c>
      <c r="G340" t="s">
        <v>24</v>
      </c>
      <c r="H340">
        <v>43</v>
      </c>
      <c r="I340" t="s">
        <v>49</v>
      </c>
      <c r="J340">
        <v>17071</v>
      </c>
      <c r="K340">
        <v>204852</v>
      </c>
      <c r="L340">
        <v>3</v>
      </c>
      <c r="M340" t="s">
        <v>56</v>
      </c>
      <c r="N340">
        <v>4</v>
      </c>
      <c r="O340" t="s">
        <v>54</v>
      </c>
      <c r="P340" t="s">
        <v>15</v>
      </c>
      <c r="Q340" t="s">
        <v>27</v>
      </c>
      <c r="R340" t="s">
        <v>25</v>
      </c>
    </row>
    <row r="341" spans="1:18" x14ac:dyDescent="0.25">
      <c r="A341">
        <v>310</v>
      </c>
      <c r="B341" s="2">
        <v>40344</v>
      </c>
      <c r="C341">
        <v>6</v>
      </c>
      <c r="D341">
        <v>2010</v>
      </c>
      <c r="E341" t="s">
        <v>12</v>
      </c>
      <c r="F341" t="s">
        <v>41</v>
      </c>
      <c r="G341" t="s">
        <v>14</v>
      </c>
      <c r="H341">
        <v>55</v>
      </c>
      <c r="I341" t="s">
        <v>52</v>
      </c>
      <c r="J341">
        <v>13644</v>
      </c>
      <c r="K341">
        <v>163728</v>
      </c>
      <c r="L341">
        <v>3</v>
      </c>
      <c r="M341" t="s">
        <v>56</v>
      </c>
      <c r="N341">
        <v>3</v>
      </c>
      <c r="O341" t="s">
        <v>55</v>
      </c>
      <c r="P341" t="s">
        <v>15</v>
      </c>
      <c r="Q341" t="s">
        <v>27</v>
      </c>
      <c r="R341" t="s">
        <v>25</v>
      </c>
    </row>
    <row r="342" spans="1:18" x14ac:dyDescent="0.25">
      <c r="A342">
        <v>311</v>
      </c>
      <c r="B342" s="2">
        <v>42374</v>
      </c>
      <c r="C342">
        <v>1</v>
      </c>
      <c r="D342">
        <v>2016</v>
      </c>
      <c r="E342" t="s">
        <v>22</v>
      </c>
      <c r="F342" t="s">
        <v>23</v>
      </c>
      <c r="G342" t="s">
        <v>24</v>
      </c>
      <c r="H342">
        <v>60</v>
      </c>
      <c r="I342" t="s">
        <v>52</v>
      </c>
      <c r="J342">
        <v>13291</v>
      </c>
      <c r="K342">
        <v>159492</v>
      </c>
      <c r="L342">
        <v>6</v>
      </c>
      <c r="M342" t="s">
        <v>56</v>
      </c>
      <c r="N342">
        <v>1</v>
      </c>
      <c r="O342" t="s">
        <v>51</v>
      </c>
      <c r="P342" t="s">
        <v>20</v>
      </c>
      <c r="Q342" t="s">
        <v>16</v>
      </c>
      <c r="R342" t="s">
        <v>21</v>
      </c>
    </row>
    <row r="343" spans="1:18" x14ac:dyDescent="0.25">
      <c r="A343">
        <v>312</v>
      </c>
      <c r="B343" s="2">
        <v>43026</v>
      </c>
      <c r="C343">
        <v>10</v>
      </c>
      <c r="D343">
        <v>2017</v>
      </c>
      <c r="E343" t="s">
        <v>30</v>
      </c>
      <c r="F343" t="s">
        <v>38</v>
      </c>
      <c r="G343" t="s">
        <v>14</v>
      </c>
      <c r="H343">
        <v>40</v>
      </c>
      <c r="I343" t="s">
        <v>49</v>
      </c>
      <c r="J343">
        <v>9675</v>
      </c>
      <c r="K343">
        <v>116100</v>
      </c>
      <c r="L343">
        <v>4</v>
      </c>
      <c r="M343" t="s">
        <v>56</v>
      </c>
      <c r="N343">
        <v>5</v>
      </c>
      <c r="O343" t="s">
        <v>54</v>
      </c>
      <c r="P343" t="s">
        <v>15</v>
      </c>
      <c r="Q343" t="s">
        <v>27</v>
      </c>
      <c r="R343" t="s">
        <v>25</v>
      </c>
    </row>
    <row r="344" spans="1:18" x14ac:dyDescent="0.25">
      <c r="A344">
        <v>317</v>
      </c>
      <c r="B344" s="2">
        <v>43909</v>
      </c>
      <c r="C344">
        <v>3</v>
      </c>
      <c r="D344">
        <v>2020</v>
      </c>
      <c r="E344" t="s">
        <v>12</v>
      </c>
      <c r="F344" t="s">
        <v>41</v>
      </c>
      <c r="G344" t="s">
        <v>14</v>
      </c>
      <c r="H344">
        <v>27</v>
      </c>
      <c r="I344" t="s">
        <v>53</v>
      </c>
      <c r="J344">
        <v>12551</v>
      </c>
      <c r="K344">
        <v>150612</v>
      </c>
      <c r="L344">
        <v>7</v>
      </c>
      <c r="M344" t="s">
        <v>56</v>
      </c>
      <c r="N344">
        <v>3</v>
      </c>
      <c r="O344" t="s">
        <v>55</v>
      </c>
      <c r="P344" t="s">
        <v>20</v>
      </c>
      <c r="Q344" t="s">
        <v>32</v>
      </c>
      <c r="R344" t="s">
        <v>34</v>
      </c>
    </row>
    <row r="345" spans="1:18" x14ac:dyDescent="0.25">
      <c r="A345">
        <v>321</v>
      </c>
      <c r="B345" s="2">
        <v>44204</v>
      </c>
      <c r="C345">
        <v>1</v>
      </c>
      <c r="D345">
        <v>2021</v>
      </c>
      <c r="E345" t="s">
        <v>30</v>
      </c>
      <c r="F345" t="s">
        <v>31</v>
      </c>
      <c r="G345" t="s">
        <v>24</v>
      </c>
      <c r="H345">
        <v>39</v>
      </c>
      <c r="I345" t="s">
        <v>49</v>
      </c>
      <c r="J345">
        <v>8963</v>
      </c>
      <c r="K345">
        <v>107556</v>
      </c>
      <c r="L345">
        <v>3</v>
      </c>
      <c r="M345" t="s">
        <v>56</v>
      </c>
      <c r="N345">
        <v>2</v>
      </c>
      <c r="O345" t="s">
        <v>51</v>
      </c>
      <c r="P345" t="s">
        <v>15</v>
      </c>
      <c r="Q345" t="s">
        <v>32</v>
      </c>
      <c r="R345" t="s">
        <v>25</v>
      </c>
    </row>
    <row r="346" spans="1:18" x14ac:dyDescent="0.25">
      <c r="A346">
        <v>324</v>
      </c>
      <c r="B346" s="2">
        <v>42136</v>
      </c>
      <c r="C346">
        <v>5</v>
      </c>
      <c r="D346">
        <v>2015</v>
      </c>
      <c r="E346" t="s">
        <v>28</v>
      </c>
      <c r="F346" t="s">
        <v>29</v>
      </c>
      <c r="G346" t="s">
        <v>24</v>
      </c>
      <c r="H346">
        <v>46</v>
      </c>
      <c r="I346" t="s">
        <v>52</v>
      </c>
      <c r="J346">
        <v>15458</v>
      </c>
      <c r="K346">
        <v>185496</v>
      </c>
      <c r="L346">
        <v>5</v>
      </c>
      <c r="M346" t="s">
        <v>56</v>
      </c>
      <c r="N346">
        <v>2</v>
      </c>
      <c r="O346" t="s">
        <v>51</v>
      </c>
      <c r="P346" t="s">
        <v>20</v>
      </c>
      <c r="Q346" t="s">
        <v>27</v>
      </c>
      <c r="R346" t="s">
        <v>21</v>
      </c>
    </row>
    <row r="347" spans="1:18" x14ac:dyDescent="0.25">
      <c r="A347">
        <v>325</v>
      </c>
      <c r="B347" s="2">
        <v>43229</v>
      </c>
      <c r="C347">
        <v>5</v>
      </c>
      <c r="D347">
        <v>2018</v>
      </c>
      <c r="E347" t="s">
        <v>12</v>
      </c>
      <c r="F347" t="s">
        <v>41</v>
      </c>
      <c r="G347" t="s">
        <v>24</v>
      </c>
      <c r="H347">
        <v>28</v>
      </c>
      <c r="I347" t="s">
        <v>53</v>
      </c>
      <c r="J347">
        <v>17050</v>
      </c>
      <c r="K347">
        <v>204600</v>
      </c>
      <c r="L347">
        <v>7</v>
      </c>
      <c r="M347" t="s">
        <v>56</v>
      </c>
      <c r="N347">
        <v>3</v>
      </c>
      <c r="O347" t="s">
        <v>55</v>
      </c>
      <c r="P347" t="s">
        <v>20</v>
      </c>
      <c r="Q347" t="s">
        <v>16</v>
      </c>
      <c r="R347" t="s">
        <v>21</v>
      </c>
    </row>
    <row r="348" spans="1:18" x14ac:dyDescent="0.25">
      <c r="A348">
        <v>326</v>
      </c>
      <c r="B348" s="2">
        <v>41648</v>
      </c>
      <c r="C348">
        <v>1</v>
      </c>
      <c r="D348">
        <v>2014</v>
      </c>
      <c r="E348" t="s">
        <v>28</v>
      </c>
      <c r="F348" t="s">
        <v>33</v>
      </c>
      <c r="G348" t="s">
        <v>24</v>
      </c>
      <c r="H348">
        <v>49</v>
      </c>
      <c r="I348" t="s">
        <v>52</v>
      </c>
      <c r="J348">
        <v>7047</v>
      </c>
      <c r="K348">
        <v>84564</v>
      </c>
      <c r="L348">
        <v>6</v>
      </c>
      <c r="M348" t="s">
        <v>56</v>
      </c>
      <c r="N348">
        <v>5</v>
      </c>
      <c r="O348" t="s">
        <v>54</v>
      </c>
      <c r="P348" t="s">
        <v>15</v>
      </c>
      <c r="Q348" t="s">
        <v>27</v>
      </c>
      <c r="R348" t="s">
        <v>17</v>
      </c>
    </row>
    <row r="349" spans="1:18" x14ac:dyDescent="0.25">
      <c r="A349">
        <v>331</v>
      </c>
      <c r="B349" s="2">
        <v>41952</v>
      </c>
      <c r="C349">
        <v>11</v>
      </c>
      <c r="D349">
        <v>2014</v>
      </c>
      <c r="E349" t="s">
        <v>28</v>
      </c>
      <c r="F349" t="s">
        <v>33</v>
      </c>
      <c r="G349" t="s">
        <v>24</v>
      </c>
      <c r="H349">
        <v>40</v>
      </c>
      <c r="I349" t="s">
        <v>49</v>
      </c>
      <c r="J349">
        <v>7374</v>
      </c>
      <c r="K349">
        <v>88488</v>
      </c>
      <c r="L349">
        <v>5</v>
      </c>
      <c r="M349" t="s">
        <v>56</v>
      </c>
      <c r="N349">
        <v>4</v>
      </c>
      <c r="O349" t="s">
        <v>54</v>
      </c>
      <c r="P349" t="s">
        <v>15</v>
      </c>
      <c r="Q349" t="s">
        <v>16</v>
      </c>
      <c r="R349" t="s">
        <v>21</v>
      </c>
    </row>
    <row r="350" spans="1:18" x14ac:dyDescent="0.25">
      <c r="A350">
        <v>332</v>
      </c>
      <c r="B350" s="2">
        <v>41398</v>
      </c>
      <c r="C350">
        <v>5</v>
      </c>
      <c r="D350">
        <v>2013</v>
      </c>
      <c r="E350" t="s">
        <v>22</v>
      </c>
      <c r="F350" t="s">
        <v>23</v>
      </c>
      <c r="G350" t="s">
        <v>24</v>
      </c>
      <c r="H350">
        <v>52</v>
      </c>
      <c r="I350" t="s">
        <v>52</v>
      </c>
      <c r="J350">
        <v>12475</v>
      </c>
      <c r="K350">
        <v>149700</v>
      </c>
      <c r="L350">
        <v>7</v>
      </c>
      <c r="M350" t="s">
        <v>56</v>
      </c>
      <c r="N350">
        <v>2</v>
      </c>
      <c r="O350" t="s">
        <v>51</v>
      </c>
      <c r="P350" t="s">
        <v>20</v>
      </c>
      <c r="Q350" t="s">
        <v>27</v>
      </c>
      <c r="R350" t="s">
        <v>25</v>
      </c>
    </row>
    <row r="351" spans="1:18" x14ac:dyDescent="0.25">
      <c r="A351">
        <v>340</v>
      </c>
      <c r="B351" s="2">
        <v>43658</v>
      </c>
      <c r="C351">
        <v>7</v>
      </c>
      <c r="D351">
        <v>2019</v>
      </c>
      <c r="E351" t="s">
        <v>30</v>
      </c>
      <c r="F351" t="s">
        <v>31</v>
      </c>
      <c r="G351" t="s">
        <v>14</v>
      </c>
      <c r="H351">
        <v>38</v>
      </c>
      <c r="I351" t="s">
        <v>49</v>
      </c>
      <c r="J351">
        <v>15552</v>
      </c>
      <c r="K351">
        <v>186624</v>
      </c>
      <c r="L351">
        <v>3</v>
      </c>
      <c r="M351" t="s">
        <v>56</v>
      </c>
      <c r="N351">
        <v>1</v>
      </c>
      <c r="O351" t="s">
        <v>51</v>
      </c>
      <c r="P351" t="s">
        <v>20</v>
      </c>
      <c r="Q351" t="s">
        <v>16</v>
      </c>
      <c r="R351" t="s">
        <v>21</v>
      </c>
    </row>
    <row r="352" spans="1:18" x14ac:dyDescent="0.25">
      <c r="A352">
        <v>341</v>
      </c>
      <c r="B352" s="2">
        <v>42356</v>
      </c>
      <c r="C352">
        <v>12</v>
      </c>
      <c r="D352">
        <v>2015</v>
      </c>
      <c r="E352" t="s">
        <v>18</v>
      </c>
      <c r="F352" t="s">
        <v>19</v>
      </c>
      <c r="G352" t="s">
        <v>14</v>
      </c>
      <c r="H352">
        <v>26</v>
      </c>
      <c r="I352" t="s">
        <v>53</v>
      </c>
      <c r="J352">
        <v>11851</v>
      </c>
      <c r="K352">
        <v>142212</v>
      </c>
      <c r="L352">
        <v>7</v>
      </c>
      <c r="M352" t="s">
        <v>56</v>
      </c>
      <c r="N352">
        <v>1</v>
      </c>
      <c r="O352" t="s">
        <v>51</v>
      </c>
      <c r="P352" t="s">
        <v>20</v>
      </c>
      <c r="Q352" t="s">
        <v>32</v>
      </c>
      <c r="R352" t="s">
        <v>34</v>
      </c>
    </row>
    <row r="353" spans="1:18" x14ac:dyDescent="0.25">
      <c r="A353">
        <v>345</v>
      </c>
      <c r="B353" s="2">
        <v>41535</v>
      </c>
      <c r="C353">
        <v>9</v>
      </c>
      <c r="D353">
        <v>2013</v>
      </c>
      <c r="E353" t="s">
        <v>18</v>
      </c>
      <c r="F353" t="s">
        <v>26</v>
      </c>
      <c r="G353" t="s">
        <v>14</v>
      </c>
      <c r="H353">
        <v>40</v>
      </c>
      <c r="I353" t="s">
        <v>49</v>
      </c>
      <c r="J353">
        <v>8911</v>
      </c>
      <c r="K353">
        <v>106932</v>
      </c>
      <c r="L353">
        <v>6</v>
      </c>
      <c r="M353" t="s">
        <v>56</v>
      </c>
      <c r="N353">
        <v>1</v>
      </c>
      <c r="O353" t="s">
        <v>51</v>
      </c>
      <c r="P353" t="s">
        <v>15</v>
      </c>
      <c r="Q353" t="s">
        <v>32</v>
      </c>
      <c r="R353" t="s">
        <v>25</v>
      </c>
    </row>
    <row r="354" spans="1:18" x14ac:dyDescent="0.25">
      <c r="A354">
        <v>348</v>
      </c>
      <c r="B354" s="2">
        <v>42092</v>
      </c>
      <c r="C354">
        <v>3</v>
      </c>
      <c r="D354">
        <v>2015</v>
      </c>
      <c r="E354" t="s">
        <v>22</v>
      </c>
      <c r="F354" t="s">
        <v>23</v>
      </c>
      <c r="G354" t="s">
        <v>14</v>
      </c>
      <c r="H354">
        <v>23</v>
      </c>
      <c r="I354" t="s">
        <v>53</v>
      </c>
      <c r="J354">
        <v>11451</v>
      </c>
      <c r="K354">
        <v>137412</v>
      </c>
      <c r="L354">
        <v>7</v>
      </c>
      <c r="M354" t="s">
        <v>56</v>
      </c>
      <c r="N354">
        <v>4</v>
      </c>
      <c r="O354" t="s">
        <v>54</v>
      </c>
      <c r="P354" t="s">
        <v>20</v>
      </c>
      <c r="Q354" t="s">
        <v>32</v>
      </c>
      <c r="R354" t="s">
        <v>17</v>
      </c>
    </row>
    <row r="355" spans="1:18" x14ac:dyDescent="0.25">
      <c r="A355">
        <v>353</v>
      </c>
      <c r="B355" s="2">
        <v>42584</v>
      </c>
      <c r="C355">
        <v>8</v>
      </c>
      <c r="D355">
        <v>2016</v>
      </c>
      <c r="E355" t="s">
        <v>28</v>
      </c>
      <c r="F355" t="s">
        <v>29</v>
      </c>
      <c r="G355" t="s">
        <v>24</v>
      </c>
      <c r="H355">
        <v>51</v>
      </c>
      <c r="I355" t="s">
        <v>52</v>
      </c>
      <c r="J355">
        <v>6741</v>
      </c>
      <c r="K355">
        <v>80892</v>
      </c>
      <c r="L355">
        <v>7</v>
      </c>
      <c r="M355" t="s">
        <v>56</v>
      </c>
      <c r="N355">
        <v>5</v>
      </c>
      <c r="O355" t="s">
        <v>54</v>
      </c>
      <c r="P355" t="s">
        <v>15</v>
      </c>
      <c r="Q355" t="s">
        <v>27</v>
      </c>
      <c r="R355" t="s">
        <v>17</v>
      </c>
    </row>
    <row r="356" spans="1:18" x14ac:dyDescent="0.25">
      <c r="A356">
        <v>356</v>
      </c>
      <c r="B356" s="2">
        <v>42707</v>
      </c>
      <c r="C356">
        <v>12</v>
      </c>
      <c r="D356">
        <v>2016</v>
      </c>
      <c r="E356" t="s">
        <v>18</v>
      </c>
      <c r="F356" t="s">
        <v>26</v>
      </c>
      <c r="G356" t="s">
        <v>24</v>
      </c>
      <c r="H356">
        <v>43</v>
      </c>
      <c r="I356" t="s">
        <v>49</v>
      </c>
      <c r="J356">
        <v>18288</v>
      </c>
      <c r="K356">
        <v>219456</v>
      </c>
      <c r="L356">
        <v>7</v>
      </c>
      <c r="M356" t="s">
        <v>56</v>
      </c>
      <c r="N356">
        <v>1</v>
      </c>
      <c r="O356" t="s">
        <v>51</v>
      </c>
      <c r="P356" t="s">
        <v>15</v>
      </c>
      <c r="Q356" t="s">
        <v>27</v>
      </c>
      <c r="R356" t="s">
        <v>34</v>
      </c>
    </row>
    <row r="357" spans="1:18" x14ac:dyDescent="0.25">
      <c r="A357">
        <v>357</v>
      </c>
      <c r="B357" s="2">
        <v>42340</v>
      </c>
      <c r="C357">
        <v>12</v>
      </c>
      <c r="D357">
        <v>2015</v>
      </c>
      <c r="E357" t="s">
        <v>28</v>
      </c>
      <c r="F357" t="s">
        <v>33</v>
      </c>
      <c r="G357" t="s">
        <v>14</v>
      </c>
      <c r="H357">
        <v>36</v>
      </c>
      <c r="I357" t="s">
        <v>49</v>
      </c>
      <c r="J357">
        <v>12252</v>
      </c>
      <c r="K357">
        <v>147024</v>
      </c>
      <c r="L357">
        <v>4</v>
      </c>
      <c r="M357" t="s">
        <v>56</v>
      </c>
      <c r="N357">
        <v>5</v>
      </c>
      <c r="O357" t="s">
        <v>54</v>
      </c>
      <c r="P357" t="s">
        <v>20</v>
      </c>
      <c r="Q357" t="s">
        <v>27</v>
      </c>
      <c r="R357" t="s">
        <v>25</v>
      </c>
    </row>
    <row r="358" spans="1:18" x14ac:dyDescent="0.25">
      <c r="A358">
        <v>358</v>
      </c>
      <c r="B358" s="2">
        <v>42050</v>
      </c>
      <c r="C358">
        <v>2</v>
      </c>
      <c r="D358">
        <v>2015</v>
      </c>
      <c r="E358" t="s">
        <v>30</v>
      </c>
      <c r="F358" t="s">
        <v>38</v>
      </c>
      <c r="G358" t="s">
        <v>24</v>
      </c>
      <c r="H358">
        <v>44</v>
      </c>
      <c r="I358" t="s">
        <v>49</v>
      </c>
      <c r="J358">
        <v>9473</v>
      </c>
      <c r="K358">
        <v>113676</v>
      </c>
      <c r="L358">
        <v>3</v>
      </c>
      <c r="M358" t="s">
        <v>56</v>
      </c>
      <c r="N358">
        <v>2</v>
      </c>
      <c r="O358" t="s">
        <v>51</v>
      </c>
      <c r="P358" t="s">
        <v>15</v>
      </c>
      <c r="Q358" t="s">
        <v>16</v>
      </c>
      <c r="R358" t="s">
        <v>21</v>
      </c>
    </row>
    <row r="359" spans="1:18" x14ac:dyDescent="0.25">
      <c r="A359">
        <v>360</v>
      </c>
      <c r="B359" s="2">
        <v>43294</v>
      </c>
      <c r="C359">
        <v>7</v>
      </c>
      <c r="D359">
        <v>2018</v>
      </c>
      <c r="E359" t="s">
        <v>28</v>
      </c>
      <c r="F359" t="s">
        <v>29</v>
      </c>
      <c r="G359" t="s">
        <v>14</v>
      </c>
      <c r="H359">
        <v>60</v>
      </c>
      <c r="I359" t="s">
        <v>52</v>
      </c>
      <c r="J359">
        <v>10017</v>
      </c>
      <c r="K359">
        <v>120204</v>
      </c>
      <c r="L359">
        <v>4</v>
      </c>
      <c r="M359" t="s">
        <v>56</v>
      </c>
      <c r="N359">
        <v>4</v>
      </c>
      <c r="O359" t="s">
        <v>54</v>
      </c>
      <c r="P359" t="s">
        <v>20</v>
      </c>
      <c r="Q359" t="s">
        <v>16</v>
      </c>
      <c r="R359" t="s">
        <v>25</v>
      </c>
    </row>
    <row r="360" spans="1:18" x14ac:dyDescent="0.25">
      <c r="A360">
        <v>363</v>
      </c>
      <c r="B360" s="2">
        <v>43287</v>
      </c>
      <c r="C360">
        <v>7</v>
      </c>
      <c r="D360">
        <v>2018</v>
      </c>
      <c r="E360" t="s">
        <v>12</v>
      </c>
      <c r="F360" t="s">
        <v>41</v>
      </c>
      <c r="G360" t="s">
        <v>14</v>
      </c>
      <c r="H360">
        <v>37</v>
      </c>
      <c r="I360" t="s">
        <v>49</v>
      </c>
      <c r="J360">
        <v>7996</v>
      </c>
      <c r="K360">
        <v>95952</v>
      </c>
      <c r="L360">
        <v>5</v>
      </c>
      <c r="M360" t="s">
        <v>56</v>
      </c>
      <c r="N360">
        <v>4</v>
      </c>
      <c r="O360" t="s">
        <v>54</v>
      </c>
      <c r="P360" t="s">
        <v>15</v>
      </c>
      <c r="Q360" t="s">
        <v>16</v>
      </c>
      <c r="R360" t="s">
        <v>34</v>
      </c>
    </row>
    <row r="361" spans="1:18" x14ac:dyDescent="0.25">
      <c r="A361">
        <v>367</v>
      </c>
      <c r="B361" s="2">
        <v>45044</v>
      </c>
      <c r="C361">
        <v>4</v>
      </c>
      <c r="D361">
        <v>2023</v>
      </c>
      <c r="E361" t="s">
        <v>28</v>
      </c>
      <c r="F361" t="s">
        <v>29</v>
      </c>
      <c r="G361" t="s">
        <v>24</v>
      </c>
      <c r="H361">
        <v>26</v>
      </c>
      <c r="I361" t="s">
        <v>53</v>
      </c>
      <c r="J361">
        <v>10476</v>
      </c>
      <c r="K361">
        <v>125712</v>
      </c>
      <c r="L361">
        <v>6</v>
      </c>
      <c r="M361" t="s">
        <v>56</v>
      </c>
      <c r="N361">
        <v>2</v>
      </c>
      <c r="O361" t="s">
        <v>51</v>
      </c>
      <c r="P361" t="s">
        <v>15</v>
      </c>
      <c r="Q361" t="s">
        <v>32</v>
      </c>
      <c r="R361" t="s">
        <v>17</v>
      </c>
    </row>
    <row r="362" spans="1:18" x14ac:dyDescent="0.25">
      <c r="A362">
        <v>368</v>
      </c>
      <c r="B362" s="2">
        <v>43892</v>
      </c>
      <c r="C362">
        <v>3</v>
      </c>
      <c r="D362">
        <v>2020</v>
      </c>
      <c r="E362" t="s">
        <v>30</v>
      </c>
      <c r="F362" t="s">
        <v>38</v>
      </c>
      <c r="G362" t="s">
        <v>24</v>
      </c>
      <c r="H362">
        <v>47</v>
      </c>
      <c r="I362" t="s">
        <v>52</v>
      </c>
      <c r="J362">
        <v>11914</v>
      </c>
      <c r="K362">
        <v>142968</v>
      </c>
      <c r="L362">
        <v>4</v>
      </c>
      <c r="M362" t="s">
        <v>56</v>
      </c>
      <c r="N362">
        <v>5</v>
      </c>
      <c r="O362" t="s">
        <v>54</v>
      </c>
      <c r="P362" t="s">
        <v>20</v>
      </c>
      <c r="Q362" t="s">
        <v>27</v>
      </c>
      <c r="R362" t="s">
        <v>25</v>
      </c>
    </row>
    <row r="363" spans="1:18" x14ac:dyDescent="0.25">
      <c r="A363">
        <v>371</v>
      </c>
      <c r="B363" s="2">
        <v>43894</v>
      </c>
      <c r="C363">
        <v>3</v>
      </c>
      <c r="D363">
        <v>2020</v>
      </c>
      <c r="E363" t="s">
        <v>28</v>
      </c>
      <c r="F363" t="s">
        <v>29</v>
      </c>
      <c r="G363" t="s">
        <v>14</v>
      </c>
      <c r="H363">
        <v>58</v>
      </c>
      <c r="I363" t="s">
        <v>52</v>
      </c>
      <c r="J363">
        <v>4343</v>
      </c>
      <c r="K363">
        <v>52116</v>
      </c>
      <c r="L363">
        <v>7</v>
      </c>
      <c r="M363" t="s">
        <v>56</v>
      </c>
      <c r="N363">
        <v>2</v>
      </c>
      <c r="O363" t="s">
        <v>51</v>
      </c>
      <c r="P363" t="s">
        <v>20</v>
      </c>
      <c r="Q363" t="s">
        <v>32</v>
      </c>
      <c r="R363" t="s">
        <v>17</v>
      </c>
    </row>
    <row r="364" spans="1:18" x14ac:dyDescent="0.25">
      <c r="A364">
        <v>378</v>
      </c>
      <c r="B364" s="2">
        <v>41170</v>
      </c>
      <c r="C364">
        <v>9</v>
      </c>
      <c r="D364">
        <v>2012</v>
      </c>
      <c r="E364" t="s">
        <v>30</v>
      </c>
      <c r="F364" t="s">
        <v>31</v>
      </c>
      <c r="G364" t="s">
        <v>24</v>
      </c>
      <c r="H364">
        <v>48</v>
      </c>
      <c r="I364" t="s">
        <v>52</v>
      </c>
      <c r="J364">
        <v>19575</v>
      </c>
      <c r="K364">
        <v>234900</v>
      </c>
      <c r="L364">
        <v>7</v>
      </c>
      <c r="M364" t="s">
        <v>56</v>
      </c>
      <c r="N364">
        <v>3</v>
      </c>
      <c r="O364" t="s">
        <v>55</v>
      </c>
      <c r="P364" t="s">
        <v>15</v>
      </c>
      <c r="Q364" t="s">
        <v>32</v>
      </c>
      <c r="R364" t="s">
        <v>21</v>
      </c>
    </row>
    <row r="365" spans="1:18" x14ac:dyDescent="0.25">
      <c r="A365">
        <v>379</v>
      </c>
      <c r="B365" s="2">
        <v>43493</v>
      </c>
      <c r="C365">
        <v>1</v>
      </c>
      <c r="D365">
        <v>2019</v>
      </c>
      <c r="E365" t="s">
        <v>36</v>
      </c>
      <c r="F365" t="s">
        <v>40</v>
      </c>
      <c r="G365" t="s">
        <v>24</v>
      </c>
      <c r="H365">
        <v>35</v>
      </c>
      <c r="I365" t="s">
        <v>49</v>
      </c>
      <c r="J365">
        <v>10859</v>
      </c>
      <c r="K365">
        <v>130308</v>
      </c>
      <c r="L365">
        <v>4</v>
      </c>
      <c r="M365" t="s">
        <v>56</v>
      </c>
      <c r="N365">
        <v>4</v>
      </c>
      <c r="O365" t="s">
        <v>54</v>
      </c>
      <c r="P365" t="s">
        <v>15</v>
      </c>
      <c r="Q365" t="s">
        <v>16</v>
      </c>
      <c r="R365" t="s">
        <v>21</v>
      </c>
    </row>
    <row r="366" spans="1:18" x14ac:dyDescent="0.25">
      <c r="A366">
        <v>381</v>
      </c>
      <c r="B366" s="2">
        <v>40642</v>
      </c>
      <c r="C366">
        <v>4</v>
      </c>
      <c r="D366">
        <v>2011</v>
      </c>
      <c r="E366" t="s">
        <v>28</v>
      </c>
      <c r="F366" t="s">
        <v>33</v>
      </c>
      <c r="G366" t="s">
        <v>24</v>
      </c>
      <c r="H366">
        <v>35</v>
      </c>
      <c r="I366" t="s">
        <v>49</v>
      </c>
      <c r="J366">
        <v>18382</v>
      </c>
      <c r="K366">
        <v>220584</v>
      </c>
      <c r="L366">
        <v>4</v>
      </c>
      <c r="M366" t="s">
        <v>56</v>
      </c>
      <c r="N366">
        <v>2</v>
      </c>
      <c r="O366" t="s">
        <v>51</v>
      </c>
      <c r="P366" t="s">
        <v>15</v>
      </c>
      <c r="Q366" t="s">
        <v>27</v>
      </c>
      <c r="R366" t="s">
        <v>17</v>
      </c>
    </row>
    <row r="367" spans="1:18" x14ac:dyDescent="0.25">
      <c r="A367">
        <v>382</v>
      </c>
      <c r="B367" s="2">
        <v>40693</v>
      </c>
      <c r="C367">
        <v>5</v>
      </c>
      <c r="D367">
        <v>2011</v>
      </c>
      <c r="E367" t="s">
        <v>12</v>
      </c>
      <c r="F367" t="s">
        <v>41</v>
      </c>
      <c r="G367" t="s">
        <v>24</v>
      </c>
      <c r="H367">
        <v>35</v>
      </c>
      <c r="I367" t="s">
        <v>49</v>
      </c>
      <c r="J367">
        <v>9511</v>
      </c>
      <c r="K367">
        <v>114132</v>
      </c>
      <c r="L367">
        <v>5</v>
      </c>
      <c r="M367" t="s">
        <v>56</v>
      </c>
      <c r="N367">
        <v>1</v>
      </c>
      <c r="O367" t="s">
        <v>51</v>
      </c>
      <c r="P367" t="s">
        <v>15</v>
      </c>
      <c r="Q367" t="s">
        <v>32</v>
      </c>
      <c r="R367" t="s">
        <v>21</v>
      </c>
    </row>
    <row r="368" spans="1:18" x14ac:dyDescent="0.25">
      <c r="A368">
        <v>394</v>
      </c>
      <c r="B368" s="2">
        <v>42527</v>
      </c>
      <c r="C368">
        <v>6</v>
      </c>
      <c r="D368">
        <v>2016</v>
      </c>
      <c r="E368" t="s">
        <v>18</v>
      </c>
      <c r="F368" t="s">
        <v>26</v>
      </c>
      <c r="G368" t="s">
        <v>14</v>
      </c>
      <c r="H368">
        <v>56</v>
      </c>
      <c r="I368" t="s">
        <v>52</v>
      </c>
      <c r="J368">
        <v>6640</v>
      </c>
      <c r="K368">
        <v>79680</v>
      </c>
      <c r="L368">
        <v>4</v>
      </c>
      <c r="M368" t="s">
        <v>56</v>
      </c>
      <c r="N368">
        <v>2</v>
      </c>
      <c r="O368" t="s">
        <v>51</v>
      </c>
      <c r="P368" t="s">
        <v>20</v>
      </c>
      <c r="Q368" t="s">
        <v>16</v>
      </c>
      <c r="R368" t="s">
        <v>39</v>
      </c>
    </row>
    <row r="369" spans="1:18" x14ac:dyDescent="0.25">
      <c r="A369">
        <v>402</v>
      </c>
      <c r="B369" s="2">
        <v>42434</v>
      </c>
      <c r="C369">
        <v>3</v>
      </c>
      <c r="D369">
        <v>2016</v>
      </c>
      <c r="E369" t="s">
        <v>30</v>
      </c>
      <c r="F369" t="s">
        <v>38</v>
      </c>
      <c r="G369" t="s">
        <v>24</v>
      </c>
      <c r="H369">
        <v>35</v>
      </c>
      <c r="I369" t="s">
        <v>49</v>
      </c>
      <c r="J369">
        <v>8188</v>
      </c>
      <c r="K369">
        <v>98256</v>
      </c>
      <c r="L369">
        <v>5</v>
      </c>
      <c r="M369" t="s">
        <v>56</v>
      </c>
      <c r="N369">
        <v>4</v>
      </c>
      <c r="O369" t="s">
        <v>54</v>
      </c>
      <c r="P369" t="s">
        <v>15</v>
      </c>
      <c r="Q369" t="s">
        <v>32</v>
      </c>
      <c r="R369" t="s">
        <v>21</v>
      </c>
    </row>
    <row r="370" spans="1:18" x14ac:dyDescent="0.25">
      <c r="A370">
        <v>404</v>
      </c>
      <c r="B370" s="2">
        <v>42147</v>
      </c>
      <c r="C370">
        <v>5</v>
      </c>
      <c r="D370">
        <v>2015</v>
      </c>
      <c r="E370" t="s">
        <v>22</v>
      </c>
      <c r="F370" t="s">
        <v>23</v>
      </c>
      <c r="G370" t="s">
        <v>24</v>
      </c>
      <c r="H370">
        <v>27</v>
      </c>
      <c r="I370" t="s">
        <v>53</v>
      </c>
      <c r="J370">
        <v>7233</v>
      </c>
      <c r="K370">
        <v>86796</v>
      </c>
      <c r="L370">
        <v>6</v>
      </c>
      <c r="M370" t="s">
        <v>56</v>
      </c>
      <c r="N370">
        <v>4</v>
      </c>
      <c r="O370" t="s">
        <v>54</v>
      </c>
      <c r="P370" t="s">
        <v>20</v>
      </c>
      <c r="Q370" t="s">
        <v>27</v>
      </c>
      <c r="R370" t="s">
        <v>25</v>
      </c>
    </row>
    <row r="371" spans="1:18" x14ac:dyDescent="0.25">
      <c r="A371">
        <v>405</v>
      </c>
      <c r="B371" s="2">
        <v>44014</v>
      </c>
      <c r="C371">
        <v>7</v>
      </c>
      <c r="D371">
        <v>2020</v>
      </c>
      <c r="E371" t="s">
        <v>22</v>
      </c>
      <c r="F371" t="s">
        <v>35</v>
      </c>
      <c r="G371" t="s">
        <v>14</v>
      </c>
      <c r="H371">
        <v>31</v>
      </c>
      <c r="I371" t="s">
        <v>49</v>
      </c>
      <c r="J371">
        <v>17223</v>
      </c>
      <c r="K371">
        <v>206676</v>
      </c>
      <c r="L371">
        <v>7</v>
      </c>
      <c r="M371" t="s">
        <v>56</v>
      </c>
      <c r="N371">
        <v>5</v>
      </c>
      <c r="O371" t="s">
        <v>54</v>
      </c>
      <c r="P371" t="s">
        <v>15</v>
      </c>
      <c r="Q371" t="s">
        <v>16</v>
      </c>
      <c r="R371" t="s">
        <v>25</v>
      </c>
    </row>
    <row r="372" spans="1:18" x14ac:dyDescent="0.25">
      <c r="A372">
        <v>406</v>
      </c>
      <c r="B372" s="2">
        <v>43626</v>
      </c>
      <c r="C372">
        <v>6</v>
      </c>
      <c r="D372">
        <v>2019</v>
      </c>
      <c r="E372" t="s">
        <v>28</v>
      </c>
      <c r="F372" t="s">
        <v>33</v>
      </c>
      <c r="G372" t="s">
        <v>24</v>
      </c>
      <c r="H372">
        <v>48</v>
      </c>
      <c r="I372" t="s">
        <v>52</v>
      </c>
      <c r="J372">
        <v>8498</v>
      </c>
      <c r="K372">
        <v>101976</v>
      </c>
      <c r="L372">
        <v>6</v>
      </c>
      <c r="M372" t="s">
        <v>56</v>
      </c>
      <c r="N372">
        <v>4</v>
      </c>
      <c r="O372" t="s">
        <v>54</v>
      </c>
      <c r="P372" t="s">
        <v>15</v>
      </c>
      <c r="Q372" t="s">
        <v>32</v>
      </c>
      <c r="R372" t="s">
        <v>17</v>
      </c>
    </row>
    <row r="373" spans="1:18" x14ac:dyDescent="0.25">
      <c r="A373">
        <v>407</v>
      </c>
      <c r="B373" s="2">
        <v>42869</v>
      </c>
      <c r="C373">
        <v>5</v>
      </c>
      <c r="D373">
        <v>2017</v>
      </c>
      <c r="E373" t="s">
        <v>22</v>
      </c>
      <c r="F373" t="s">
        <v>23</v>
      </c>
      <c r="G373" t="s">
        <v>24</v>
      </c>
      <c r="H373">
        <v>47</v>
      </c>
      <c r="I373" t="s">
        <v>52</v>
      </c>
      <c r="J373">
        <v>11257</v>
      </c>
      <c r="K373">
        <v>135084</v>
      </c>
      <c r="L373">
        <v>7</v>
      </c>
      <c r="M373" t="s">
        <v>56</v>
      </c>
      <c r="N373">
        <v>4</v>
      </c>
      <c r="O373" t="s">
        <v>54</v>
      </c>
      <c r="P373" t="s">
        <v>15</v>
      </c>
      <c r="Q373" t="s">
        <v>16</v>
      </c>
      <c r="R373" t="s">
        <v>39</v>
      </c>
    </row>
    <row r="374" spans="1:18" x14ac:dyDescent="0.25">
      <c r="A374">
        <v>411</v>
      </c>
      <c r="B374" s="2">
        <v>41619</v>
      </c>
      <c r="C374">
        <v>12</v>
      </c>
      <c r="D374">
        <v>2013</v>
      </c>
      <c r="E374" t="s">
        <v>28</v>
      </c>
      <c r="F374" t="s">
        <v>29</v>
      </c>
      <c r="G374" t="s">
        <v>14</v>
      </c>
      <c r="H374">
        <v>57</v>
      </c>
      <c r="I374" t="s">
        <v>52</v>
      </c>
      <c r="J374">
        <v>9317</v>
      </c>
      <c r="K374">
        <v>111804</v>
      </c>
      <c r="L374">
        <v>4</v>
      </c>
      <c r="M374" t="s">
        <v>56</v>
      </c>
      <c r="N374">
        <v>1</v>
      </c>
      <c r="O374" t="s">
        <v>51</v>
      </c>
      <c r="P374" t="s">
        <v>15</v>
      </c>
      <c r="Q374" t="s">
        <v>32</v>
      </c>
      <c r="R374" t="s">
        <v>34</v>
      </c>
    </row>
    <row r="375" spans="1:18" x14ac:dyDescent="0.25">
      <c r="A375">
        <v>412</v>
      </c>
      <c r="B375" s="2">
        <v>42205</v>
      </c>
      <c r="C375">
        <v>7</v>
      </c>
      <c r="D375">
        <v>2015</v>
      </c>
      <c r="E375" t="s">
        <v>36</v>
      </c>
      <c r="F375" t="s">
        <v>37</v>
      </c>
      <c r="G375" t="s">
        <v>14</v>
      </c>
      <c r="H375">
        <v>48</v>
      </c>
      <c r="I375" t="s">
        <v>52</v>
      </c>
      <c r="J375">
        <v>12658</v>
      </c>
      <c r="K375">
        <v>151896</v>
      </c>
      <c r="L375">
        <v>3</v>
      </c>
      <c r="M375" t="s">
        <v>56</v>
      </c>
      <c r="N375">
        <v>4</v>
      </c>
      <c r="O375" t="s">
        <v>54</v>
      </c>
      <c r="P375" t="s">
        <v>15</v>
      </c>
      <c r="Q375" t="s">
        <v>16</v>
      </c>
      <c r="R375" t="s">
        <v>17</v>
      </c>
    </row>
    <row r="376" spans="1:18" x14ac:dyDescent="0.25">
      <c r="A376">
        <v>416</v>
      </c>
      <c r="B376" s="2">
        <v>45124</v>
      </c>
      <c r="C376">
        <v>7</v>
      </c>
      <c r="D376">
        <v>2023</v>
      </c>
      <c r="E376" t="s">
        <v>28</v>
      </c>
      <c r="F376" t="s">
        <v>33</v>
      </c>
      <c r="G376" t="s">
        <v>14</v>
      </c>
      <c r="H376">
        <v>54</v>
      </c>
      <c r="I376" t="s">
        <v>52</v>
      </c>
      <c r="J376">
        <v>9836</v>
      </c>
      <c r="K376">
        <v>118032</v>
      </c>
      <c r="L376">
        <v>4</v>
      </c>
      <c r="M376" t="s">
        <v>56</v>
      </c>
      <c r="N376">
        <v>3</v>
      </c>
      <c r="O376" t="s">
        <v>55</v>
      </c>
      <c r="P376" t="s">
        <v>15</v>
      </c>
      <c r="Q376" t="s">
        <v>16</v>
      </c>
      <c r="R376" t="s">
        <v>34</v>
      </c>
    </row>
    <row r="377" spans="1:18" x14ac:dyDescent="0.25">
      <c r="A377">
        <v>417</v>
      </c>
      <c r="B377" s="2">
        <v>41354</v>
      </c>
      <c r="C377">
        <v>3</v>
      </c>
      <c r="D377">
        <v>2013</v>
      </c>
      <c r="E377" t="s">
        <v>28</v>
      </c>
      <c r="F377" t="s">
        <v>29</v>
      </c>
      <c r="G377" t="s">
        <v>24</v>
      </c>
      <c r="H377">
        <v>58</v>
      </c>
      <c r="I377" t="s">
        <v>52</v>
      </c>
      <c r="J377">
        <v>14476</v>
      </c>
      <c r="K377">
        <v>173712</v>
      </c>
      <c r="L377">
        <v>6</v>
      </c>
      <c r="M377" t="s">
        <v>56</v>
      </c>
      <c r="N377">
        <v>5</v>
      </c>
      <c r="O377" t="s">
        <v>54</v>
      </c>
      <c r="P377" t="s">
        <v>15</v>
      </c>
      <c r="Q377" t="s">
        <v>32</v>
      </c>
      <c r="R377" t="s">
        <v>21</v>
      </c>
    </row>
    <row r="378" spans="1:18" x14ac:dyDescent="0.25">
      <c r="A378">
        <v>418</v>
      </c>
      <c r="B378" s="2">
        <v>42200</v>
      </c>
      <c r="C378">
        <v>7</v>
      </c>
      <c r="D378">
        <v>2015</v>
      </c>
      <c r="E378" t="s">
        <v>36</v>
      </c>
      <c r="F378" t="s">
        <v>37</v>
      </c>
      <c r="G378" t="s">
        <v>14</v>
      </c>
      <c r="H378">
        <v>26</v>
      </c>
      <c r="I378" t="s">
        <v>53</v>
      </c>
      <c r="J378">
        <v>19510</v>
      </c>
      <c r="K378">
        <v>234120</v>
      </c>
      <c r="L378">
        <v>6</v>
      </c>
      <c r="M378" t="s">
        <v>56</v>
      </c>
      <c r="N378">
        <v>5</v>
      </c>
      <c r="O378" t="s">
        <v>54</v>
      </c>
      <c r="P378" t="s">
        <v>20</v>
      </c>
      <c r="Q378" t="s">
        <v>27</v>
      </c>
      <c r="R378" t="s">
        <v>39</v>
      </c>
    </row>
    <row r="379" spans="1:18" x14ac:dyDescent="0.25">
      <c r="A379">
        <v>420</v>
      </c>
      <c r="B379" s="2">
        <v>42874</v>
      </c>
      <c r="C379">
        <v>5</v>
      </c>
      <c r="D379">
        <v>2017</v>
      </c>
      <c r="E379" t="s">
        <v>22</v>
      </c>
      <c r="F379" t="s">
        <v>35</v>
      </c>
      <c r="G379" t="s">
        <v>14</v>
      </c>
      <c r="H379">
        <v>56</v>
      </c>
      <c r="I379" t="s">
        <v>52</v>
      </c>
      <c r="J379">
        <v>11940</v>
      </c>
      <c r="K379">
        <v>143280</v>
      </c>
      <c r="L379">
        <v>5</v>
      </c>
      <c r="M379" t="s">
        <v>56</v>
      </c>
      <c r="N379">
        <v>3</v>
      </c>
      <c r="O379" t="s">
        <v>55</v>
      </c>
      <c r="P379" t="s">
        <v>20</v>
      </c>
      <c r="Q379" t="s">
        <v>16</v>
      </c>
      <c r="R379" t="s">
        <v>17</v>
      </c>
    </row>
    <row r="380" spans="1:18" x14ac:dyDescent="0.25">
      <c r="A380">
        <v>424</v>
      </c>
      <c r="B380" s="2">
        <v>40375</v>
      </c>
      <c r="C380">
        <v>7</v>
      </c>
      <c r="D380">
        <v>2010</v>
      </c>
      <c r="E380" t="s">
        <v>36</v>
      </c>
      <c r="F380" t="s">
        <v>40</v>
      </c>
      <c r="G380" t="s">
        <v>14</v>
      </c>
      <c r="H380">
        <v>29</v>
      </c>
      <c r="I380" t="s">
        <v>53</v>
      </c>
      <c r="J380">
        <v>4064</v>
      </c>
      <c r="K380">
        <v>48768</v>
      </c>
      <c r="L380">
        <v>7</v>
      </c>
      <c r="M380" t="s">
        <v>56</v>
      </c>
      <c r="N380">
        <v>2</v>
      </c>
      <c r="O380" t="s">
        <v>51</v>
      </c>
      <c r="P380" t="s">
        <v>20</v>
      </c>
      <c r="Q380" t="s">
        <v>32</v>
      </c>
      <c r="R380" t="s">
        <v>17</v>
      </c>
    </row>
    <row r="381" spans="1:18" x14ac:dyDescent="0.25">
      <c r="A381">
        <v>430</v>
      </c>
      <c r="B381" s="2">
        <v>44888</v>
      </c>
      <c r="C381">
        <v>11</v>
      </c>
      <c r="D381">
        <v>2022</v>
      </c>
      <c r="E381" t="s">
        <v>28</v>
      </c>
      <c r="F381" t="s">
        <v>33</v>
      </c>
      <c r="G381" t="s">
        <v>24</v>
      </c>
      <c r="H381">
        <v>50</v>
      </c>
      <c r="I381" t="s">
        <v>52</v>
      </c>
      <c r="J381">
        <v>17304</v>
      </c>
      <c r="K381">
        <v>207648</v>
      </c>
      <c r="L381">
        <v>5</v>
      </c>
      <c r="M381" t="s">
        <v>56</v>
      </c>
      <c r="N381">
        <v>2</v>
      </c>
      <c r="O381" t="s">
        <v>51</v>
      </c>
      <c r="P381" t="s">
        <v>15</v>
      </c>
      <c r="Q381" t="s">
        <v>16</v>
      </c>
      <c r="R381" t="s">
        <v>25</v>
      </c>
    </row>
    <row r="382" spans="1:18" x14ac:dyDescent="0.25">
      <c r="A382">
        <v>438</v>
      </c>
      <c r="B382" s="2">
        <v>42020</v>
      </c>
      <c r="C382">
        <v>1</v>
      </c>
      <c r="D382">
        <v>2015</v>
      </c>
      <c r="E382" t="s">
        <v>18</v>
      </c>
      <c r="F382" t="s">
        <v>19</v>
      </c>
      <c r="G382" t="s">
        <v>14</v>
      </c>
      <c r="H382">
        <v>26</v>
      </c>
      <c r="I382" t="s">
        <v>53</v>
      </c>
      <c r="J382">
        <v>19425</v>
      </c>
      <c r="K382">
        <v>233100</v>
      </c>
      <c r="L382">
        <v>3</v>
      </c>
      <c r="M382" t="s">
        <v>56</v>
      </c>
      <c r="N382">
        <v>4</v>
      </c>
      <c r="O382" t="s">
        <v>54</v>
      </c>
      <c r="P382" t="s">
        <v>20</v>
      </c>
      <c r="Q382" t="s">
        <v>27</v>
      </c>
      <c r="R382" t="s">
        <v>25</v>
      </c>
    </row>
    <row r="383" spans="1:18" x14ac:dyDescent="0.25">
      <c r="A383">
        <v>440</v>
      </c>
      <c r="B383" s="2">
        <v>40433</v>
      </c>
      <c r="C383">
        <v>9</v>
      </c>
      <c r="D383">
        <v>2010</v>
      </c>
      <c r="E383" t="s">
        <v>30</v>
      </c>
      <c r="F383" t="s">
        <v>31</v>
      </c>
      <c r="G383" t="s">
        <v>14</v>
      </c>
      <c r="H383">
        <v>38</v>
      </c>
      <c r="I383" t="s">
        <v>49</v>
      </c>
      <c r="J383">
        <v>16237</v>
      </c>
      <c r="K383">
        <v>194844</v>
      </c>
      <c r="L383">
        <v>7</v>
      </c>
      <c r="M383" t="s">
        <v>56</v>
      </c>
      <c r="N383">
        <v>5</v>
      </c>
      <c r="O383" t="s">
        <v>54</v>
      </c>
      <c r="P383" t="s">
        <v>15</v>
      </c>
      <c r="Q383" t="s">
        <v>27</v>
      </c>
      <c r="R383" t="s">
        <v>25</v>
      </c>
    </row>
    <row r="384" spans="1:18" x14ac:dyDescent="0.25">
      <c r="A384">
        <v>443</v>
      </c>
      <c r="B384" s="2">
        <v>40436</v>
      </c>
      <c r="C384">
        <v>9</v>
      </c>
      <c r="D384">
        <v>2010</v>
      </c>
      <c r="E384" t="s">
        <v>18</v>
      </c>
      <c r="F384" t="s">
        <v>26</v>
      </c>
      <c r="G384" t="s">
        <v>14</v>
      </c>
      <c r="H384">
        <v>58</v>
      </c>
      <c r="I384" t="s">
        <v>52</v>
      </c>
      <c r="J384">
        <v>16623</v>
      </c>
      <c r="K384">
        <v>199476</v>
      </c>
      <c r="L384">
        <v>4</v>
      </c>
      <c r="M384" t="s">
        <v>56</v>
      </c>
      <c r="N384">
        <v>3</v>
      </c>
      <c r="O384" t="s">
        <v>55</v>
      </c>
      <c r="P384" t="s">
        <v>20</v>
      </c>
      <c r="Q384" t="s">
        <v>32</v>
      </c>
      <c r="R384" t="s">
        <v>21</v>
      </c>
    </row>
    <row r="385" spans="1:18" x14ac:dyDescent="0.25">
      <c r="A385">
        <v>447</v>
      </c>
      <c r="B385" s="2">
        <v>42282</v>
      </c>
      <c r="C385">
        <v>10</v>
      </c>
      <c r="D385">
        <v>2015</v>
      </c>
      <c r="E385" t="s">
        <v>12</v>
      </c>
      <c r="F385" t="s">
        <v>41</v>
      </c>
      <c r="G385" t="s">
        <v>24</v>
      </c>
      <c r="H385">
        <v>32</v>
      </c>
      <c r="I385" t="s">
        <v>49</v>
      </c>
      <c r="J385">
        <v>18662</v>
      </c>
      <c r="K385">
        <v>223944</v>
      </c>
      <c r="L385">
        <v>7</v>
      </c>
      <c r="M385" t="s">
        <v>56</v>
      </c>
      <c r="N385">
        <v>1</v>
      </c>
      <c r="O385" t="s">
        <v>51</v>
      </c>
      <c r="P385" t="s">
        <v>20</v>
      </c>
      <c r="Q385" t="s">
        <v>27</v>
      </c>
      <c r="R385" t="s">
        <v>17</v>
      </c>
    </row>
    <row r="386" spans="1:18" x14ac:dyDescent="0.25">
      <c r="A386">
        <v>458</v>
      </c>
      <c r="B386" s="2">
        <v>44424</v>
      </c>
      <c r="C386">
        <v>8</v>
      </c>
      <c r="D386">
        <v>2021</v>
      </c>
      <c r="E386" t="s">
        <v>30</v>
      </c>
      <c r="F386" t="s">
        <v>38</v>
      </c>
      <c r="G386" t="s">
        <v>14</v>
      </c>
      <c r="H386">
        <v>38</v>
      </c>
      <c r="I386" t="s">
        <v>49</v>
      </c>
      <c r="J386">
        <v>4694</v>
      </c>
      <c r="K386">
        <v>56328</v>
      </c>
      <c r="L386">
        <v>7</v>
      </c>
      <c r="M386" t="s">
        <v>56</v>
      </c>
      <c r="N386">
        <v>5</v>
      </c>
      <c r="O386" t="s">
        <v>54</v>
      </c>
      <c r="P386" t="s">
        <v>20</v>
      </c>
      <c r="Q386" t="s">
        <v>32</v>
      </c>
      <c r="R386" t="s">
        <v>17</v>
      </c>
    </row>
    <row r="387" spans="1:18" x14ac:dyDescent="0.25">
      <c r="A387">
        <v>464</v>
      </c>
      <c r="B387" s="2">
        <v>43592</v>
      </c>
      <c r="C387">
        <v>5</v>
      </c>
      <c r="D387">
        <v>2019</v>
      </c>
      <c r="E387" t="s">
        <v>22</v>
      </c>
      <c r="F387" t="s">
        <v>23</v>
      </c>
      <c r="G387" t="s">
        <v>14</v>
      </c>
      <c r="H387">
        <v>28</v>
      </c>
      <c r="I387" t="s">
        <v>53</v>
      </c>
      <c r="J387">
        <v>6778</v>
      </c>
      <c r="K387">
        <v>81336</v>
      </c>
      <c r="L387">
        <v>4</v>
      </c>
      <c r="M387" t="s">
        <v>56</v>
      </c>
      <c r="N387">
        <v>2</v>
      </c>
      <c r="O387" t="s">
        <v>51</v>
      </c>
      <c r="P387" t="s">
        <v>15</v>
      </c>
      <c r="Q387" t="s">
        <v>32</v>
      </c>
      <c r="R387" t="s">
        <v>17</v>
      </c>
    </row>
    <row r="388" spans="1:18" x14ac:dyDescent="0.25">
      <c r="A388">
        <v>465</v>
      </c>
      <c r="B388" s="2">
        <v>44226</v>
      </c>
      <c r="C388">
        <v>1</v>
      </c>
      <c r="D388">
        <v>2021</v>
      </c>
      <c r="E388" t="s">
        <v>28</v>
      </c>
      <c r="F388" t="s">
        <v>33</v>
      </c>
      <c r="G388" t="s">
        <v>24</v>
      </c>
      <c r="H388">
        <v>42</v>
      </c>
      <c r="I388" t="s">
        <v>49</v>
      </c>
      <c r="J388">
        <v>11508</v>
      </c>
      <c r="K388">
        <v>138096</v>
      </c>
      <c r="L388">
        <v>7</v>
      </c>
      <c r="M388" t="s">
        <v>56</v>
      </c>
      <c r="N388">
        <v>3</v>
      </c>
      <c r="O388" t="s">
        <v>55</v>
      </c>
      <c r="P388" t="s">
        <v>15</v>
      </c>
      <c r="Q388" t="s">
        <v>16</v>
      </c>
      <c r="R388" t="s">
        <v>34</v>
      </c>
    </row>
    <row r="389" spans="1:18" x14ac:dyDescent="0.25">
      <c r="A389">
        <v>466</v>
      </c>
      <c r="B389" s="2">
        <v>41018</v>
      </c>
      <c r="C389">
        <v>4</v>
      </c>
      <c r="D389">
        <v>2012</v>
      </c>
      <c r="E389" t="s">
        <v>12</v>
      </c>
      <c r="F389" t="s">
        <v>13</v>
      </c>
      <c r="G389" t="s">
        <v>24</v>
      </c>
      <c r="H389">
        <v>31</v>
      </c>
      <c r="I389" t="s">
        <v>49</v>
      </c>
      <c r="J389">
        <v>13081</v>
      </c>
      <c r="K389">
        <v>156972</v>
      </c>
      <c r="L389">
        <v>7</v>
      </c>
      <c r="M389" t="s">
        <v>56</v>
      </c>
      <c r="N389">
        <v>1</v>
      </c>
      <c r="O389" t="s">
        <v>51</v>
      </c>
      <c r="P389" t="s">
        <v>20</v>
      </c>
      <c r="Q389" t="s">
        <v>16</v>
      </c>
      <c r="R389" t="s">
        <v>21</v>
      </c>
    </row>
    <row r="390" spans="1:18" x14ac:dyDescent="0.25">
      <c r="A390">
        <v>469</v>
      </c>
      <c r="B390" s="2">
        <v>44732</v>
      </c>
      <c r="C390">
        <v>6</v>
      </c>
      <c r="D390">
        <v>2022</v>
      </c>
      <c r="E390" t="s">
        <v>18</v>
      </c>
      <c r="F390" t="s">
        <v>19</v>
      </c>
      <c r="G390" t="s">
        <v>24</v>
      </c>
      <c r="H390">
        <v>45</v>
      </c>
      <c r="I390" t="s">
        <v>49</v>
      </c>
      <c r="J390">
        <v>7468</v>
      </c>
      <c r="K390">
        <v>89616</v>
      </c>
      <c r="L390">
        <v>7</v>
      </c>
      <c r="M390" t="s">
        <v>56</v>
      </c>
      <c r="N390">
        <v>5</v>
      </c>
      <c r="O390" t="s">
        <v>54</v>
      </c>
      <c r="P390" t="s">
        <v>20</v>
      </c>
      <c r="Q390" t="s">
        <v>16</v>
      </c>
      <c r="R390" t="s">
        <v>39</v>
      </c>
    </row>
    <row r="391" spans="1:18" x14ac:dyDescent="0.25">
      <c r="A391">
        <v>470</v>
      </c>
      <c r="B391" s="2">
        <v>42467</v>
      </c>
      <c r="C391">
        <v>4</v>
      </c>
      <c r="D391">
        <v>2016</v>
      </c>
      <c r="E391" t="s">
        <v>30</v>
      </c>
      <c r="F391" t="s">
        <v>38</v>
      </c>
      <c r="G391" t="s">
        <v>14</v>
      </c>
      <c r="H391">
        <v>49</v>
      </c>
      <c r="I391" t="s">
        <v>52</v>
      </c>
      <c r="J391">
        <v>7897</v>
      </c>
      <c r="K391">
        <v>94764</v>
      </c>
      <c r="L391">
        <v>5</v>
      </c>
      <c r="M391" t="s">
        <v>56</v>
      </c>
      <c r="N391">
        <v>5</v>
      </c>
      <c r="O391" t="s">
        <v>54</v>
      </c>
      <c r="P391" t="s">
        <v>20</v>
      </c>
      <c r="Q391" t="s">
        <v>27</v>
      </c>
      <c r="R391" t="s">
        <v>25</v>
      </c>
    </row>
    <row r="392" spans="1:18" x14ac:dyDescent="0.25">
      <c r="A392">
        <v>471</v>
      </c>
      <c r="B392" s="2">
        <v>43679</v>
      </c>
      <c r="C392">
        <v>8</v>
      </c>
      <c r="D392">
        <v>2019</v>
      </c>
      <c r="E392" t="s">
        <v>36</v>
      </c>
      <c r="F392" t="s">
        <v>37</v>
      </c>
      <c r="G392" t="s">
        <v>24</v>
      </c>
      <c r="H392">
        <v>38</v>
      </c>
      <c r="I392" t="s">
        <v>49</v>
      </c>
      <c r="J392">
        <v>8272</v>
      </c>
      <c r="K392">
        <v>99264</v>
      </c>
      <c r="L392">
        <v>7</v>
      </c>
      <c r="M392" t="s">
        <v>56</v>
      </c>
      <c r="N392">
        <v>2</v>
      </c>
      <c r="O392" t="s">
        <v>51</v>
      </c>
      <c r="P392" t="s">
        <v>20</v>
      </c>
      <c r="Q392" t="s">
        <v>27</v>
      </c>
      <c r="R392" t="s">
        <v>21</v>
      </c>
    </row>
    <row r="393" spans="1:18" x14ac:dyDescent="0.25">
      <c r="A393">
        <v>472</v>
      </c>
      <c r="B393" s="2">
        <v>40607</v>
      </c>
      <c r="C393">
        <v>3</v>
      </c>
      <c r="D393">
        <v>2011</v>
      </c>
      <c r="E393" t="s">
        <v>18</v>
      </c>
      <c r="F393" t="s">
        <v>19</v>
      </c>
      <c r="G393" t="s">
        <v>14</v>
      </c>
      <c r="H393">
        <v>22</v>
      </c>
      <c r="I393" t="s">
        <v>53</v>
      </c>
      <c r="J393">
        <v>18818</v>
      </c>
      <c r="K393">
        <v>225816</v>
      </c>
      <c r="L393">
        <v>6</v>
      </c>
      <c r="M393" t="s">
        <v>56</v>
      </c>
      <c r="N393">
        <v>2</v>
      </c>
      <c r="O393" t="s">
        <v>51</v>
      </c>
      <c r="P393" t="s">
        <v>15</v>
      </c>
      <c r="Q393" t="s">
        <v>32</v>
      </c>
      <c r="R393" t="s">
        <v>17</v>
      </c>
    </row>
    <row r="394" spans="1:18" x14ac:dyDescent="0.25">
      <c r="A394">
        <v>473</v>
      </c>
      <c r="B394" s="2">
        <v>40379</v>
      </c>
      <c r="C394">
        <v>7</v>
      </c>
      <c r="D394">
        <v>2010</v>
      </c>
      <c r="E394" t="s">
        <v>22</v>
      </c>
      <c r="F394" t="s">
        <v>35</v>
      </c>
      <c r="G394" t="s">
        <v>24</v>
      </c>
      <c r="H394">
        <v>46</v>
      </c>
      <c r="I394" t="s">
        <v>52</v>
      </c>
      <c r="J394">
        <v>15249</v>
      </c>
      <c r="K394">
        <v>182988</v>
      </c>
      <c r="L394">
        <v>5</v>
      </c>
      <c r="M394" t="s">
        <v>56</v>
      </c>
      <c r="N394">
        <v>5</v>
      </c>
      <c r="O394" t="s">
        <v>54</v>
      </c>
      <c r="P394" t="s">
        <v>20</v>
      </c>
      <c r="Q394" t="s">
        <v>16</v>
      </c>
      <c r="R394" t="s">
        <v>25</v>
      </c>
    </row>
    <row r="395" spans="1:18" x14ac:dyDescent="0.25">
      <c r="A395">
        <v>474</v>
      </c>
      <c r="B395" s="2">
        <v>45112</v>
      </c>
      <c r="C395">
        <v>7</v>
      </c>
      <c r="D395">
        <v>2023</v>
      </c>
      <c r="E395" t="s">
        <v>22</v>
      </c>
      <c r="F395" t="s">
        <v>35</v>
      </c>
      <c r="G395" t="s">
        <v>24</v>
      </c>
      <c r="H395">
        <v>22</v>
      </c>
      <c r="I395" t="s">
        <v>53</v>
      </c>
      <c r="J395">
        <v>5791</v>
      </c>
      <c r="K395">
        <v>69492</v>
      </c>
      <c r="L395">
        <v>4</v>
      </c>
      <c r="M395" t="s">
        <v>56</v>
      </c>
      <c r="N395">
        <v>1</v>
      </c>
      <c r="O395" t="s">
        <v>51</v>
      </c>
      <c r="P395" t="s">
        <v>15</v>
      </c>
      <c r="Q395" t="s">
        <v>32</v>
      </c>
      <c r="R395" t="s">
        <v>21</v>
      </c>
    </row>
    <row r="396" spans="1:18" x14ac:dyDescent="0.25">
      <c r="A396">
        <v>476</v>
      </c>
      <c r="B396" s="2">
        <v>41014</v>
      </c>
      <c r="C396">
        <v>4</v>
      </c>
      <c r="D396">
        <v>2012</v>
      </c>
      <c r="E396" t="s">
        <v>22</v>
      </c>
      <c r="F396" t="s">
        <v>35</v>
      </c>
      <c r="G396" t="s">
        <v>14</v>
      </c>
      <c r="H396">
        <v>29</v>
      </c>
      <c r="I396" t="s">
        <v>53</v>
      </c>
      <c r="J396">
        <v>19860</v>
      </c>
      <c r="K396">
        <v>238320</v>
      </c>
      <c r="L396">
        <v>5</v>
      </c>
      <c r="M396" t="s">
        <v>56</v>
      </c>
      <c r="N396">
        <v>3</v>
      </c>
      <c r="O396" t="s">
        <v>55</v>
      </c>
      <c r="P396" t="s">
        <v>20</v>
      </c>
      <c r="Q396" t="s">
        <v>32</v>
      </c>
      <c r="R396" t="s">
        <v>21</v>
      </c>
    </row>
    <row r="397" spans="1:18" x14ac:dyDescent="0.25">
      <c r="A397">
        <v>477</v>
      </c>
      <c r="B397" s="2">
        <v>44350</v>
      </c>
      <c r="C397">
        <v>6</v>
      </c>
      <c r="D397">
        <v>2021</v>
      </c>
      <c r="E397" t="s">
        <v>12</v>
      </c>
      <c r="F397" t="s">
        <v>41</v>
      </c>
      <c r="G397" t="s">
        <v>14</v>
      </c>
      <c r="H397">
        <v>52</v>
      </c>
      <c r="I397" t="s">
        <v>52</v>
      </c>
      <c r="J397">
        <v>9371</v>
      </c>
      <c r="K397">
        <v>112452</v>
      </c>
      <c r="L397">
        <v>4</v>
      </c>
      <c r="M397" t="s">
        <v>56</v>
      </c>
      <c r="N397">
        <v>5</v>
      </c>
      <c r="O397" t="s">
        <v>54</v>
      </c>
      <c r="P397" t="s">
        <v>20</v>
      </c>
      <c r="Q397" t="s">
        <v>16</v>
      </c>
      <c r="R397" t="s">
        <v>34</v>
      </c>
    </row>
    <row r="398" spans="1:18" x14ac:dyDescent="0.25">
      <c r="A398">
        <v>478</v>
      </c>
      <c r="B398" s="2">
        <v>44244</v>
      </c>
      <c r="C398">
        <v>2</v>
      </c>
      <c r="D398">
        <v>2021</v>
      </c>
      <c r="E398" t="s">
        <v>22</v>
      </c>
      <c r="F398" t="s">
        <v>35</v>
      </c>
      <c r="G398" t="s">
        <v>14</v>
      </c>
      <c r="H398">
        <v>50</v>
      </c>
      <c r="I398" t="s">
        <v>52</v>
      </c>
      <c r="J398">
        <v>13549</v>
      </c>
      <c r="K398">
        <v>162588</v>
      </c>
      <c r="L398">
        <v>5</v>
      </c>
      <c r="M398" t="s">
        <v>56</v>
      </c>
      <c r="N398">
        <v>5</v>
      </c>
      <c r="O398" t="s">
        <v>54</v>
      </c>
      <c r="P398" t="s">
        <v>20</v>
      </c>
      <c r="Q398" t="s">
        <v>27</v>
      </c>
      <c r="R398" t="s">
        <v>25</v>
      </c>
    </row>
    <row r="399" spans="1:18" x14ac:dyDescent="0.25">
      <c r="A399">
        <v>482</v>
      </c>
      <c r="B399" s="2">
        <v>44930</v>
      </c>
      <c r="C399">
        <v>1</v>
      </c>
      <c r="D399">
        <v>2023</v>
      </c>
      <c r="E399" t="s">
        <v>36</v>
      </c>
      <c r="F399" t="s">
        <v>42</v>
      </c>
      <c r="G399" t="s">
        <v>14</v>
      </c>
      <c r="H399">
        <v>51</v>
      </c>
      <c r="I399" t="s">
        <v>52</v>
      </c>
      <c r="J399">
        <v>16335</v>
      </c>
      <c r="K399">
        <v>196020</v>
      </c>
      <c r="L399">
        <v>5</v>
      </c>
      <c r="M399" t="s">
        <v>56</v>
      </c>
      <c r="N399">
        <v>4</v>
      </c>
      <c r="O399" t="s">
        <v>54</v>
      </c>
      <c r="P399" t="s">
        <v>15</v>
      </c>
      <c r="Q399" t="s">
        <v>16</v>
      </c>
      <c r="R399" t="s">
        <v>17</v>
      </c>
    </row>
    <row r="400" spans="1:18" x14ac:dyDescent="0.25">
      <c r="A400">
        <v>484</v>
      </c>
      <c r="B400" s="2">
        <v>42024</v>
      </c>
      <c r="C400">
        <v>1</v>
      </c>
      <c r="D400">
        <v>2015</v>
      </c>
      <c r="E400" t="s">
        <v>28</v>
      </c>
      <c r="F400" t="s">
        <v>33</v>
      </c>
      <c r="G400" t="s">
        <v>14</v>
      </c>
      <c r="H400">
        <v>26</v>
      </c>
      <c r="I400" t="s">
        <v>53</v>
      </c>
      <c r="J400">
        <v>5044</v>
      </c>
      <c r="K400">
        <v>60528</v>
      </c>
      <c r="L400">
        <v>3</v>
      </c>
      <c r="M400" t="s">
        <v>56</v>
      </c>
      <c r="N400">
        <v>3</v>
      </c>
      <c r="O400" t="s">
        <v>55</v>
      </c>
      <c r="P400" t="s">
        <v>20</v>
      </c>
      <c r="Q400" t="s">
        <v>16</v>
      </c>
      <c r="R400" t="s">
        <v>25</v>
      </c>
    </row>
    <row r="401" spans="1:18" x14ac:dyDescent="0.25">
      <c r="A401">
        <v>487</v>
      </c>
      <c r="B401" s="2">
        <v>43257</v>
      </c>
      <c r="C401">
        <v>6</v>
      </c>
      <c r="D401">
        <v>2018</v>
      </c>
      <c r="E401" t="s">
        <v>18</v>
      </c>
      <c r="F401" t="s">
        <v>19</v>
      </c>
      <c r="G401" t="s">
        <v>24</v>
      </c>
      <c r="H401">
        <v>41</v>
      </c>
      <c r="I401" t="s">
        <v>49</v>
      </c>
      <c r="J401">
        <v>9501</v>
      </c>
      <c r="K401">
        <v>114012</v>
      </c>
      <c r="L401">
        <v>4</v>
      </c>
      <c r="M401" t="s">
        <v>56</v>
      </c>
      <c r="N401">
        <v>3</v>
      </c>
      <c r="O401" t="s">
        <v>55</v>
      </c>
      <c r="P401" t="s">
        <v>20</v>
      </c>
      <c r="Q401" t="s">
        <v>27</v>
      </c>
      <c r="R401" t="s">
        <v>39</v>
      </c>
    </row>
    <row r="402" spans="1:18" x14ac:dyDescent="0.25">
      <c r="A402">
        <v>498</v>
      </c>
      <c r="B402" s="2">
        <v>44394</v>
      </c>
      <c r="C402">
        <v>7</v>
      </c>
      <c r="D402">
        <v>2021</v>
      </c>
      <c r="E402" t="s">
        <v>36</v>
      </c>
      <c r="F402" t="s">
        <v>40</v>
      </c>
      <c r="G402" t="s">
        <v>14</v>
      </c>
      <c r="H402">
        <v>38</v>
      </c>
      <c r="I402" t="s">
        <v>49</v>
      </c>
      <c r="J402">
        <v>10439</v>
      </c>
      <c r="K402">
        <v>125268</v>
      </c>
      <c r="L402">
        <v>6</v>
      </c>
      <c r="M402" t="s">
        <v>56</v>
      </c>
      <c r="N402">
        <v>3</v>
      </c>
      <c r="O402" t="s">
        <v>55</v>
      </c>
      <c r="P402" t="s">
        <v>20</v>
      </c>
      <c r="Q402" t="s">
        <v>27</v>
      </c>
      <c r="R402" t="s">
        <v>17</v>
      </c>
    </row>
    <row r="403" spans="1:18" x14ac:dyDescent="0.25">
      <c r="A403">
        <v>499</v>
      </c>
      <c r="B403" s="2">
        <v>41844</v>
      </c>
      <c r="C403">
        <v>7</v>
      </c>
      <c r="D403">
        <v>2014</v>
      </c>
      <c r="E403" t="s">
        <v>22</v>
      </c>
      <c r="F403" t="s">
        <v>35</v>
      </c>
      <c r="G403" t="s">
        <v>14</v>
      </c>
      <c r="H403">
        <v>39</v>
      </c>
      <c r="I403" t="s">
        <v>49</v>
      </c>
      <c r="J403">
        <v>4932</v>
      </c>
      <c r="K403">
        <v>59184</v>
      </c>
      <c r="L403">
        <v>4</v>
      </c>
      <c r="M403" t="s">
        <v>56</v>
      </c>
      <c r="N403">
        <v>1</v>
      </c>
      <c r="O403" t="s">
        <v>51</v>
      </c>
      <c r="P403" t="s">
        <v>15</v>
      </c>
      <c r="Q403" t="s">
        <v>32</v>
      </c>
      <c r="R403" t="s">
        <v>21</v>
      </c>
    </row>
    <row r="404" spans="1:18" x14ac:dyDescent="0.25">
      <c r="A404">
        <v>500</v>
      </c>
      <c r="B404" s="2">
        <v>41087</v>
      </c>
      <c r="C404">
        <v>6</v>
      </c>
      <c r="D404">
        <v>2012</v>
      </c>
      <c r="E404" t="s">
        <v>30</v>
      </c>
      <c r="F404" t="s">
        <v>31</v>
      </c>
      <c r="G404" t="s">
        <v>14</v>
      </c>
      <c r="H404">
        <v>27</v>
      </c>
      <c r="I404" t="s">
        <v>53</v>
      </c>
      <c r="J404">
        <v>15440</v>
      </c>
      <c r="K404">
        <v>185280</v>
      </c>
      <c r="L404">
        <v>6</v>
      </c>
      <c r="M404" t="s">
        <v>56</v>
      </c>
      <c r="N404">
        <v>3</v>
      </c>
      <c r="O404" t="s">
        <v>55</v>
      </c>
      <c r="P404" t="s">
        <v>20</v>
      </c>
      <c r="Q404" t="s">
        <v>32</v>
      </c>
      <c r="R404" t="s">
        <v>21</v>
      </c>
    </row>
    <row r="405" spans="1:18" x14ac:dyDescent="0.25">
      <c r="A405">
        <v>7</v>
      </c>
      <c r="B405" s="2">
        <v>43466</v>
      </c>
      <c r="C405">
        <v>1</v>
      </c>
      <c r="D405">
        <v>2019</v>
      </c>
      <c r="E405" t="s">
        <v>28</v>
      </c>
      <c r="F405" t="s">
        <v>33</v>
      </c>
      <c r="G405" t="s">
        <v>14</v>
      </c>
      <c r="H405">
        <v>59</v>
      </c>
      <c r="I405" t="s">
        <v>52</v>
      </c>
      <c r="J405">
        <v>4448</v>
      </c>
      <c r="K405">
        <v>53376</v>
      </c>
      <c r="L405">
        <v>2</v>
      </c>
      <c r="M405" t="s">
        <v>57</v>
      </c>
      <c r="N405">
        <v>1</v>
      </c>
      <c r="O405" t="s">
        <v>51</v>
      </c>
      <c r="P405" t="s">
        <v>20</v>
      </c>
      <c r="Q405" t="s">
        <v>16</v>
      </c>
      <c r="R405" t="s">
        <v>17</v>
      </c>
    </row>
    <row r="406" spans="1:18" x14ac:dyDescent="0.25">
      <c r="A406">
        <v>9</v>
      </c>
      <c r="B406" s="2">
        <v>44892</v>
      </c>
      <c r="C406">
        <v>11</v>
      </c>
      <c r="D406">
        <v>2022</v>
      </c>
      <c r="E406" t="s">
        <v>28</v>
      </c>
      <c r="F406" t="s">
        <v>33</v>
      </c>
      <c r="G406" t="s">
        <v>14</v>
      </c>
      <c r="H406">
        <v>50</v>
      </c>
      <c r="I406" t="s">
        <v>52</v>
      </c>
      <c r="J406">
        <v>10137</v>
      </c>
      <c r="K406">
        <v>121644</v>
      </c>
      <c r="L406">
        <v>0</v>
      </c>
      <c r="M406" t="s">
        <v>57</v>
      </c>
      <c r="N406">
        <v>4</v>
      </c>
      <c r="O406" t="s">
        <v>54</v>
      </c>
      <c r="P406" t="s">
        <v>20</v>
      </c>
      <c r="Q406" t="s">
        <v>32</v>
      </c>
      <c r="R406" t="s">
        <v>34</v>
      </c>
    </row>
    <row r="407" spans="1:18" x14ac:dyDescent="0.25">
      <c r="A407">
        <v>10</v>
      </c>
      <c r="B407" s="2">
        <v>41103</v>
      </c>
      <c r="C407">
        <v>7</v>
      </c>
      <c r="D407">
        <v>2012</v>
      </c>
      <c r="E407" t="s">
        <v>22</v>
      </c>
      <c r="F407" t="s">
        <v>35</v>
      </c>
      <c r="G407" t="s">
        <v>14</v>
      </c>
      <c r="H407">
        <v>26</v>
      </c>
      <c r="I407" t="s">
        <v>53</v>
      </c>
      <c r="J407">
        <v>16303</v>
      </c>
      <c r="K407">
        <v>195636</v>
      </c>
      <c r="L407">
        <v>0</v>
      </c>
      <c r="M407" t="s">
        <v>57</v>
      </c>
      <c r="N407">
        <v>5</v>
      </c>
      <c r="O407" t="s">
        <v>54</v>
      </c>
      <c r="P407" t="s">
        <v>20</v>
      </c>
      <c r="Q407" t="s">
        <v>27</v>
      </c>
      <c r="R407" t="s">
        <v>17</v>
      </c>
    </row>
    <row r="408" spans="1:18" x14ac:dyDescent="0.25">
      <c r="A408">
        <v>11</v>
      </c>
      <c r="B408" s="2">
        <v>45048</v>
      </c>
      <c r="C408">
        <v>5</v>
      </c>
      <c r="D408">
        <v>2023</v>
      </c>
      <c r="E408" t="s">
        <v>12</v>
      </c>
      <c r="F408" t="s">
        <v>13</v>
      </c>
      <c r="G408" t="s">
        <v>14</v>
      </c>
      <c r="H408">
        <v>27</v>
      </c>
      <c r="I408" t="s">
        <v>53</v>
      </c>
      <c r="J408">
        <v>9012</v>
      </c>
      <c r="K408">
        <v>108144</v>
      </c>
      <c r="L408">
        <v>0</v>
      </c>
      <c r="M408" t="s">
        <v>57</v>
      </c>
      <c r="N408">
        <v>1</v>
      </c>
      <c r="O408" t="s">
        <v>51</v>
      </c>
      <c r="P408" t="s">
        <v>15</v>
      </c>
      <c r="Q408" t="s">
        <v>16</v>
      </c>
      <c r="R408" t="s">
        <v>21</v>
      </c>
    </row>
    <row r="409" spans="1:18" x14ac:dyDescent="0.25">
      <c r="A409">
        <v>23</v>
      </c>
      <c r="B409" s="2">
        <v>41786</v>
      </c>
      <c r="C409">
        <v>5</v>
      </c>
      <c r="D409">
        <v>2014</v>
      </c>
      <c r="E409" t="s">
        <v>36</v>
      </c>
      <c r="F409" t="s">
        <v>40</v>
      </c>
      <c r="G409" t="s">
        <v>24</v>
      </c>
      <c r="H409">
        <v>57</v>
      </c>
      <c r="I409" t="s">
        <v>52</v>
      </c>
      <c r="J409">
        <v>16017</v>
      </c>
      <c r="K409">
        <v>192204</v>
      </c>
      <c r="L409">
        <v>2</v>
      </c>
      <c r="M409" t="s">
        <v>57</v>
      </c>
      <c r="N409">
        <v>3</v>
      </c>
      <c r="O409" t="s">
        <v>55</v>
      </c>
      <c r="P409" t="s">
        <v>15</v>
      </c>
      <c r="Q409" t="s">
        <v>16</v>
      </c>
      <c r="R409" t="s">
        <v>17</v>
      </c>
    </row>
    <row r="410" spans="1:18" x14ac:dyDescent="0.25">
      <c r="A410">
        <v>25</v>
      </c>
      <c r="B410" s="2">
        <v>40734</v>
      </c>
      <c r="C410">
        <v>7</v>
      </c>
      <c r="D410">
        <v>2011</v>
      </c>
      <c r="E410" t="s">
        <v>12</v>
      </c>
      <c r="F410" t="s">
        <v>13</v>
      </c>
      <c r="G410" t="s">
        <v>24</v>
      </c>
      <c r="H410">
        <v>24</v>
      </c>
      <c r="I410" t="s">
        <v>53</v>
      </c>
      <c r="J410">
        <v>12854</v>
      </c>
      <c r="K410">
        <v>154248</v>
      </c>
      <c r="L410">
        <v>2</v>
      </c>
      <c r="M410" t="s">
        <v>57</v>
      </c>
      <c r="N410">
        <v>4</v>
      </c>
      <c r="O410" t="s">
        <v>54</v>
      </c>
      <c r="P410" t="s">
        <v>15</v>
      </c>
      <c r="Q410" t="s">
        <v>16</v>
      </c>
      <c r="R410" t="s">
        <v>25</v>
      </c>
    </row>
    <row r="411" spans="1:18" x14ac:dyDescent="0.25">
      <c r="A411">
        <v>26</v>
      </c>
      <c r="B411" s="2">
        <v>41773</v>
      </c>
      <c r="C411">
        <v>5</v>
      </c>
      <c r="D411">
        <v>2014</v>
      </c>
      <c r="E411" t="s">
        <v>12</v>
      </c>
      <c r="F411" t="s">
        <v>41</v>
      </c>
      <c r="G411" t="s">
        <v>24</v>
      </c>
      <c r="H411">
        <v>28</v>
      </c>
      <c r="I411" t="s">
        <v>53</v>
      </c>
      <c r="J411">
        <v>7208</v>
      </c>
      <c r="K411">
        <v>86496</v>
      </c>
      <c r="L411">
        <v>2</v>
      </c>
      <c r="M411" t="s">
        <v>57</v>
      </c>
      <c r="N411">
        <v>4</v>
      </c>
      <c r="O411" t="s">
        <v>54</v>
      </c>
      <c r="P411" t="s">
        <v>15</v>
      </c>
      <c r="Q411" t="s">
        <v>16</v>
      </c>
      <c r="R411" t="s">
        <v>25</v>
      </c>
    </row>
    <row r="412" spans="1:18" x14ac:dyDescent="0.25">
      <c r="A412">
        <v>29</v>
      </c>
      <c r="B412" s="2">
        <v>44872</v>
      </c>
      <c r="C412">
        <v>11</v>
      </c>
      <c r="D412">
        <v>2022</v>
      </c>
      <c r="E412" t="s">
        <v>22</v>
      </c>
      <c r="F412" t="s">
        <v>35</v>
      </c>
      <c r="G412" t="s">
        <v>14</v>
      </c>
      <c r="H412">
        <v>26</v>
      </c>
      <c r="I412" t="s">
        <v>53</v>
      </c>
      <c r="J412">
        <v>17810</v>
      </c>
      <c r="K412">
        <v>213720</v>
      </c>
      <c r="L412">
        <v>1</v>
      </c>
      <c r="M412" t="s">
        <v>57</v>
      </c>
      <c r="N412">
        <v>1</v>
      </c>
      <c r="O412" t="s">
        <v>51</v>
      </c>
      <c r="P412" t="s">
        <v>20</v>
      </c>
      <c r="Q412" t="s">
        <v>16</v>
      </c>
      <c r="R412" t="s">
        <v>34</v>
      </c>
    </row>
    <row r="413" spans="1:18" x14ac:dyDescent="0.25">
      <c r="A413">
        <v>37</v>
      </c>
      <c r="B413" s="2">
        <v>40706</v>
      </c>
      <c r="C413">
        <v>6</v>
      </c>
      <c r="D413">
        <v>2011</v>
      </c>
      <c r="E413" t="s">
        <v>18</v>
      </c>
      <c r="F413" t="s">
        <v>19</v>
      </c>
      <c r="G413" t="s">
        <v>14</v>
      </c>
      <c r="H413">
        <v>30</v>
      </c>
      <c r="I413" t="s">
        <v>49</v>
      </c>
      <c r="J413">
        <v>5323</v>
      </c>
      <c r="K413">
        <v>63876</v>
      </c>
      <c r="L413">
        <v>1</v>
      </c>
      <c r="M413" t="s">
        <v>57</v>
      </c>
      <c r="N413">
        <v>4</v>
      </c>
      <c r="O413" t="s">
        <v>54</v>
      </c>
      <c r="P413" t="s">
        <v>20</v>
      </c>
      <c r="Q413" t="s">
        <v>16</v>
      </c>
      <c r="R413" t="s">
        <v>17</v>
      </c>
    </row>
    <row r="414" spans="1:18" x14ac:dyDescent="0.25">
      <c r="A414">
        <v>42</v>
      </c>
      <c r="B414" s="2">
        <v>43304</v>
      </c>
      <c r="C414">
        <v>7</v>
      </c>
      <c r="D414">
        <v>2018</v>
      </c>
      <c r="E414" t="s">
        <v>36</v>
      </c>
      <c r="F414" t="s">
        <v>37</v>
      </c>
      <c r="G414" t="s">
        <v>14</v>
      </c>
      <c r="H414">
        <v>26</v>
      </c>
      <c r="I414" t="s">
        <v>53</v>
      </c>
      <c r="J414">
        <v>7734</v>
      </c>
      <c r="K414">
        <v>92808</v>
      </c>
      <c r="L414">
        <v>1</v>
      </c>
      <c r="M414" t="s">
        <v>57</v>
      </c>
      <c r="N414">
        <v>1</v>
      </c>
      <c r="O414" t="s">
        <v>51</v>
      </c>
      <c r="P414" t="s">
        <v>15</v>
      </c>
      <c r="Q414" t="s">
        <v>32</v>
      </c>
      <c r="R414" t="s">
        <v>39</v>
      </c>
    </row>
    <row r="415" spans="1:18" x14ac:dyDescent="0.25">
      <c r="A415">
        <v>43</v>
      </c>
      <c r="B415" s="2">
        <v>45024</v>
      </c>
      <c r="C415">
        <v>4</v>
      </c>
      <c r="D415">
        <v>2023</v>
      </c>
      <c r="E415" t="s">
        <v>30</v>
      </c>
      <c r="F415" t="s">
        <v>38</v>
      </c>
      <c r="G415" t="s">
        <v>14</v>
      </c>
      <c r="H415">
        <v>44</v>
      </c>
      <c r="I415" t="s">
        <v>49</v>
      </c>
      <c r="J415">
        <v>4778</v>
      </c>
      <c r="K415">
        <v>57336</v>
      </c>
      <c r="L415">
        <v>1</v>
      </c>
      <c r="M415" t="s">
        <v>57</v>
      </c>
      <c r="N415">
        <v>5</v>
      </c>
      <c r="O415" t="s">
        <v>54</v>
      </c>
      <c r="P415" t="s">
        <v>15</v>
      </c>
      <c r="Q415" t="s">
        <v>27</v>
      </c>
      <c r="R415" t="s">
        <v>17</v>
      </c>
    </row>
    <row r="416" spans="1:18" x14ac:dyDescent="0.25">
      <c r="A416">
        <v>44</v>
      </c>
      <c r="B416" s="2">
        <v>43027</v>
      </c>
      <c r="C416">
        <v>10</v>
      </c>
      <c r="D416">
        <v>2017</v>
      </c>
      <c r="E416" t="s">
        <v>12</v>
      </c>
      <c r="F416" t="s">
        <v>13</v>
      </c>
      <c r="G416" t="s">
        <v>14</v>
      </c>
      <c r="H416">
        <v>33</v>
      </c>
      <c r="I416" t="s">
        <v>49</v>
      </c>
      <c r="J416">
        <v>11636</v>
      </c>
      <c r="K416">
        <v>139632</v>
      </c>
      <c r="L416">
        <v>0</v>
      </c>
      <c r="M416" t="s">
        <v>57</v>
      </c>
      <c r="N416">
        <v>4</v>
      </c>
      <c r="O416" t="s">
        <v>54</v>
      </c>
      <c r="P416" t="s">
        <v>20</v>
      </c>
      <c r="Q416" t="s">
        <v>16</v>
      </c>
      <c r="R416" t="s">
        <v>39</v>
      </c>
    </row>
    <row r="417" spans="1:18" x14ac:dyDescent="0.25">
      <c r="A417">
        <v>55</v>
      </c>
      <c r="B417" s="2">
        <v>42551</v>
      </c>
      <c r="C417">
        <v>6</v>
      </c>
      <c r="D417">
        <v>2016</v>
      </c>
      <c r="E417" t="s">
        <v>12</v>
      </c>
      <c r="F417" t="s">
        <v>41</v>
      </c>
      <c r="G417" t="s">
        <v>24</v>
      </c>
      <c r="H417">
        <v>54</v>
      </c>
      <c r="I417" t="s">
        <v>52</v>
      </c>
      <c r="J417">
        <v>17684</v>
      </c>
      <c r="K417">
        <v>212208</v>
      </c>
      <c r="L417">
        <v>1</v>
      </c>
      <c r="M417" t="s">
        <v>57</v>
      </c>
      <c r="N417">
        <v>2</v>
      </c>
      <c r="O417" t="s">
        <v>51</v>
      </c>
      <c r="P417" t="s">
        <v>15</v>
      </c>
      <c r="Q417" t="s">
        <v>16</v>
      </c>
      <c r="R417" t="s">
        <v>39</v>
      </c>
    </row>
    <row r="418" spans="1:18" x14ac:dyDescent="0.25">
      <c r="A418">
        <v>62</v>
      </c>
      <c r="B418" s="2">
        <v>43979</v>
      </c>
      <c r="C418">
        <v>5</v>
      </c>
      <c r="D418">
        <v>2020</v>
      </c>
      <c r="E418" t="s">
        <v>18</v>
      </c>
      <c r="F418" t="s">
        <v>19</v>
      </c>
      <c r="G418" t="s">
        <v>24</v>
      </c>
      <c r="H418">
        <v>41</v>
      </c>
      <c r="I418" t="s">
        <v>49</v>
      </c>
      <c r="J418">
        <v>7269</v>
      </c>
      <c r="K418">
        <v>87228</v>
      </c>
      <c r="L418">
        <v>0</v>
      </c>
      <c r="M418" t="s">
        <v>57</v>
      </c>
      <c r="N418">
        <v>3</v>
      </c>
      <c r="O418" t="s">
        <v>55</v>
      </c>
      <c r="P418" t="s">
        <v>15</v>
      </c>
      <c r="Q418" t="s">
        <v>27</v>
      </c>
      <c r="R418" t="s">
        <v>21</v>
      </c>
    </row>
    <row r="419" spans="1:18" x14ac:dyDescent="0.25">
      <c r="A419">
        <v>65</v>
      </c>
      <c r="B419" s="2">
        <v>44041</v>
      </c>
      <c r="C419">
        <v>7</v>
      </c>
      <c r="D419">
        <v>2020</v>
      </c>
      <c r="E419" t="s">
        <v>22</v>
      </c>
      <c r="F419" t="s">
        <v>23</v>
      </c>
      <c r="G419" t="s">
        <v>14</v>
      </c>
      <c r="H419">
        <v>28</v>
      </c>
      <c r="I419" t="s">
        <v>53</v>
      </c>
      <c r="J419">
        <v>17265</v>
      </c>
      <c r="K419">
        <v>207180</v>
      </c>
      <c r="L419">
        <v>0</v>
      </c>
      <c r="M419" t="s">
        <v>57</v>
      </c>
      <c r="N419">
        <v>2</v>
      </c>
      <c r="O419" t="s">
        <v>51</v>
      </c>
      <c r="P419" t="s">
        <v>20</v>
      </c>
      <c r="Q419" t="s">
        <v>16</v>
      </c>
      <c r="R419" t="s">
        <v>21</v>
      </c>
    </row>
    <row r="420" spans="1:18" x14ac:dyDescent="0.25">
      <c r="A420">
        <v>71</v>
      </c>
      <c r="B420" s="2">
        <v>42195</v>
      </c>
      <c r="C420">
        <v>7</v>
      </c>
      <c r="D420">
        <v>2015</v>
      </c>
      <c r="E420" t="s">
        <v>12</v>
      </c>
      <c r="F420" t="s">
        <v>41</v>
      </c>
      <c r="G420" t="s">
        <v>24</v>
      </c>
      <c r="H420">
        <v>48</v>
      </c>
      <c r="I420" t="s">
        <v>52</v>
      </c>
      <c r="J420">
        <v>6680</v>
      </c>
      <c r="K420">
        <v>80160</v>
      </c>
      <c r="L420">
        <v>2</v>
      </c>
      <c r="M420" t="s">
        <v>57</v>
      </c>
      <c r="N420">
        <v>3</v>
      </c>
      <c r="O420" t="s">
        <v>55</v>
      </c>
      <c r="P420" t="s">
        <v>15</v>
      </c>
      <c r="Q420" t="s">
        <v>32</v>
      </c>
      <c r="R420" t="s">
        <v>21</v>
      </c>
    </row>
    <row r="421" spans="1:18" x14ac:dyDescent="0.25">
      <c r="A421">
        <v>73</v>
      </c>
      <c r="B421" s="2">
        <v>44486</v>
      </c>
      <c r="C421">
        <v>10</v>
      </c>
      <c r="D421">
        <v>2021</v>
      </c>
      <c r="E421" t="s">
        <v>22</v>
      </c>
      <c r="F421" t="s">
        <v>23</v>
      </c>
      <c r="G421" t="s">
        <v>24</v>
      </c>
      <c r="H421">
        <v>45</v>
      </c>
      <c r="I421" t="s">
        <v>49</v>
      </c>
      <c r="J421">
        <v>7291</v>
      </c>
      <c r="K421">
        <v>87492</v>
      </c>
      <c r="L421">
        <v>2</v>
      </c>
      <c r="M421" t="s">
        <v>57</v>
      </c>
      <c r="N421">
        <v>3</v>
      </c>
      <c r="O421" t="s">
        <v>55</v>
      </c>
      <c r="P421" t="s">
        <v>20</v>
      </c>
      <c r="Q421" t="s">
        <v>27</v>
      </c>
      <c r="R421" t="s">
        <v>39</v>
      </c>
    </row>
    <row r="422" spans="1:18" x14ac:dyDescent="0.25">
      <c r="A422">
        <v>77</v>
      </c>
      <c r="B422" s="2">
        <v>42239</v>
      </c>
      <c r="C422">
        <v>8</v>
      </c>
      <c r="D422">
        <v>2015</v>
      </c>
      <c r="E422" t="s">
        <v>18</v>
      </c>
      <c r="F422" t="s">
        <v>26</v>
      </c>
      <c r="G422" t="s">
        <v>24</v>
      </c>
      <c r="H422">
        <v>42</v>
      </c>
      <c r="I422" t="s">
        <v>49</v>
      </c>
      <c r="J422">
        <v>4639</v>
      </c>
      <c r="K422">
        <v>55668</v>
      </c>
      <c r="L422">
        <v>0</v>
      </c>
      <c r="M422" t="s">
        <v>57</v>
      </c>
      <c r="N422">
        <v>4</v>
      </c>
      <c r="O422" t="s">
        <v>54</v>
      </c>
      <c r="P422" t="s">
        <v>20</v>
      </c>
      <c r="Q422" t="s">
        <v>16</v>
      </c>
      <c r="R422" t="s">
        <v>17</v>
      </c>
    </row>
    <row r="423" spans="1:18" x14ac:dyDescent="0.25">
      <c r="A423">
        <v>81</v>
      </c>
      <c r="B423" s="2">
        <v>40519</v>
      </c>
      <c r="C423">
        <v>12</v>
      </c>
      <c r="D423">
        <v>2010</v>
      </c>
      <c r="E423" t="s">
        <v>28</v>
      </c>
      <c r="F423" t="s">
        <v>33</v>
      </c>
      <c r="G423" t="s">
        <v>24</v>
      </c>
      <c r="H423">
        <v>27</v>
      </c>
      <c r="I423" t="s">
        <v>53</v>
      </c>
      <c r="J423">
        <v>8639</v>
      </c>
      <c r="K423">
        <v>103668</v>
      </c>
      <c r="L423">
        <v>1</v>
      </c>
      <c r="M423" t="s">
        <v>57</v>
      </c>
      <c r="N423">
        <v>3</v>
      </c>
      <c r="O423" t="s">
        <v>55</v>
      </c>
      <c r="P423" t="s">
        <v>15</v>
      </c>
      <c r="Q423" t="s">
        <v>32</v>
      </c>
      <c r="R423" t="s">
        <v>25</v>
      </c>
    </row>
    <row r="424" spans="1:18" x14ac:dyDescent="0.25">
      <c r="A424">
        <v>88</v>
      </c>
      <c r="B424" s="2">
        <v>44524</v>
      </c>
      <c r="C424">
        <v>11</v>
      </c>
      <c r="D424">
        <v>2021</v>
      </c>
      <c r="E424" t="s">
        <v>18</v>
      </c>
      <c r="F424" t="s">
        <v>19</v>
      </c>
      <c r="G424" t="s">
        <v>14</v>
      </c>
      <c r="H424">
        <v>46</v>
      </c>
      <c r="I424" t="s">
        <v>52</v>
      </c>
      <c r="J424">
        <v>14937</v>
      </c>
      <c r="K424">
        <v>179244</v>
      </c>
      <c r="L424">
        <v>2</v>
      </c>
      <c r="M424" t="s">
        <v>57</v>
      </c>
      <c r="N424">
        <v>1</v>
      </c>
      <c r="O424" t="s">
        <v>51</v>
      </c>
      <c r="P424" t="s">
        <v>20</v>
      </c>
      <c r="Q424" t="s">
        <v>16</v>
      </c>
      <c r="R424" t="s">
        <v>17</v>
      </c>
    </row>
    <row r="425" spans="1:18" x14ac:dyDescent="0.25">
      <c r="A425">
        <v>92</v>
      </c>
      <c r="B425" s="2">
        <v>42469</v>
      </c>
      <c r="C425">
        <v>4</v>
      </c>
      <c r="D425">
        <v>2016</v>
      </c>
      <c r="E425" t="s">
        <v>12</v>
      </c>
      <c r="F425" t="s">
        <v>41</v>
      </c>
      <c r="G425" t="s">
        <v>14</v>
      </c>
      <c r="H425">
        <v>38</v>
      </c>
      <c r="I425" t="s">
        <v>49</v>
      </c>
      <c r="J425">
        <v>16396</v>
      </c>
      <c r="K425">
        <v>196752</v>
      </c>
      <c r="L425">
        <v>2</v>
      </c>
      <c r="M425" t="s">
        <v>57</v>
      </c>
      <c r="N425">
        <v>2</v>
      </c>
      <c r="O425" t="s">
        <v>51</v>
      </c>
      <c r="P425" t="s">
        <v>15</v>
      </c>
      <c r="Q425" t="s">
        <v>16</v>
      </c>
      <c r="R425" t="s">
        <v>21</v>
      </c>
    </row>
    <row r="426" spans="1:18" x14ac:dyDescent="0.25">
      <c r="A426">
        <v>93</v>
      </c>
      <c r="B426" s="2">
        <v>40794</v>
      </c>
      <c r="C426">
        <v>9</v>
      </c>
      <c r="D426">
        <v>2011</v>
      </c>
      <c r="E426" t="s">
        <v>12</v>
      </c>
      <c r="F426" t="s">
        <v>13</v>
      </c>
      <c r="G426" t="s">
        <v>24</v>
      </c>
      <c r="H426">
        <v>24</v>
      </c>
      <c r="I426" t="s">
        <v>53</v>
      </c>
      <c r="J426">
        <v>14159</v>
      </c>
      <c r="K426">
        <v>169908</v>
      </c>
      <c r="L426">
        <v>2</v>
      </c>
      <c r="M426" t="s">
        <v>57</v>
      </c>
      <c r="N426">
        <v>3</v>
      </c>
      <c r="O426" t="s">
        <v>55</v>
      </c>
      <c r="P426" t="s">
        <v>20</v>
      </c>
      <c r="Q426" t="s">
        <v>32</v>
      </c>
      <c r="R426" t="s">
        <v>17</v>
      </c>
    </row>
    <row r="427" spans="1:18" x14ac:dyDescent="0.25">
      <c r="A427">
        <v>99</v>
      </c>
      <c r="B427" s="2">
        <v>44237</v>
      </c>
      <c r="C427">
        <v>2</v>
      </c>
      <c r="D427">
        <v>2021</v>
      </c>
      <c r="E427" t="s">
        <v>28</v>
      </c>
      <c r="F427" t="s">
        <v>29</v>
      </c>
      <c r="G427" t="s">
        <v>24</v>
      </c>
      <c r="H427">
        <v>22</v>
      </c>
      <c r="I427" t="s">
        <v>53</v>
      </c>
      <c r="J427">
        <v>16208</v>
      </c>
      <c r="K427">
        <v>194496</v>
      </c>
      <c r="L427">
        <v>0</v>
      </c>
      <c r="M427" t="s">
        <v>57</v>
      </c>
      <c r="N427">
        <v>5</v>
      </c>
      <c r="O427" t="s">
        <v>54</v>
      </c>
      <c r="P427" t="s">
        <v>20</v>
      </c>
      <c r="Q427" t="s">
        <v>16</v>
      </c>
      <c r="R427" t="s">
        <v>21</v>
      </c>
    </row>
    <row r="428" spans="1:18" x14ac:dyDescent="0.25">
      <c r="A428">
        <v>102</v>
      </c>
      <c r="B428" s="2">
        <v>44496</v>
      </c>
      <c r="C428">
        <v>10</v>
      </c>
      <c r="D428">
        <v>2021</v>
      </c>
      <c r="E428" t="s">
        <v>22</v>
      </c>
      <c r="F428" t="s">
        <v>35</v>
      </c>
      <c r="G428" t="s">
        <v>24</v>
      </c>
      <c r="H428">
        <v>28</v>
      </c>
      <c r="I428" t="s">
        <v>53</v>
      </c>
      <c r="J428">
        <v>8739</v>
      </c>
      <c r="K428">
        <v>104868</v>
      </c>
      <c r="L428">
        <v>2</v>
      </c>
      <c r="M428" t="s">
        <v>57</v>
      </c>
      <c r="N428">
        <v>2</v>
      </c>
      <c r="O428" t="s">
        <v>51</v>
      </c>
      <c r="P428" t="s">
        <v>20</v>
      </c>
      <c r="Q428" t="s">
        <v>27</v>
      </c>
      <c r="R428" t="s">
        <v>25</v>
      </c>
    </row>
    <row r="429" spans="1:18" x14ac:dyDescent="0.25">
      <c r="A429">
        <v>113</v>
      </c>
      <c r="B429" s="2">
        <v>40272</v>
      </c>
      <c r="C429">
        <v>4</v>
      </c>
      <c r="D429">
        <v>2010</v>
      </c>
      <c r="E429" t="s">
        <v>18</v>
      </c>
      <c r="F429" t="s">
        <v>26</v>
      </c>
      <c r="G429" t="s">
        <v>14</v>
      </c>
      <c r="H429">
        <v>52</v>
      </c>
      <c r="I429" t="s">
        <v>52</v>
      </c>
      <c r="J429">
        <v>19668</v>
      </c>
      <c r="K429">
        <v>236016</v>
      </c>
      <c r="L429">
        <v>2</v>
      </c>
      <c r="M429" t="s">
        <v>57</v>
      </c>
      <c r="N429">
        <v>3</v>
      </c>
      <c r="O429" t="s">
        <v>55</v>
      </c>
      <c r="P429" t="s">
        <v>20</v>
      </c>
      <c r="Q429" t="s">
        <v>32</v>
      </c>
      <c r="R429" t="s">
        <v>34</v>
      </c>
    </row>
    <row r="430" spans="1:18" x14ac:dyDescent="0.25">
      <c r="A430">
        <v>118</v>
      </c>
      <c r="B430" s="2">
        <v>43624</v>
      </c>
      <c r="C430">
        <v>6</v>
      </c>
      <c r="D430">
        <v>2019</v>
      </c>
      <c r="E430" t="s">
        <v>30</v>
      </c>
      <c r="F430" t="s">
        <v>31</v>
      </c>
      <c r="G430" t="s">
        <v>14</v>
      </c>
      <c r="H430">
        <v>39</v>
      </c>
      <c r="I430" t="s">
        <v>49</v>
      </c>
      <c r="J430">
        <v>16040</v>
      </c>
      <c r="K430">
        <v>192480</v>
      </c>
      <c r="L430">
        <v>0</v>
      </c>
      <c r="M430" t="s">
        <v>57</v>
      </c>
      <c r="N430">
        <v>1</v>
      </c>
      <c r="O430" t="s">
        <v>51</v>
      </c>
      <c r="P430" t="s">
        <v>15</v>
      </c>
      <c r="Q430" t="s">
        <v>32</v>
      </c>
      <c r="R430" t="s">
        <v>17</v>
      </c>
    </row>
    <row r="431" spans="1:18" x14ac:dyDescent="0.25">
      <c r="A431">
        <v>126</v>
      </c>
      <c r="B431" s="2">
        <v>40800</v>
      </c>
      <c r="C431">
        <v>9</v>
      </c>
      <c r="D431">
        <v>2011</v>
      </c>
      <c r="E431" t="s">
        <v>18</v>
      </c>
      <c r="F431" t="s">
        <v>26</v>
      </c>
      <c r="G431" t="s">
        <v>24</v>
      </c>
      <c r="H431">
        <v>60</v>
      </c>
      <c r="I431" t="s">
        <v>52</v>
      </c>
      <c r="J431">
        <v>10297</v>
      </c>
      <c r="K431">
        <v>123564</v>
      </c>
      <c r="L431">
        <v>1</v>
      </c>
      <c r="M431" t="s">
        <v>57</v>
      </c>
      <c r="N431">
        <v>4</v>
      </c>
      <c r="O431" t="s">
        <v>54</v>
      </c>
      <c r="P431" t="s">
        <v>15</v>
      </c>
      <c r="Q431" t="s">
        <v>16</v>
      </c>
      <c r="R431" t="s">
        <v>34</v>
      </c>
    </row>
    <row r="432" spans="1:18" x14ac:dyDescent="0.25">
      <c r="A432">
        <v>139</v>
      </c>
      <c r="B432" s="2">
        <v>42346</v>
      </c>
      <c r="C432">
        <v>12</v>
      </c>
      <c r="D432">
        <v>2015</v>
      </c>
      <c r="E432" t="s">
        <v>18</v>
      </c>
      <c r="F432" t="s">
        <v>26</v>
      </c>
      <c r="G432" t="s">
        <v>24</v>
      </c>
      <c r="H432">
        <v>53</v>
      </c>
      <c r="I432" t="s">
        <v>52</v>
      </c>
      <c r="J432">
        <v>13871</v>
      </c>
      <c r="K432">
        <v>166452</v>
      </c>
      <c r="L432">
        <v>1</v>
      </c>
      <c r="M432" t="s">
        <v>57</v>
      </c>
      <c r="N432">
        <v>5</v>
      </c>
      <c r="O432" t="s">
        <v>54</v>
      </c>
      <c r="P432" t="s">
        <v>20</v>
      </c>
      <c r="Q432" t="s">
        <v>27</v>
      </c>
      <c r="R432" t="s">
        <v>34</v>
      </c>
    </row>
    <row r="433" spans="1:18" x14ac:dyDescent="0.25">
      <c r="A433">
        <v>149</v>
      </c>
      <c r="B433" s="2">
        <v>43923</v>
      </c>
      <c r="C433">
        <v>4</v>
      </c>
      <c r="D433">
        <v>2020</v>
      </c>
      <c r="E433" t="s">
        <v>30</v>
      </c>
      <c r="F433" t="s">
        <v>38</v>
      </c>
      <c r="G433" t="s">
        <v>24</v>
      </c>
      <c r="H433">
        <v>29</v>
      </c>
      <c r="I433" t="s">
        <v>53</v>
      </c>
      <c r="J433">
        <v>13580</v>
      </c>
      <c r="K433">
        <v>162960</v>
      </c>
      <c r="L433">
        <v>2</v>
      </c>
      <c r="M433" t="s">
        <v>57</v>
      </c>
      <c r="N433">
        <v>2</v>
      </c>
      <c r="O433" t="s">
        <v>51</v>
      </c>
      <c r="P433" t="s">
        <v>15</v>
      </c>
      <c r="Q433" t="s">
        <v>27</v>
      </c>
      <c r="R433" t="s">
        <v>39</v>
      </c>
    </row>
    <row r="434" spans="1:18" x14ac:dyDescent="0.25">
      <c r="A434">
        <v>159</v>
      </c>
      <c r="B434" s="2">
        <v>41497</v>
      </c>
      <c r="C434">
        <v>8</v>
      </c>
      <c r="D434">
        <v>2013</v>
      </c>
      <c r="E434" t="s">
        <v>30</v>
      </c>
      <c r="F434" t="s">
        <v>38</v>
      </c>
      <c r="G434" t="s">
        <v>14</v>
      </c>
      <c r="H434">
        <v>53</v>
      </c>
      <c r="I434" t="s">
        <v>52</v>
      </c>
      <c r="J434">
        <v>15840</v>
      </c>
      <c r="K434">
        <v>190080</v>
      </c>
      <c r="L434">
        <v>0</v>
      </c>
      <c r="M434" t="s">
        <v>57</v>
      </c>
      <c r="N434">
        <v>3</v>
      </c>
      <c r="O434" t="s">
        <v>55</v>
      </c>
      <c r="P434" t="s">
        <v>20</v>
      </c>
      <c r="Q434" t="s">
        <v>32</v>
      </c>
      <c r="R434" t="s">
        <v>34</v>
      </c>
    </row>
    <row r="435" spans="1:18" x14ac:dyDescent="0.25">
      <c r="A435">
        <v>161</v>
      </c>
      <c r="B435" s="2">
        <v>43855</v>
      </c>
      <c r="C435">
        <v>1</v>
      </c>
      <c r="D435">
        <v>2020</v>
      </c>
      <c r="E435" t="s">
        <v>22</v>
      </c>
      <c r="F435" t="s">
        <v>35</v>
      </c>
      <c r="G435" t="s">
        <v>24</v>
      </c>
      <c r="H435">
        <v>59</v>
      </c>
      <c r="I435" t="s">
        <v>52</v>
      </c>
      <c r="J435">
        <v>8938</v>
      </c>
      <c r="K435">
        <v>107256</v>
      </c>
      <c r="L435">
        <v>1</v>
      </c>
      <c r="M435" t="s">
        <v>57</v>
      </c>
      <c r="N435">
        <v>5</v>
      </c>
      <c r="O435" t="s">
        <v>54</v>
      </c>
      <c r="P435" t="s">
        <v>20</v>
      </c>
      <c r="Q435" t="s">
        <v>32</v>
      </c>
      <c r="R435" t="s">
        <v>34</v>
      </c>
    </row>
    <row r="436" spans="1:18" x14ac:dyDescent="0.25">
      <c r="A436">
        <v>162</v>
      </c>
      <c r="B436" s="2">
        <v>43544</v>
      </c>
      <c r="C436">
        <v>3</v>
      </c>
      <c r="D436">
        <v>2019</v>
      </c>
      <c r="E436" t="s">
        <v>30</v>
      </c>
      <c r="F436" t="s">
        <v>38</v>
      </c>
      <c r="G436" t="s">
        <v>24</v>
      </c>
      <c r="H436">
        <v>32</v>
      </c>
      <c r="I436" t="s">
        <v>49</v>
      </c>
      <c r="J436">
        <v>5491</v>
      </c>
      <c r="K436">
        <v>65892</v>
      </c>
      <c r="L436">
        <v>1</v>
      </c>
      <c r="M436" t="s">
        <v>57</v>
      </c>
      <c r="N436">
        <v>2</v>
      </c>
      <c r="O436" t="s">
        <v>51</v>
      </c>
      <c r="P436" t="s">
        <v>20</v>
      </c>
      <c r="Q436" t="s">
        <v>27</v>
      </c>
      <c r="R436" t="s">
        <v>17</v>
      </c>
    </row>
    <row r="437" spans="1:18" x14ac:dyDescent="0.25">
      <c r="A437">
        <v>164</v>
      </c>
      <c r="B437" s="2">
        <v>40251</v>
      </c>
      <c r="C437">
        <v>3</v>
      </c>
      <c r="D437">
        <v>2010</v>
      </c>
      <c r="E437" t="s">
        <v>12</v>
      </c>
      <c r="F437" t="s">
        <v>13</v>
      </c>
      <c r="G437" t="s">
        <v>14</v>
      </c>
      <c r="H437">
        <v>40</v>
      </c>
      <c r="I437" t="s">
        <v>49</v>
      </c>
      <c r="J437">
        <v>15785</v>
      </c>
      <c r="K437">
        <v>189420</v>
      </c>
      <c r="L437">
        <v>2</v>
      </c>
      <c r="M437" t="s">
        <v>57</v>
      </c>
      <c r="N437">
        <v>2</v>
      </c>
      <c r="O437" t="s">
        <v>51</v>
      </c>
      <c r="P437" t="s">
        <v>20</v>
      </c>
      <c r="Q437" t="s">
        <v>32</v>
      </c>
      <c r="R437" t="s">
        <v>17</v>
      </c>
    </row>
    <row r="438" spans="1:18" x14ac:dyDescent="0.25">
      <c r="A438">
        <v>166</v>
      </c>
      <c r="B438" s="2">
        <v>40835</v>
      </c>
      <c r="C438">
        <v>10</v>
      </c>
      <c r="D438">
        <v>2011</v>
      </c>
      <c r="E438" t="s">
        <v>22</v>
      </c>
      <c r="F438" t="s">
        <v>35</v>
      </c>
      <c r="G438" t="s">
        <v>24</v>
      </c>
      <c r="H438">
        <v>46</v>
      </c>
      <c r="I438" t="s">
        <v>52</v>
      </c>
      <c r="J438">
        <v>8526</v>
      </c>
      <c r="K438">
        <v>102312</v>
      </c>
      <c r="L438">
        <v>0</v>
      </c>
      <c r="M438" t="s">
        <v>57</v>
      </c>
      <c r="N438">
        <v>3</v>
      </c>
      <c r="O438" t="s">
        <v>55</v>
      </c>
      <c r="P438" t="s">
        <v>20</v>
      </c>
      <c r="Q438" t="s">
        <v>32</v>
      </c>
      <c r="R438" t="s">
        <v>21</v>
      </c>
    </row>
    <row r="439" spans="1:18" x14ac:dyDescent="0.25">
      <c r="A439">
        <v>172</v>
      </c>
      <c r="B439" s="2">
        <v>41365</v>
      </c>
      <c r="C439">
        <v>4</v>
      </c>
      <c r="D439">
        <v>2013</v>
      </c>
      <c r="E439" t="s">
        <v>18</v>
      </c>
      <c r="F439" t="s">
        <v>19</v>
      </c>
      <c r="G439" t="s">
        <v>14</v>
      </c>
      <c r="H439">
        <v>38</v>
      </c>
      <c r="I439" t="s">
        <v>49</v>
      </c>
      <c r="J439">
        <v>4363</v>
      </c>
      <c r="K439">
        <v>52356</v>
      </c>
      <c r="L439">
        <v>1</v>
      </c>
      <c r="M439" t="s">
        <v>57</v>
      </c>
      <c r="N439">
        <v>5</v>
      </c>
      <c r="O439" t="s">
        <v>54</v>
      </c>
      <c r="P439" t="s">
        <v>15</v>
      </c>
      <c r="Q439" t="s">
        <v>16</v>
      </c>
      <c r="R439" t="s">
        <v>39</v>
      </c>
    </row>
    <row r="440" spans="1:18" x14ac:dyDescent="0.25">
      <c r="A440">
        <v>197</v>
      </c>
      <c r="B440" s="2">
        <v>43145</v>
      </c>
      <c r="C440">
        <v>2</v>
      </c>
      <c r="D440">
        <v>2018</v>
      </c>
      <c r="E440" t="s">
        <v>36</v>
      </c>
      <c r="F440" t="s">
        <v>40</v>
      </c>
      <c r="G440" t="s">
        <v>14</v>
      </c>
      <c r="H440">
        <v>24</v>
      </c>
      <c r="I440" t="s">
        <v>53</v>
      </c>
      <c r="J440">
        <v>5215</v>
      </c>
      <c r="K440">
        <v>62580</v>
      </c>
      <c r="L440">
        <v>1</v>
      </c>
      <c r="M440" t="s">
        <v>57</v>
      </c>
      <c r="N440">
        <v>4</v>
      </c>
      <c r="O440" t="s">
        <v>54</v>
      </c>
      <c r="P440" t="s">
        <v>15</v>
      </c>
      <c r="Q440" t="s">
        <v>16</v>
      </c>
      <c r="R440" t="s">
        <v>17</v>
      </c>
    </row>
    <row r="441" spans="1:18" x14ac:dyDescent="0.25">
      <c r="A441">
        <v>201</v>
      </c>
      <c r="B441" s="2">
        <v>42562</v>
      </c>
      <c r="C441">
        <v>7</v>
      </c>
      <c r="D441">
        <v>2016</v>
      </c>
      <c r="E441" t="s">
        <v>30</v>
      </c>
      <c r="F441" t="s">
        <v>38</v>
      </c>
      <c r="G441" t="s">
        <v>24</v>
      </c>
      <c r="H441">
        <v>23</v>
      </c>
      <c r="I441" t="s">
        <v>53</v>
      </c>
      <c r="J441">
        <v>11129</v>
      </c>
      <c r="K441">
        <v>133548</v>
      </c>
      <c r="L441">
        <v>2</v>
      </c>
      <c r="M441" t="s">
        <v>57</v>
      </c>
      <c r="N441">
        <v>4</v>
      </c>
      <c r="O441" t="s">
        <v>54</v>
      </c>
      <c r="P441" t="s">
        <v>15</v>
      </c>
      <c r="Q441" t="s">
        <v>32</v>
      </c>
      <c r="R441" t="s">
        <v>34</v>
      </c>
    </row>
    <row r="442" spans="1:18" x14ac:dyDescent="0.25">
      <c r="A442">
        <v>205</v>
      </c>
      <c r="B442" s="2">
        <v>42526</v>
      </c>
      <c r="C442">
        <v>6</v>
      </c>
      <c r="D442">
        <v>2016</v>
      </c>
      <c r="E442" t="s">
        <v>22</v>
      </c>
      <c r="F442" t="s">
        <v>35</v>
      </c>
      <c r="G442" t="s">
        <v>24</v>
      </c>
      <c r="H442">
        <v>59</v>
      </c>
      <c r="I442" t="s">
        <v>52</v>
      </c>
      <c r="J442">
        <v>7685</v>
      </c>
      <c r="K442">
        <v>92220</v>
      </c>
      <c r="L442">
        <v>0</v>
      </c>
      <c r="M442" t="s">
        <v>57</v>
      </c>
      <c r="N442">
        <v>2</v>
      </c>
      <c r="O442" t="s">
        <v>51</v>
      </c>
      <c r="P442" t="s">
        <v>20</v>
      </c>
      <c r="Q442" t="s">
        <v>27</v>
      </c>
      <c r="R442" t="s">
        <v>21</v>
      </c>
    </row>
    <row r="443" spans="1:18" x14ac:dyDescent="0.25">
      <c r="A443">
        <v>209</v>
      </c>
      <c r="B443" s="2">
        <v>42556</v>
      </c>
      <c r="C443">
        <v>7</v>
      </c>
      <c r="D443">
        <v>2016</v>
      </c>
      <c r="E443" t="s">
        <v>12</v>
      </c>
      <c r="F443" t="s">
        <v>41</v>
      </c>
      <c r="G443" t="s">
        <v>24</v>
      </c>
      <c r="H443">
        <v>22</v>
      </c>
      <c r="I443" t="s">
        <v>53</v>
      </c>
      <c r="J443">
        <v>8534</v>
      </c>
      <c r="K443">
        <v>102408</v>
      </c>
      <c r="L443">
        <v>0</v>
      </c>
      <c r="M443" t="s">
        <v>57</v>
      </c>
      <c r="N443">
        <v>2</v>
      </c>
      <c r="O443" t="s">
        <v>51</v>
      </c>
      <c r="P443" t="s">
        <v>15</v>
      </c>
      <c r="Q443" t="s">
        <v>16</v>
      </c>
      <c r="R443" t="s">
        <v>34</v>
      </c>
    </row>
    <row r="444" spans="1:18" x14ac:dyDescent="0.25">
      <c r="A444">
        <v>211</v>
      </c>
      <c r="B444" s="2">
        <v>40436</v>
      </c>
      <c r="C444">
        <v>9</v>
      </c>
      <c r="D444">
        <v>2010</v>
      </c>
      <c r="E444" t="s">
        <v>18</v>
      </c>
      <c r="F444" t="s">
        <v>19</v>
      </c>
      <c r="G444" t="s">
        <v>14</v>
      </c>
      <c r="H444">
        <v>58</v>
      </c>
      <c r="I444" t="s">
        <v>52</v>
      </c>
      <c r="J444">
        <v>17345</v>
      </c>
      <c r="K444">
        <v>208140</v>
      </c>
      <c r="L444">
        <v>1</v>
      </c>
      <c r="M444" t="s">
        <v>57</v>
      </c>
      <c r="N444">
        <v>2</v>
      </c>
      <c r="O444" t="s">
        <v>51</v>
      </c>
      <c r="P444" t="s">
        <v>15</v>
      </c>
      <c r="Q444" t="s">
        <v>32</v>
      </c>
      <c r="R444" t="s">
        <v>21</v>
      </c>
    </row>
    <row r="445" spans="1:18" x14ac:dyDescent="0.25">
      <c r="A445">
        <v>217</v>
      </c>
      <c r="B445" s="2">
        <v>41645</v>
      </c>
      <c r="C445">
        <v>1</v>
      </c>
      <c r="D445">
        <v>2014</v>
      </c>
      <c r="E445" t="s">
        <v>36</v>
      </c>
      <c r="F445" t="s">
        <v>37</v>
      </c>
      <c r="G445" t="s">
        <v>24</v>
      </c>
      <c r="H445">
        <v>58</v>
      </c>
      <c r="I445" t="s">
        <v>52</v>
      </c>
      <c r="J445">
        <v>6491</v>
      </c>
      <c r="K445">
        <v>77892</v>
      </c>
      <c r="L445">
        <v>2</v>
      </c>
      <c r="M445" t="s">
        <v>57</v>
      </c>
      <c r="N445">
        <v>5</v>
      </c>
      <c r="O445" t="s">
        <v>54</v>
      </c>
      <c r="P445" t="s">
        <v>15</v>
      </c>
      <c r="Q445" t="s">
        <v>27</v>
      </c>
      <c r="R445" t="s">
        <v>17</v>
      </c>
    </row>
    <row r="446" spans="1:18" x14ac:dyDescent="0.25">
      <c r="A446">
        <v>222</v>
      </c>
      <c r="B446" s="2">
        <v>41905</v>
      </c>
      <c r="C446">
        <v>9</v>
      </c>
      <c r="D446">
        <v>2014</v>
      </c>
      <c r="E446" t="s">
        <v>12</v>
      </c>
      <c r="F446" t="s">
        <v>13</v>
      </c>
      <c r="G446" t="s">
        <v>14</v>
      </c>
      <c r="H446">
        <v>27</v>
      </c>
      <c r="I446" t="s">
        <v>53</v>
      </c>
      <c r="J446">
        <v>9376</v>
      </c>
      <c r="K446">
        <v>112512</v>
      </c>
      <c r="L446">
        <v>1</v>
      </c>
      <c r="M446" t="s">
        <v>57</v>
      </c>
      <c r="N446">
        <v>2</v>
      </c>
      <c r="O446" t="s">
        <v>51</v>
      </c>
      <c r="P446" t="s">
        <v>20</v>
      </c>
      <c r="Q446" t="s">
        <v>32</v>
      </c>
      <c r="R446" t="s">
        <v>34</v>
      </c>
    </row>
    <row r="447" spans="1:18" x14ac:dyDescent="0.25">
      <c r="A447">
        <v>228</v>
      </c>
      <c r="B447" s="2">
        <v>40822</v>
      </c>
      <c r="C447">
        <v>10</v>
      </c>
      <c r="D447">
        <v>2011</v>
      </c>
      <c r="E447" t="s">
        <v>30</v>
      </c>
      <c r="F447" t="s">
        <v>38</v>
      </c>
      <c r="G447" t="s">
        <v>14</v>
      </c>
      <c r="H447">
        <v>28</v>
      </c>
      <c r="I447" t="s">
        <v>53</v>
      </c>
      <c r="J447">
        <v>8807</v>
      </c>
      <c r="K447">
        <v>105684</v>
      </c>
      <c r="L447">
        <v>1</v>
      </c>
      <c r="M447" t="s">
        <v>57</v>
      </c>
      <c r="N447">
        <v>3</v>
      </c>
      <c r="O447" t="s">
        <v>55</v>
      </c>
      <c r="P447" t="s">
        <v>20</v>
      </c>
      <c r="Q447" t="s">
        <v>32</v>
      </c>
      <c r="R447" t="s">
        <v>17</v>
      </c>
    </row>
    <row r="448" spans="1:18" x14ac:dyDescent="0.25">
      <c r="A448">
        <v>240</v>
      </c>
      <c r="B448" s="2">
        <v>44097</v>
      </c>
      <c r="C448">
        <v>9</v>
      </c>
      <c r="D448">
        <v>2020</v>
      </c>
      <c r="E448" t="s">
        <v>18</v>
      </c>
      <c r="F448" t="s">
        <v>19</v>
      </c>
      <c r="G448" t="s">
        <v>24</v>
      </c>
      <c r="H448">
        <v>29</v>
      </c>
      <c r="I448" t="s">
        <v>53</v>
      </c>
      <c r="J448">
        <v>4079</v>
      </c>
      <c r="K448">
        <v>48948</v>
      </c>
      <c r="L448">
        <v>1</v>
      </c>
      <c r="M448" t="s">
        <v>57</v>
      </c>
      <c r="N448">
        <v>1</v>
      </c>
      <c r="O448" t="s">
        <v>51</v>
      </c>
      <c r="P448" t="s">
        <v>20</v>
      </c>
      <c r="Q448" t="s">
        <v>27</v>
      </c>
      <c r="R448" t="s">
        <v>17</v>
      </c>
    </row>
    <row r="449" spans="1:18" x14ac:dyDescent="0.25">
      <c r="A449">
        <v>245</v>
      </c>
      <c r="B449" s="2">
        <v>44828</v>
      </c>
      <c r="C449">
        <v>9</v>
      </c>
      <c r="D449">
        <v>2022</v>
      </c>
      <c r="E449" t="s">
        <v>12</v>
      </c>
      <c r="F449" t="s">
        <v>41</v>
      </c>
      <c r="G449" t="s">
        <v>14</v>
      </c>
      <c r="H449">
        <v>29</v>
      </c>
      <c r="I449" t="s">
        <v>53</v>
      </c>
      <c r="J449">
        <v>16879</v>
      </c>
      <c r="K449">
        <v>202548</v>
      </c>
      <c r="L449">
        <v>0</v>
      </c>
      <c r="M449" t="s">
        <v>57</v>
      </c>
      <c r="N449">
        <v>3</v>
      </c>
      <c r="O449" t="s">
        <v>55</v>
      </c>
      <c r="P449" t="s">
        <v>20</v>
      </c>
      <c r="Q449" t="s">
        <v>16</v>
      </c>
      <c r="R449" t="s">
        <v>17</v>
      </c>
    </row>
    <row r="450" spans="1:18" x14ac:dyDescent="0.25">
      <c r="A450">
        <v>254</v>
      </c>
      <c r="B450" s="2">
        <v>43447</v>
      </c>
      <c r="C450">
        <v>12</v>
      </c>
      <c r="D450">
        <v>2018</v>
      </c>
      <c r="E450" t="s">
        <v>30</v>
      </c>
      <c r="F450" t="s">
        <v>38</v>
      </c>
      <c r="G450" t="s">
        <v>14</v>
      </c>
      <c r="H450">
        <v>41</v>
      </c>
      <c r="I450" t="s">
        <v>49</v>
      </c>
      <c r="J450">
        <v>18424</v>
      </c>
      <c r="K450">
        <v>221088</v>
      </c>
      <c r="L450">
        <v>0</v>
      </c>
      <c r="M450" t="s">
        <v>57</v>
      </c>
      <c r="N450">
        <v>2</v>
      </c>
      <c r="O450" t="s">
        <v>51</v>
      </c>
      <c r="P450" t="s">
        <v>20</v>
      </c>
      <c r="Q450" t="s">
        <v>16</v>
      </c>
      <c r="R450" t="s">
        <v>34</v>
      </c>
    </row>
    <row r="451" spans="1:18" x14ac:dyDescent="0.25">
      <c r="A451">
        <v>259</v>
      </c>
      <c r="B451" s="2">
        <v>44049</v>
      </c>
      <c r="C451">
        <v>8</v>
      </c>
      <c r="D451">
        <v>2020</v>
      </c>
      <c r="E451" t="s">
        <v>28</v>
      </c>
      <c r="F451" t="s">
        <v>33</v>
      </c>
      <c r="G451" t="s">
        <v>24</v>
      </c>
      <c r="H451">
        <v>43</v>
      </c>
      <c r="I451" t="s">
        <v>49</v>
      </c>
      <c r="J451">
        <v>12508</v>
      </c>
      <c r="K451">
        <v>150096</v>
      </c>
      <c r="L451">
        <v>2</v>
      </c>
      <c r="M451" t="s">
        <v>57</v>
      </c>
      <c r="N451">
        <v>4</v>
      </c>
      <c r="O451" t="s">
        <v>54</v>
      </c>
      <c r="P451" t="s">
        <v>20</v>
      </c>
      <c r="Q451" t="s">
        <v>32</v>
      </c>
      <c r="R451" t="s">
        <v>34</v>
      </c>
    </row>
    <row r="452" spans="1:18" x14ac:dyDescent="0.25">
      <c r="A452">
        <v>260</v>
      </c>
      <c r="B452" s="2">
        <v>43726</v>
      </c>
      <c r="C452">
        <v>9</v>
      </c>
      <c r="D452">
        <v>2019</v>
      </c>
      <c r="E452" t="s">
        <v>28</v>
      </c>
      <c r="F452" t="s">
        <v>33</v>
      </c>
      <c r="G452" t="s">
        <v>14</v>
      </c>
      <c r="H452">
        <v>55</v>
      </c>
      <c r="I452" t="s">
        <v>52</v>
      </c>
      <c r="J452">
        <v>8049</v>
      </c>
      <c r="K452">
        <v>96588</v>
      </c>
      <c r="L452">
        <v>2</v>
      </c>
      <c r="M452" t="s">
        <v>57</v>
      </c>
      <c r="N452">
        <v>4</v>
      </c>
      <c r="O452" t="s">
        <v>54</v>
      </c>
      <c r="P452" t="s">
        <v>15</v>
      </c>
      <c r="Q452" t="s">
        <v>27</v>
      </c>
      <c r="R452" t="s">
        <v>17</v>
      </c>
    </row>
    <row r="453" spans="1:18" x14ac:dyDescent="0.25">
      <c r="A453">
        <v>263</v>
      </c>
      <c r="B453" s="2">
        <v>44321</v>
      </c>
      <c r="C453">
        <v>5</v>
      </c>
      <c r="D453">
        <v>2021</v>
      </c>
      <c r="E453" t="s">
        <v>22</v>
      </c>
      <c r="F453" t="s">
        <v>23</v>
      </c>
      <c r="G453" t="s">
        <v>14</v>
      </c>
      <c r="H453">
        <v>60</v>
      </c>
      <c r="I453" t="s">
        <v>52</v>
      </c>
      <c r="J453">
        <v>9623</v>
      </c>
      <c r="K453">
        <v>115476</v>
      </c>
      <c r="L453">
        <v>0</v>
      </c>
      <c r="M453" t="s">
        <v>57</v>
      </c>
      <c r="N453">
        <v>4</v>
      </c>
      <c r="O453" t="s">
        <v>54</v>
      </c>
      <c r="P453" t="s">
        <v>15</v>
      </c>
      <c r="Q453" t="s">
        <v>27</v>
      </c>
      <c r="R453" t="s">
        <v>39</v>
      </c>
    </row>
    <row r="454" spans="1:18" x14ac:dyDescent="0.25">
      <c r="A454">
        <v>266</v>
      </c>
      <c r="B454" s="2">
        <v>44612</v>
      </c>
      <c r="C454">
        <v>2</v>
      </c>
      <c r="D454">
        <v>2022</v>
      </c>
      <c r="E454" t="s">
        <v>28</v>
      </c>
      <c r="F454" t="s">
        <v>33</v>
      </c>
      <c r="G454" t="s">
        <v>14</v>
      </c>
      <c r="H454">
        <v>26</v>
      </c>
      <c r="I454" t="s">
        <v>53</v>
      </c>
      <c r="J454">
        <v>12008</v>
      </c>
      <c r="K454">
        <v>144096</v>
      </c>
      <c r="L454">
        <v>0</v>
      </c>
      <c r="M454" t="s">
        <v>57</v>
      </c>
      <c r="N454">
        <v>1</v>
      </c>
      <c r="O454" t="s">
        <v>51</v>
      </c>
      <c r="P454" t="s">
        <v>20</v>
      </c>
      <c r="Q454" t="s">
        <v>27</v>
      </c>
      <c r="R454" t="s">
        <v>25</v>
      </c>
    </row>
    <row r="455" spans="1:18" x14ac:dyDescent="0.25">
      <c r="A455">
        <v>276</v>
      </c>
      <c r="B455" s="2">
        <v>40236</v>
      </c>
      <c r="C455">
        <v>2</v>
      </c>
      <c r="D455">
        <v>2010</v>
      </c>
      <c r="E455" t="s">
        <v>30</v>
      </c>
      <c r="F455" t="s">
        <v>38</v>
      </c>
      <c r="G455" t="s">
        <v>14</v>
      </c>
      <c r="H455">
        <v>56</v>
      </c>
      <c r="I455" t="s">
        <v>52</v>
      </c>
      <c r="J455">
        <v>15061</v>
      </c>
      <c r="K455">
        <v>180732</v>
      </c>
      <c r="L455">
        <v>1</v>
      </c>
      <c r="M455" t="s">
        <v>57</v>
      </c>
      <c r="N455">
        <v>3</v>
      </c>
      <c r="O455" t="s">
        <v>55</v>
      </c>
      <c r="P455" t="s">
        <v>15</v>
      </c>
      <c r="Q455" t="s">
        <v>16</v>
      </c>
      <c r="R455" t="s">
        <v>25</v>
      </c>
    </row>
    <row r="456" spans="1:18" x14ac:dyDescent="0.25">
      <c r="A456">
        <v>278</v>
      </c>
      <c r="B456" s="2">
        <v>41343</v>
      </c>
      <c r="C456">
        <v>3</v>
      </c>
      <c r="D456">
        <v>2013</v>
      </c>
      <c r="E456" t="s">
        <v>28</v>
      </c>
      <c r="F456" t="s">
        <v>33</v>
      </c>
      <c r="G456" t="s">
        <v>14</v>
      </c>
      <c r="H456">
        <v>27</v>
      </c>
      <c r="I456" t="s">
        <v>53</v>
      </c>
      <c r="J456">
        <v>6223</v>
      </c>
      <c r="K456">
        <v>74676</v>
      </c>
      <c r="L456">
        <v>1</v>
      </c>
      <c r="M456" t="s">
        <v>57</v>
      </c>
      <c r="N456">
        <v>1</v>
      </c>
      <c r="O456" t="s">
        <v>51</v>
      </c>
      <c r="P456" t="s">
        <v>20</v>
      </c>
      <c r="Q456" t="s">
        <v>16</v>
      </c>
      <c r="R456" t="s">
        <v>25</v>
      </c>
    </row>
    <row r="457" spans="1:18" x14ac:dyDescent="0.25">
      <c r="A457">
        <v>280</v>
      </c>
      <c r="B457" s="2">
        <v>41557</v>
      </c>
      <c r="C457">
        <v>10</v>
      </c>
      <c r="D457">
        <v>2013</v>
      </c>
      <c r="E457" t="s">
        <v>36</v>
      </c>
      <c r="F457" t="s">
        <v>42</v>
      </c>
      <c r="G457" t="s">
        <v>24</v>
      </c>
      <c r="H457">
        <v>45</v>
      </c>
      <c r="I457" t="s">
        <v>49</v>
      </c>
      <c r="J457">
        <v>7544</v>
      </c>
      <c r="K457">
        <v>90528</v>
      </c>
      <c r="L457">
        <v>2</v>
      </c>
      <c r="M457" t="s">
        <v>57</v>
      </c>
      <c r="N457">
        <v>4</v>
      </c>
      <c r="O457" t="s">
        <v>54</v>
      </c>
      <c r="P457" t="s">
        <v>20</v>
      </c>
      <c r="Q457" t="s">
        <v>16</v>
      </c>
      <c r="R457" t="s">
        <v>34</v>
      </c>
    </row>
    <row r="458" spans="1:18" x14ac:dyDescent="0.25">
      <c r="A458">
        <v>282</v>
      </c>
      <c r="B458" s="2">
        <v>44201</v>
      </c>
      <c r="C458">
        <v>1</v>
      </c>
      <c r="D458">
        <v>2021</v>
      </c>
      <c r="E458" t="s">
        <v>22</v>
      </c>
      <c r="F458" t="s">
        <v>35</v>
      </c>
      <c r="G458" t="s">
        <v>14</v>
      </c>
      <c r="H458">
        <v>45</v>
      </c>
      <c r="I458" t="s">
        <v>49</v>
      </c>
      <c r="J458">
        <v>19673</v>
      </c>
      <c r="K458">
        <v>236076</v>
      </c>
      <c r="L458">
        <v>1</v>
      </c>
      <c r="M458" t="s">
        <v>57</v>
      </c>
      <c r="N458">
        <v>2</v>
      </c>
      <c r="O458" t="s">
        <v>51</v>
      </c>
      <c r="P458" t="s">
        <v>20</v>
      </c>
      <c r="Q458" t="s">
        <v>32</v>
      </c>
      <c r="R458" t="s">
        <v>17</v>
      </c>
    </row>
    <row r="459" spans="1:18" x14ac:dyDescent="0.25">
      <c r="A459">
        <v>285</v>
      </c>
      <c r="B459" s="2">
        <v>43656</v>
      </c>
      <c r="C459">
        <v>7</v>
      </c>
      <c r="D459">
        <v>2019</v>
      </c>
      <c r="E459" t="s">
        <v>30</v>
      </c>
      <c r="F459" t="s">
        <v>38</v>
      </c>
      <c r="G459" t="s">
        <v>14</v>
      </c>
      <c r="H459">
        <v>36</v>
      </c>
      <c r="I459" t="s">
        <v>49</v>
      </c>
      <c r="J459">
        <v>5637</v>
      </c>
      <c r="K459">
        <v>67644</v>
      </c>
      <c r="L459">
        <v>2</v>
      </c>
      <c r="M459" t="s">
        <v>57</v>
      </c>
      <c r="N459">
        <v>5</v>
      </c>
      <c r="O459" t="s">
        <v>54</v>
      </c>
      <c r="P459" t="s">
        <v>15</v>
      </c>
      <c r="Q459" t="s">
        <v>16</v>
      </c>
      <c r="R459" t="s">
        <v>34</v>
      </c>
    </row>
    <row r="460" spans="1:18" x14ac:dyDescent="0.25">
      <c r="A460">
        <v>290</v>
      </c>
      <c r="B460" s="2">
        <v>43644</v>
      </c>
      <c r="C460">
        <v>6</v>
      </c>
      <c r="D460">
        <v>2019</v>
      </c>
      <c r="E460" t="s">
        <v>36</v>
      </c>
      <c r="F460" t="s">
        <v>42</v>
      </c>
      <c r="G460" t="s">
        <v>14</v>
      </c>
      <c r="H460">
        <v>34</v>
      </c>
      <c r="I460" t="s">
        <v>49</v>
      </c>
      <c r="J460">
        <v>6195</v>
      </c>
      <c r="K460">
        <v>74340</v>
      </c>
      <c r="L460">
        <v>2</v>
      </c>
      <c r="M460" t="s">
        <v>57</v>
      </c>
      <c r="N460">
        <v>4</v>
      </c>
      <c r="O460" t="s">
        <v>54</v>
      </c>
      <c r="P460" t="s">
        <v>15</v>
      </c>
      <c r="Q460" t="s">
        <v>16</v>
      </c>
      <c r="R460" t="s">
        <v>21</v>
      </c>
    </row>
    <row r="461" spans="1:18" x14ac:dyDescent="0.25">
      <c r="A461">
        <v>293</v>
      </c>
      <c r="B461" s="2">
        <v>43028</v>
      </c>
      <c r="C461">
        <v>10</v>
      </c>
      <c r="D461">
        <v>2017</v>
      </c>
      <c r="E461" t="s">
        <v>28</v>
      </c>
      <c r="F461" t="s">
        <v>29</v>
      </c>
      <c r="G461" t="s">
        <v>24</v>
      </c>
      <c r="H461">
        <v>59</v>
      </c>
      <c r="I461" t="s">
        <v>52</v>
      </c>
      <c r="J461">
        <v>17012</v>
      </c>
      <c r="K461">
        <v>204144</v>
      </c>
      <c r="L461">
        <v>1</v>
      </c>
      <c r="M461" t="s">
        <v>57</v>
      </c>
      <c r="N461">
        <v>5</v>
      </c>
      <c r="O461" t="s">
        <v>54</v>
      </c>
      <c r="P461" t="s">
        <v>15</v>
      </c>
      <c r="Q461" t="s">
        <v>16</v>
      </c>
      <c r="R461" t="s">
        <v>34</v>
      </c>
    </row>
    <row r="462" spans="1:18" x14ac:dyDescent="0.25">
      <c r="A462">
        <v>304</v>
      </c>
      <c r="B462" s="2">
        <v>43539</v>
      </c>
      <c r="C462">
        <v>3</v>
      </c>
      <c r="D462">
        <v>2019</v>
      </c>
      <c r="E462" t="s">
        <v>22</v>
      </c>
      <c r="F462" t="s">
        <v>35</v>
      </c>
      <c r="G462" t="s">
        <v>24</v>
      </c>
      <c r="H462">
        <v>31</v>
      </c>
      <c r="I462" t="s">
        <v>49</v>
      </c>
      <c r="J462">
        <v>9182</v>
      </c>
      <c r="K462">
        <v>110184</v>
      </c>
      <c r="L462">
        <v>2</v>
      </c>
      <c r="M462" t="s">
        <v>57</v>
      </c>
      <c r="N462">
        <v>4</v>
      </c>
      <c r="O462" t="s">
        <v>54</v>
      </c>
      <c r="P462" t="s">
        <v>20</v>
      </c>
      <c r="Q462" t="s">
        <v>27</v>
      </c>
      <c r="R462" t="s">
        <v>34</v>
      </c>
    </row>
    <row r="463" spans="1:18" x14ac:dyDescent="0.25">
      <c r="A463">
        <v>308</v>
      </c>
      <c r="B463" s="2">
        <v>43256</v>
      </c>
      <c r="C463">
        <v>6</v>
      </c>
      <c r="D463">
        <v>2018</v>
      </c>
      <c r="E463" t="s">
        <v>18</v>
      </c>
      <c r="F463" t="s">
        <v>19</v>
      </c>
      <c r="G463" t="s">
        <v>24</v>
      </c>
      <c r="H463">
        <v>22</v>
      </c>
      <c r="I463" t="s">
        <v>53</v>
      </c>
      <c r="J463">
        <v>5269</v>
      </c>
      <c r="K463">
        <v>63228</v>
      </c>
      <c r="L463">
        <v>2</v>
      </c>
      <c r="M463" t="s">
        <v>57</v>
      </c>
      <c r="N463">
        <v>4</v>
      </c>
      <c r="O463" t="s">
        <v>54</v>
      </c>
      <c r="P463" t="s">
        <v>15</v>
      </c>
      <c r="Q463" t="s">
        <v>32</v>
      </c>
      <c r="R463" t="s">
        <v>21</v>
      </c>
    </row>
    <row r="464" spans="1:18" x14ac:dyDescent="0.25">
      <c r="A464">
        <v>316</v>
      </c>
      <c r="B464" s="2">
        <v>42021</v>
      </c>
      <c r="C464">
        <v>1</v>
      </c>
      <c r="D464">
        <v>2015</v>
      </c>
      <c r="E464" t="s">
        <v>18</v>
      </c>
      <c r="F464" t="s">
        <v>26</v>
      </c>
      <c r="G464" t="s">
        <v>14</v>
      </c>
      <c r="H464">
        <v>44</v>
      </c>
      <c r="I464" t="s">
        <v>49</v>
      </c>
      <c r="J464">
        <v>11799</v>
      </c>
      <c r="K464">
        <v>141588</v>
      </c>
      <c r="L464">
        <v>2</v>
      </c>
      <c r="M464" t="s">
        <v>57</v>
      </c>
      <c r="N464">
        <v>1</v>
      </c>
      <c r="O464" t="s">
        <v>51</v>
      </c>
      <c r="P464" t="s">
        <v>15</v>
      </c>
      <c r="Q464" t="s">
        <v>16</v>
      </c>
      <c r="R464" t="s">
        <v>25</v>
      </c>
    </row>
    <row r="465" spans="1:18" x14ac:dyDescent="0.25">
      <c r="A465">
        <v>318</v>
      </c>
      <c r="B465" s="2">
        <v>44939</v>
      </c>
      <c r="C465">
        <v>1</v>
      </c>
      <c r="D465">
        <v>2023</v>
      </c>
      <c r="E465" t="s">
        <v>28</v>
      </c>
      <c r="F465" t="s">
        <v>33</v>
      </c>
      <c r="G465" t="s">
        <v>14</v>
      </c>
      <c r="H465">
        <v>57</v>
      </c>
      <c r="I465" t="s">
        <v>52</v>
      </c>
      <c r="J465">
        <v>14798</v>
      </c>
      <c r="K465">
        <v>177576</v>
      </c>
      <c r="L465">
        <v>1</v>
      </c>
      <c r="M465" t="s">
        <v>57</v>
      </c>
      <c r="N465">
        <v>4</v>
      </c>
      <c r="O465" t="s">
        <v>54</v>
      </c>
      <c r="P465" t="s">
        <v>20</v>
      </c>
      <c r="Q465" t="s">
        <v>32</v>
      </c>
      <c r="R465" t="s">
        <v>21</v>
      </c>
    </row>
    <row r="466" spans="1:18" x14ac:dyDescent="0.25">
      <c r="A466">
        <v>322</v>
      </c>
      <c r="B466" s="2">
        <v>44965</v>
      </c>
      <c r="C466">
        <v>2</v>
      </c>
      <c r="D466">
        <v>2023</v>
      </c>
      <c r="E466" t="s">
        <v>18</v>
      </c>
      <c r="F466" t="s">
        <v>19</v>
      </c>
      <c r="G466" t="s">
        <v>24</v>
      </c>
      <c r="H466">
        <v>59</v>
      </c>
      <c r="I466" t="s">
        <v>52</v>
      </c>
      <c r="J466">
        <v>10748</v>
      </c>
      <c r="K466">
        <v>128976</v>
      </c>
      <c r="L466">
        <v>1</v>
      </c>
      <c r="M466" t="s">
        <v>57</v>
      </c>
      <c r="N466">
        <v>4</v>
      </c>
      <c r="O466" t="s">
        <v>54</v>
      </c>
      <c r="P466" t="s">
        <v>20</v>
      </c>
      <c r="Q466" t="s">
        <v>32</v>
      </c>
      <c r="R466" t="s">
        <v>25</v>
      </c>
    </row>
    <row r="467" spans="1:18" x14ac:dyDescent="0.25">
      <c r="A467">
        <v>327</v>
      </c>
      <c r="B467" s="2">
        <v>42383</v>
      </c>
      <c r="C467">
        <v>1</v>
      </c>
      <c r="D467">
        <v>2016</v>
      </c>
      <c r="E467" t="s">
        <v>12</v>
      </c>
      <c r="F467" t="s">
        <v>41</v>
      </c>
      <c r="G467" t="s">
        <v>24</v>
      </c>
      <c r="H467">
        <v>58</v>
      </c>
      <c r="I467" t="s">
        <v>52</v>
      </c>
      <c r="J467">
        <v>5989</v>
      </c>
      <c r="K467">
        <v>71868</v>
      </c>
      <c r="L467">
        <v>1</v>
      </c>
      <c r="M467" t="s">
        <v>57</v>
      </c>
      <c r="N467">
        <v>4</v>
      </c>
      <c r="O467" t="s">
        <v>54</v>
      </c>
      <c r="P467" t="s">
        <v>15</v>
      </c>
      <c r="Q467" t="s">
        <v>16</v>
      </c>
      <c r="R467" t="s">
        <v>25</v>
      </c>
    </row>
    <row r="468" spans="1:18" x14ac:dyDescent="0.25">
      <c r="A468">
        <v>335</v>
      </c>
      <c r="B468" s="2">
        <v>44494</v>
      </c>
      <c r="C468">
        <v>10</v>
      </c>
      <c r="D468">
        <v>2021</v>
      </c>
      <c r="E468" t="s">
        <v>12</v>
      </c>
      <c r="F468" t="s">
        <v>41</v>
      </c>
      <c r="G468" t="s">
        <v>14</v>
      </c>
      <c r="H468">
        <v>55</v>
      </c>
      <c r="I468" t="s">
        <v>52</v>
      </c>
      <c r="J468">
        <v>8671</v>
      </c>
      <c r="K468">
        <v>104052</v>
      </c>
      <c r="L468">
        <v>0</v>
      </c>
      <c r="M468" t="s">
        <v>57</v>
      </c>
      <c r="N468">
        <v>1</v>
      </c>
      <c r="O468" t="s">
        <v>51</v>
      </c>
      <c r="P468" t="s">
        <v>15</v>
      </c>
      <c r="Q468" t="s">
        <v>27</v>
      </c>
      <c r="R468" t="s">
        <v>21</v>
      </c>
    </row>
    <row r="469" spans="1:18" x14ac:dyDescent="0.25">
      <c r="A469">
        <v>344</v>
      </c>
      <c r="B469" s="2">
        <v>44236</v>
      </c>
      <c r="C469">
        <v>2</v>
      </c>
      <c r="D469">
        <v>2021</v>
      </c>
      <c r="E469" t="s">
        <v>30</v>
      </c>
      <c r="F469" t="s">
        <v>38</v>
      </c>
      <c r="G469" t="s">
        <v>24</v>
      </c>
      <c r="H469">
        <v>59</v>
      </c>
      <c r="I469" t="s">
        <v>52</v>
      </c>
      <c r="J469">
        <v>11961</v>
      </c>
      <c r="K469">
        <v>143532</v>
      </c>
      <c r="L469">
        <v>1</v>
      </c>
      <c r="M469" t="s">
        <v>57</v>
      </c>
      <c r="N469">
        <v>3</v>
      </c>
      <c r="O469" t="s">
        <v>55</v>
      </c>
      <c r="P469" t="s">
        <v>20</v>
      </c>
      <c r="Q469" t="s">
        <v>32</v>
      </c>
      <c r="R469" t="s">
        <v>39</v>
      </c>
    </row>
    <row r="470" spans="1:18" x14ac:dyDescent="0.25">
      <c r="A470">
        <v>350</v>
      </c>
      <c r="B470" s="2">
        <v>42616</v>
      </c>
      <c r="C470">
        <v>9</v>
      </c>
      <c r="D470">
        <v>2016</v>
      </c>
      <c r="E470" t="s">
        <v>12</v>
      </c>
      <c r="F470" t="s">
        <v>41</v>
      </c>
      <c r="G470" t="s">
        <v>14</v>
      </c>
      <c r="H470">
        <v>44</v>
      </c>
      <c r="I470" t="s">
        <v>49</v>
      </c>
      <c r="J470">
        <v>5785</v>
      </c>
      <c r="K470">
        <v>69420</v>
      </c>
      <c r="L470">
        <v>0</v>
      </c>
      <c r="M470" t="s">
        <v>57</v>
      </c>
      <c r="N470">
        <v>3</v>
      </c>
      <c r="O470" t="s">
        <v>55</v>
      </c>
      <c r="P470" t="s">
        <v>20</v>
      </c>
      <c r="Q470" t="s">
        <v>27</v>
      </c>
      <c r="R470" t="s">
        <v>25</v>
      </c>
    </row>
    <row r="471" spans="1:18" x14ac:dyDescent="0.25">
      <c r="A471">
        <v>351</v>
      </c>
      <c r="B471" s="2">
        <v>43416</v>
      </c>
      <c r="C471">
        <v>11</v>
      </c>
      <c r="D471">
        <v>2018</v>
      </c>
      <c r="E471" t="s">
        <v>30</v>
      </c>
      <c r="F471" t="s">
        <v>38</v>
      </c>
      <c r="G471" t="s">
        <v>24</v>
      </c>
      <c r="H471">
        <v>51</v>
      </c>
      <c r="I471" t="s">
        <v>52</v>
      </c>
      <c r="J471">
        <v>5962</v>
      </c>
      <c r="K471">
        <v>71544</v>
      </c>
      <c r="L471">
        <v>2</v>
      </c>
      <c r="M471" t="s">
        <v>57</v>
      </c>
      <c r="N471">
        <v>3</v>
      </c>
      <c r="O471" t="s">
        <v>55</v>
      </c>
      <c r="P471" t="s">
        <v>20</v>
      </c>
      <c r="Q471" t="s">
        <v>32</v>
      </c>
      <c r="R471" t="s">
        <v>34</v>
      </c>
    </row>
    <row r="472" spans="1:18" x14ac:dyDescent="0.25">
      <c r="A472">
        <v>359</v>
      </c>
      <c r="B472" s="2">
        <v>44365</v>
      </c>
      <c r="C472">
        <v>6</v>
      </c>
      <c r="D472">
        <v>2021</v>
      </c>
      <c r="E472" t="s">
        <v>12</v>
      </c>
      <c r="F472" t="s">
        <v>13</v>
      </c>
      <c r="G472" t="s">
        <v>14</v>
      </c>
      <c r="H472">
        <v>47</v>
      </c>
      <c r="I472" t="s">
        <v>52</v>
      </c>
      <c r="J472">
        <v>16880</v>
      </c>
      <c r="K472">
        <v>202560</v>
      </c>
      <c r="L472">
        <v>2</v>
      </c>
      <c r="M472" t="s">
        <v>57</v>
      </c>
      <c r="N472">
        <v>4</v>
      </c>
      <c r="O472" t="s">
        <v>54</v>
      </c>
      <c r="P472" t="s">
        <v>20</v>
      </c>
      <c r="Q472" t="s">
        <v>27</v>
      </c>
      <c r="R472" t="s">
        <v>17</v>
      </c>
    </row>
    <row r="473" spans="1:18" x14ac:dyDescent="0.25">
      <c r="A473">
        <v>365</v>
      </c>
      <c r="B473" s="2">
        <v>44174</v>
      </c>
      <c r="C473">
        <v>12</v>
      </c>
      <c r="D473">
        <v>2020</v>
      </c>
      <c r="E473" t="s">
        <v>22</v>
      </c>
      <c r="F473" t="s">
        <v>35</v>
      </c>
      <c r="G473" t="s">
        <v>14</v>
      </c>
      <c r="H473">
        <v>49</v>
      </c>
      <c r="I473" t="s">
        <v>52</v>
      </c>
      <c r="J473">
        <v>16164</v>
      </c>
      <c r="K473">
        <v>193968</v>
      </c>
      <c r="L473">
        <v>2</v>
      </c>
      <c r="M473" t="s">
        <v>57</v>
      </c>
      <c r="N473">
        <v>2</v>
      </c>
      <c r="O473" t="s">
        <v>51</v>
      </c>
      <c r="P473" t="s">
        <v>15</v>
      </c>
      <c r="Q473" t="s">
        <v>27</v>
      </c>
      <c r="R473" t="s">
        <v>34</v>
      </c>
    </row>
    <row r="474" spans="1:18" x14ac:dyDescent="0.25">
      <c r="A474">
        <v>370</v>
      </c>
      <c r="B474" s="2">
        <v>40438</v>
      </c>
      <c r="C474">
        <v>9</v>
      </c>
      <c r="D474">
        <v>2010</v>
      </c>
      <c r="E474" t="s">
        <v>18</v>
      </c>
      <c r="F474" t="s">
        <v>19</v>
      </c>
      <c r="G474" t="s">
        <v>24</v>
      </c>
      <c r="H474">
        <v>34</v>
      </c>
      <c r="I474" t="s">
        <v>49</v>
      </c>
      <c r="J474">
        <v>7795</v>
      </c>
      <c r="K474">
        <v>93540</v>
      </c>
      <c r="L474">
        <v>0</v>
      </c>
      <c r="M474" t="s">
        <v>57</v>
      </c>
      <c r="N474">
        <v>4</v>
      </c>
      <c r="O474" t="s">
        <v>54</v>
      </c>
      <c r="P474" t="s">
        <v>20</v>
      </c>
      <c r="Q474" t="s">
        <v>32</v>
      </c>
      <c r="R474" t="s">
        <v>21</v>
      </c>
    </row>
    <row r="475" spans="1:18" x14ac:dyDescent="0.25">
      <c r="A475">
        <v>375</v>
      </c>
      <c r="B475" s="2">
        <v>44077</v>
      </c>
      <c r="C475">
        <v>9</v>
      </c>
      <c r="D475">
        <v>2020</v>
      </c>
      <c r="E475" t="s">
        <v>30</v>
      </c>
      <c r="F475" t="s">
        <v>38</v>
      </c>
      <c r="G475" t="s">
        <v>24</v>
      </c>
      <c r="H475">
        <v>41</v>
      </c>
      <c r="I475" t="s">
        <v>49</v>
      </c>
      <c r="J475">
        <v>14307</v>
      </c>
      <c r="K475">
        <v>171684</v>
      </c>
      <c r="L475">
        <v>1</v>
      </c>
      <c r="M475" t="s">
        <v>57</v>
      </c>
      <c r="N475">
        <v>4</v>
      </c>
      <c r="O475" t="s">
        <v>54</v>
      </c>
      <c r="P475" t="s">
        <v>20</v>
      </c>
      <c r="Q475" t="s">
        <v>32</v>
      </c>
      <c r="R475" t="s">
        <v>34</v>
      </c>
    </row>
    <row r="476" spans="1:18" x14ac:dyDescent="0.25">
      <c r="A476">
        <v>376</v>
      </c>
      <c r="B476" s="2">
        <v>43078</v>
      </c>
      <c r="C476">
        <v>12</v>
      </c>
      <c r="D476">
        <v>2017</v>
      </c>
      <c r="E476" t="s">
        <v>28</v>
      </c>
      <c r="F476" t="s">
        <v>29</v>
      </c>
      <c r="G476" t="s">
        <v>14</v>
      </c>
      <c r="H476">
        <v>39</v>
      </c>
      <c r="I476" t="s">
        <v>49</v>
      </c>
      <c r="J476">
        <v>14975</v>
      </c>
      <c r="K476">
        <v>179700</v>
      </c>
      <c r="L476">
        <v>1</v>
      </c>
      <c r="M476" t="s">
        <v>57</v>
      </c>
      <c r="N476">
        <v>5</v>
      </c>
      <c r="O476" t="s">
        <v>54</v>
      </c>
      <c r="P476" t="s">
        <v>20</v>
      </c>
      <c r="Q476" t="s">
        <v>27</v>
      </c>
      <c r="R476" t="s">
        <v>21</v>
      </c>
    </row>
    <row r="477" spans="1:18" x14ac:dyDescent="0.25">
      <c r="A477">
        <v>383</v>
      </c>
      <c r="B477" s="2">
        <v>42144</v>
      </c>
      <c r="C477">
        <v>5</v>
      </c>
      <c r="D477">
        <v>2015</v>
      </c>
      <c r="E477" t="s">
        <v>30</v>
      </c>
      <c r="F477" t="s">
        <v>31</v>
      </c>
      <c r="G477" t="s">
        <v>24</v>
      </c>
      <c r="H477">
        <v>47</v>
      </c>
      <c r="I477" t="s">
        <v>52</v>
      </c>
      <c r="J477">
        <v>17484</v>
      </c>
      <c r="K477">
        <v>209808</v>
      </c>
      <c r="L477">
        <v>1</v>
      </c>
      <c r="M477" t="s">
        <v>57</v>
      </c>
      <c r="N477">
        <v>4</v>
      </c>
      <c r="O477" t="s">
        <v>54</v>
      </c>
      <c r="P477" t="s">
        <v>15</v>
      </c>
      <c r="Q477" t="s">
        <v>32</v>
      </c>
      <c r="R477" t="s">
        <v>17</v>
      </c>
    </row>
    <row r="478" spans="1:18" x14ac:dyDescent="0.25">
      <c r="A478">
        <v>384</v>
      </c>
      <c r="B478" s="2">
        <v>42790</v>
      </c>
      <c r="C478">
        <v>2</v>
      </c>
      <c r="D478">
        <v>2017</v>
      </c>
      <c r="E478" t="s">
        <v>12</v>
      </c>
      <c r="F478" t="s">
        <v>41</v>
      </c>
      <c r="G478" t="s">
        <v>14</v>
      </c>
      <c r="H478">
        <v>42</v>
      </c>
      <c r="I478" t="s">
        <v>49</v>
      </c>
      <c r="J478">
        <v>11529</v>
      </c>
      <c r="K478">
        <v>138348</v>
      </c>
      <c r="L478">
        <v>2</v>
      </c>
      <c r="M478" t="s">
        <v>57</v>
      </c>
      <c r="N478">
        <v>5</v>
      </c>
      <c r="O478" t="s">
        <v>54</v>
      </c>
      <c r="P478" t="s">
        <v>15</v>
      </c>
      <c r="Q478" t="s">
        <v>27</v>
      </c>
      <c r="R478" t="s">
        <v>25</v>
      </c>
    </row>
    <row r="479" spans="1:18" x14ac:dyDescent="0.25">
      <c r="A479">
        <v>385</v>
      </c>
      <c r="B479" s="2">
        <v>40265</v>
      </c>
      <c r="C479">
        <v>3</v>
      </c>
      <c r="D479">
        <v>2010</v>
      </c>
      <c r="E479" t="s">
        <v>12</v>
      </c>
      <c r="F479" t="s">
        <v>41</v>
      </c>
      <c r="G479" t="s">
        <v>14</v>
      </c>
      <c r="H479">
        <v>54</v>
      </c>
      <c r="I479" t="s">
        <v>52</v>
      </c>
      <c r="J479">
        <v>18486</v>
      </c>
      <c r="K479">
        <v>221832</v>
      </c>
      <c r="L479">
        <v>0</v>
      </c>
      <c r="M479" t="s">
        <v>57</v>
      </c>
      <c r="N479">
        <v>1</v>
      </c>
      <c r="O479" t="s">
        <v>51</v>
      </c>
      <c r="P479" t="s">
        <v>15</v>
      </c>
      <c r="Q479" t="s">
        <v>32</v>
      </c>
      <c r="R479" t="s">
        <v>21</v>
      </c>
    </row>
    <row r="480" spans="1:18" x14ac:dyDescent="0.25">
      <c r="A480">
        <v>388</v>
      </c>
      <c r="B480" s="2">
        <v>43358</v>
      </c>
      <c r="C480">
        <v>9</v>
      </c>
      <c r="D480">
        <v>2018</v>
      </c>
      <c r="E480" t="s">
        <v>30</v>
      </c>
      <c r="F480" t="s">
        <v>38</v>
      </c>
      <c r="G480" t="s">
        <v>24</v>
      </c>
      <c r="H480">
        <v>48</v>
      </c>
      <c r="I480" t="s">
        <v>52</v>
      </c>
      <c r="J480">
        <v>10968</v>
      </c>
      <c r="K480">
        <v>131616</v>
      </c>
      <c r="L480">
        <v>0</v>
      </c>
      <c r="M480" t="s">
        <v>57</v>
      </c>
      <c r="N480">
        <v>4</v>
      </c>
      <c r="O480" t="s">
        <v>54</v>
      </c>
      <c r="P480" t="s">
        <v>15</v>
      </c>
      <c r="Q480" t="s">
        <v>27</v>
      </c>
      <c r="R480" t="s">
        <v>39</v>
      </c>
    </row>
    <row r="481" spans="1:18" x14ac:dyDescent="0.25">
      <c r="A481">
        <v>390</v>
      </c>
      <c r="B481" s="2">
        <v>43829</v>
      </c>
      <c r="C481">
        <v>12</v>
      </c>
      <c r="D481">
        <v>2019</v>
      </c>
      <c r="E481" t="s">
        <v>30</v>
      </c>
      <c r="F481" t="s">
        <v>31</v>
      </c>
      <c r="G481" t="s">
        <v>24</v>
      </c>
      <c r="H481">
        <v>30</v>
      </c>
      <c r="I481" t="s">
        <v>49</v>
      </c>
      <c r="J481">
        <v>10457</v>
      </c>
      <c r="K481">
        <v>125484</v>
      </c>
      <c r="L481">
        <v>2</v>
      </c>
      <c r="M481" t="s">
        <v>57</v>
      </c>
      <c r="N481">
        <v>5</v>
      </c>
      <c r="O481" t="s">
        <v>54</v>
      </c>
      <c r="P481" t="s">
        <v>15</v>
      </c>
      <c r="Q481" t="s">
        <v>32</v>
      </c>
      <c r="R481" t="s">
        <v>39</v>
      </c>
    </row>
    <row r="482" spans="1:18" x14ac:dyDescent="0.25">
      <c r="A482">
        <v>396</v>
      </c>
      <c r="B482" s="2">
        <v>40365</v>
      </c>
      <c r="C482">
        <v>7</v>
      </c>
      <c r="D482">
        <v>2010</v>
      </c>
      <c r="E482" t="s">
        <v>12</v>
      </c>
      <c r="F482" t="s">
        <v>13</v>
      </c>
      <c r="G482" t="s">
        <v>14</v>
      </c>
      <c r="H482">
        <v>41</v>
      </c>
      <c r="I482" t="s">
        <v>49</v>
      </c>
      <c r="J482">
        <v>15569</v>
      </c>
      <c r="K482">
        <v>186828</v>
      </c>
      <c r="L482">
        <v>2</v>
      </c>
      <c r="M482" t="s">
        <v>57</v>
      </c>
      <c r="N482">
        <v>2</v>
      </c>
      <c r="O482" t="s">
        <v>51</v>
      </c>
      <c r="P482" t="s">
        <v>15</v>
      </c>
      <c r="Q482" t="s">
        <v>16</v>
      </c>
      <c r="R482" t="s">
        <v>39</v>
      </c>
    </row>
    <row r="483" spans="1:18" x14ac:dyDescent="0.25">
      <c r="A483">
        <v>397</v>
      </c>
      <c r="B483" s="2">
        <v>44916</v>
      </c>
      <c r="C483">
        <v>12</v>
      </c>
      <c r="D483">
        <v>2022</v>
      </c>
      <c r="E483" t="s">
        <v>18</v>
      </c>
      <c r="F483" t="s">
        <v>19</v>
      </c>
      <c r="G483" t="s">
        <v>14</v>
      </c>
      <c r="H483">
        <v>29</v>
      </c>
      <c r="I483" t="s">
        <v>53</v>
      </c>
      <c r="J483">
        <v>6105</v>
      </c>
      <c r="K483">
        <v>73260</v>
      </c>
      <c r="L483">
        <v>2</v>
      </c>
      <c r="M483" t="s">
        <v>57</v>
      </c>
      <c r="N483">
        <v>3</v>
      </c>
      <c r="O483" t="s">
        <v>55</v>
      </c>
      <c r="P483" t="s">
        <v>20</v>
      </c>
      <c r="Q483" t="s">
        <v>16</v>
      </c>
      <c r="R483" t="s">
        <v>25</v>
      </c>
    </row>
    <row r="484" spans="1:18" x14ac:dyDescent="0.25">
      <c r="A484">
        <v>400</v>
      </c>
      <c r="B484" s="2">
        <v>42390</v>
      </c>
      <c r="C484">
        <v>1</v>
      </c>
      <c r="D484">
        <v>2016</v>
      </c>
      <c r="E484" t="s">
        <v>30</v>
      </c>
      <c r="F484" t="s">
        <v>38</v>
      </c>
      <c r="G484" t="s">
        <v>24</v>
      </c>
      <c r="H484">
        <v>30</v>
      </c>
      <c r="I484" t="s">
        <v>49</v>
      </c>
      <c r="J484">
        <v>10546</v>
      </c>
      <c r="K484">
        <v>126552</v>
      </c>
      <c r="L484">
        <v>0</v>
      </c>
      <c r="M484" t="s">
        <v>57</v>
      </c>
      <c r="N484">
        <v>2</v>
      </c>
      <c r="O484" t="s">
        <v>51</v>
      </c>
      <c r="P484" t="s">
        <v>20</v>
      </c>
      <c r="Q484" t="s">
        <v>32</v>
      </c>
      <c r="R484" t="s">
        <v>17</v>
      </c>
    </row>
    <row r="485" spans="1:18" x14ac:dyDescent="0.25">
      <c r="A485">
        <v>401</v>
      </c>
      <c r="B485" s="2">
        <v>42501</v>
      </c>
      <c r="C485">
        <v>5</v>
      </c>
      <c r="D485">
        <v>2016</v>
      </c>
      <c r="E485" t="s">
        <v>18</v>
      </c>
      <c r="F485" t="s">
        <v>19</v>
      </c>
      <c r="G485" t="s">
        <v>24</v>
      </c>
      <c r="H485">
        <v>32</v>
      </c>
      <c r="I485" t="s">
        <v>49</v>
      </c>
      <c r="J485">
        <v>16336</v>
      </c>
      <c r="K485">
        <v>196032</v>
      </c>
      <c r="L485">
        <v>0</v>
      </c>
      <c r="M485" t="s">
        <v>57</v>
      </c>
      <c r="N485">
        <v>1</v>
      </c>
      <c r="O485" t="s">
        <v>51</v>
      </c>
      <c r="P485" t="s">
        <v>15</v>
      </c>
      <c r="Q485" t="s">
        <v>32</v>
      </c>
      <c r="R485" t="s">
        <v>34</v>
      </c>
    </row>
    <row r="486" spans="1:18" x14ac:dyDescent="0.25">
      <c r="A486">
        <v>410</v>
      </c>
      <c r="B486" s="2">
        <v>41230</v>
      </c>
      <c r="C486">
        <v>11</v>
      </c>
      <c r="D486">
        <v>2012</v>
      </c>
      <c r="E486" t="s">
        <v>12</v>
      </c>
      <c r="F486" t="s">
        <v>41</v>
      </c>
      <c r="G486" t="s">
        <v>14</v>
      </c>
      <c r="H486">
        <v>49</v>
      </c>
      <c r="I486" t="s">
        <v>52</v>
      </c>
      <c r="J486">
        <v>17933</v>
      </c>
      <c r="K486">
        <v>215196</v>
      </c>
      <c r="L486">
        <v>1</v>
      </c>
      <c r="M486" t="s">
        <v>57</v>
      </c>
      <c r="N486">
        <v>5</v>
      </c>
      <c r="O486" t="s">
        <v>54</v>
      </c>
      <c r="P486" t="s">
        <v>20</v>
      </c>
      <c r="Q486" t="s">
        <v>32</v>
      </c>
      <c r="R486" t="s">
        <v>21</v>
      </c>
    </row>
    <row r="487" spans="1:18" x14ac:dyDescent="0.25">
      <c r="A487">
        <v>413</v>
      </c>
      <c r="B487" s="2">
        <v>40585</v>
      </c>
      <c r="C487">
        <v>2</v>
      </c>
      <c r="D487">
        <v>2011</v>
      </c>
      <c r="E487" t="s">
        <v>28</v>
      </c>
      <c r="F487" t="s">
        <v>29</v>
      </c>
      <c r="G487" t="s">
        <v>24</v>
      </c>
      <c r="H487">
        <v>42</v>
      </c>
      <c r="I487" t="s">
        <v>49</v>
      </c>
      <c r="J487">
        <v>6528</v>
      </c>
      <c r="K487">
        <v>78336</v>
      </c>
      <c r="L487">
        <v>1</v>
      </c>
      <c r="M487" t="s">
        <v>57</v>
      </c>
      <c r="N487">
        <v>3</v>
      </c>
      <c r="O487" t="s">
        <v>55</v>
      </c>
      <c r="P487" t="s">
        <v>15</v>
      </c>
      <c r="Q487" t="s">
        <v>16</v>
      </c>
      <c r="R487" t="s">
        <v>39</v>
      </c>
    </row>
    <row r="488" spans="1:18" x14ac:dyDescent="0.25">
      <c r="A488">
        <v>414</v>
      </c>
      <c r="B488" s="2">
        <v>40346</v>
      </c>
      <c r="C488">
        <v>6</v>
      </c>
      <c r="D488">
        <v>2010</v>
      </c>
      <c r="E488" t="s">
        <v>12</v>
      </c>
      <c r="F488" t="s">
        <v>13</v>
      </c>
      <c r="G488" t="s">
        <v>24</v>
      </c>
      <c r="H488">
        <v>60</v>
      </c>
      <c r="I488" t="s">
        <v>52</v>
      </c>
      <c r="J488">
        <v>10244</v>
      </c>
      <c r="K488">
        <v>122928</v>
      </c>
      <c r="L488">
        <v>1</v>
      </c>
      <c r="M488" t="s">
        <v>57</v>
      </c>
      <c r="N488">
        <v>2</v>
      </c>
      <c r="O488" t="s">
        <v>51</v>
      </c>
      <c r="P488" t="s">
        <v>15</v>
      </c>
      <c r="Q488" t="s">
        <v>27</v>
      </c>
      <c r="R488" t="s">
        <v>21</v>
      </c>
    </row>
    <row r="489" spans="1:18" x14ac:dyDescent="0.25">
      <c r="A489">
        <v>415</v>
      </c>
      <c r="B489" s="2">
        <v>41062</v>
      </c>
      <c r="C489">
        <v>6</v>
      </c>
      <c r="D489">
        <v>2012</v>
      </c>
      <c r="E489" t="s">
        <v>18</v>
      </c>
      <c r="F489" t="s">
        <v>19</v>
      </c>
      <c r="G489" t="s">
        <v>14</v>
      </c>
      <c r="H489">
        <v>53</v>
      </c>
      <c r="I489" t="s">
        <v>52</v>
      </c>
      <c r="J489">
        <v>16322</v>
      </c>
      <c r="K489">
        <v>195864</v>
      </c>
      <c r="L489">
        <v>2</v>
      </c>
      <c r="M489" t="s">
        <v>57</v>
      </c>
      <c r="N489">
        <v>4</v>
      </c>
      <c r="O489" t="s">
        <v>54</v>
      </c>
      <c r="P489" t="s">
        <v>15</v>
      </c>
      <c r="Q489" t="s">
        <v>16</v>
      </c>
      <c r="R489" t="s">
        <v>17</v>
      </c>
    </row>
    <row r="490" spans="1:18" x14ac:dyDescent="0.25">
      <c r="A490">
        <v>419</v>
      </c>
      <c r="B490" s="2">
        <v>42994</v>
      </c>
      <c r="C490">
        <v>9</v>
      </c>
      <c r="D490">
        <v>2017</v>
      </c>
      <c r="E490" t="s">
        <v>36</v>
      </c>
      <c r="F490" t="s">
        <v>37</v>
      </c>
      <c r="G490" t="s">
        <v>14</v>
      </c>
      <c r="H490">
        <v>31</v>
      </c>
      <c r="I490" t="s">
        <v>49</v>
      </c>
      <c r="J490">
        <v>9882</v>
      </c>
      <c r="K490">
        <v>118584</v>
      </c>
      <c r="L490">
        <v>2</v>
      </c>
      <c r="M490" t="s">
        <v>57</v>
      </c>
      <c r="N490">
        <v>2</v>
      </c>
      <c r="O490" t="s">
        <v>51</v>
      </c>
      <c r="P490" t="s">
        <v>15</v>
      </c>
      <c r="Q490" t="s">
        <v>16</v>
      </c>
      <c r="R490" t="s">
        <v>21</v>
      </c>
    </row>
    <row r="491" spans="1:18" x14ac:dyDescent="0.25">
      <c r="A491">
        <v>422</v>
      </c>
      <c r="B491" s="2">
        <v>42092</v>
      </c>
      <c r="C491">
        <v>3</v>
      </c>
      <c r="D491">
        <v>2015</v>
      </c>
      <c r="E491" t="s">
        <v>28</v>
      </c>
      <c r="F491" t="s">
        <v>33</v>
      </c>
      <c r="G491" t="s">
        <v>24</v>
      </c>
      <c r="H491">
        <v>51</v>
      </c>
      <c r="I491" t="s">
        <v>52</v>
      </c>
      <c r="J491">
        <v>8022</v>
      </c>
      <c r="K491">
        <v>96264</v>
      </c>
      <c r="L491">
        <v>2</v>
      </c>
      <c r="M491" t="s">
        <v>57</v>
      </c>
      <c r="N491">
        <v>5</v>
      </c>
      <c r="O491" t="s">
        <v>54</v>
      </c>
      <c r="P491" t="s">
        <v>20</v>
      </c>
      <c r="Q491" t="s">
        <v>16</v>
      </c>
      <c r="R491" t="s">
        <v>34</v>
      </c>
    </row>
    <row r="492" spans="1:18" x14ac:dyDescent="0.25">
      <c r="A492">
        <v>427</v>
      </c>
      <c r="B492" s="2">
        <v>42428</v>
      </c>
      <c r="C492">
        <v>2</v>
      </c>
      <c r="D492">
        <v>2016</v>
      </c>
      <c r="E492" t="s">
        <v>22</v>
      </c>
      <c r="F492" t="s">
        <v>23</v>
      </c>
      <c r="G492" t="s">
        <v>24</v>
      </c>
      <c r="H492">
        <v>54</v>
      </c>
      <c r="I492" t="s">
        <v>52</v>
      </c>
      <c r="J492">
        <v>5001</v>
      </c>
      <c r="K492">
        <v>60012</v>
      </c>
      <c r="L492">
        <v>2</v>
      </c>
      <c r="M492" t="s">
        <v>57</v>
      </c>
      <c r="N492">
        <v>1</v>
      </c>
      <c r="O492" t="s">
        <v>51</v>
      </c>
      <c r="P492" t="s">
        <v>15</v>
      </c>
      <c r="Q492" t="s">
        <v>32</v>
      </c>
      <c r="R492" t="s">
        <v>25</v>
      </c>
    </row>
    <row r="493" spans="1:18" x14ac:dyDescent="0.25">
      <c r="A493">
        <v>432</v>
      </c>
      <c r="B493" s="2">
        <v>40394</v>
      </c>
      <c r="C493">
        <v>8</v>
      </c>
      <c r="D493">
        <v>2010</v>
      </c>
      <c r="E493" t="s">
        <v>12</v>
      </c>
      <c r="F493" t="s">
        <v>13</v>
      </c>
      <c r="G493" t="s">
        <v>14</v>
      </c>
      <c r="H493">
        <v>48</v>
      </c>
      <c r="I493" t="s">
        <v>52</v>
      </c>
      <c r="J493">
        <v>11761</v>
      </c>
      <c r="K493">
        <v>141132</v>
      </c>
      <c r="L493">
        <v>2</v>
      </c>
      <c r="M493" t="s">
        <v>57</v>
      </c>
      <c r="N493">
        <v>1</v>
      </c>
      <c r="O493" t="s">
        <v>51</v>
      </c>
      <c r="P493" t="s">
        <v>15</v>
      </c>
      <c r="Q493" t="s">
        <v>27</v>
      </c>
      <c r="R493" t="s">
        <v>25</v>
      </c>
    </row>
    <row r="494" spans="1:18" x14ac:dyDescent="0.25">
      <c r="A494">
        <v>448</v>
      </c>
      <c r="B494" s="2">
        <v>44256</v>
      </c>
      <c r="C494">
        <v>3</v>
      </c>
      <c r="D494">
        <v>2021</v>
      </c>
      <c r="E494" t="s">
        <v>28</v>
      </c>
      <c r="F494" t="s">
        <v>29</v>
      </c>
      <c r="G494" t="s">
        <v>24</v>
      </c>
      <c r="H494">
        <v>58</v>
      </c>
      <c r="I494" t="s">
        <v>52</v>
      </c>
      <c r="J494">
        <v>8705</v>
      </c>
      <c r="K494">
        <v>104460</v>
      </c>
      <c r="L494">
        <v>1</v>
      </c>
      <c r="M494" t="s">
        <v>57</v>
      </c>
      <c r="N494">
        <v>1</v>
      </c>
      <c r="O494" t="s">
        <v>51</v>
      </c>
      <c r="P494" t="s">
        <v>20</v>
      </c>
      <c r="Q494" t="s">
        <v>16</v>
      </c>
      <c r="R494" t="s">
        <v>25</v>
      </c>
    </row>
    <row r="495" spans="1:18" x14ac:dyDescent="0.25">
      <c r="A495">
        <v>450</v>
      </c>
      <c r="B495" s="2">
        <v>40291</v>
      </c>
      <c r="C495">
        <v>4</v>
      </c>
      <c r="D495">
        <v>2010</v>
      </c>
      <c r="E495" t="s">
        <v>28</v>
      </c>
      <c r="F495" t="s">
        <v>33</v>
      </c>
      <c r="G495" t="s">
        <v>14</v>
      </c>
      <c r="H495">
        <v>43</v>
      </c>
      <c r="I495" t="s">
        <v>49</v>
      </c>
      <c r="J495">
        <v>7808</v>
      </c>
      <c r="K495">
        <v>93696</v>
      </c>
      <c r="L495">
        <v>1</v>
      </c>
      <c r="M495" t="s">
        <v>57</v>
      </c>
      <c r="N495">
        <v>5</v>
      </c>
      <c r="O495" t="s">
        <v>54</v>
      </c>
      <c r="P495" t="s">
        <v>15</v>
      </c>
      <c r="Q495" t="s">
        <v>27</v>
      </c>
      <c r="R495" t="s">
        <v>25</v>
      </c>
    </row>
    <row r="496" spans="1:18" x14ac:dyDescent="0.25">
      <c r="A496">
        <v>451</v>
      </c>
      <c r="B496" s="2">
        <v>41401</v>
      </c>
      <c r="C496">
        <v>5</v>
      </c>
      <c r="D496">
        <v>2013</v>
      </c>
      <c r="E496" t="s">
        <v>36</v>
      </c>
      <c r="F496" t="s">
        <v>37</v>
      </c>
      <c r="G496" t="s">
        <v>14</v>
      </c>
      <c r="H496">
        <v>56</v>
      </c>
      <c r="I496" t="s">
        <v>52</v>
      </c>
      <c r="J496">
        <v>12291</v>
      </c>
      <c r="K496">
        <v>147492</v>
      </c>
      <c r="L496">
        <v>0</v>
      </c>
      <c r="M496" t="s">
        <v>57</v>
      </c>
      <c r="N496">
        <v>1</v>
      </c>
      <c r="O496" t="s">
        <v>51</v>
      </c>
      <c r="P496" t="s">
        <v>15</v>
      </c>
      <c r="Q496" t="s">
        <v>32</v>
      </c>
      <c r="R496" t="s">
        <v>21</v>
      </c>
    </row>
    <row r="497" spans="1:18" x14ac:dyDescent="0.25">
      <c r="A497">
        <v>455</v>
      </c>
      <c r="B497" s="2">
        <v>41374</v>
      </c>
      <c r="C497">
        <v>4</v>
      </c>
      <c r="D497">
        <v>2013</v>
      </c>
      <c r="E497" t="s">
        <v>36</v>
      </c>
      <c r="F497" t="s">
        <v>42</v>
      </c>
      <c r="G497" t="s">
        <v>24</v>
      </c>
      <c r="H497">
        <v>37</v>
      </c>
      <c r="I497" t="s">
        <v>49</v>
      </c>
      <c r="J497">
        <v>9928</v>
      </c>
      <c r="K497">
        <v>119136</v>
      </c>
      <c r="L497">
        <v>2</v>
      </c>
      <c r="M497" t="s">
        <v>57</v>
      </c>
      <c r="N497">
        <v>5</v>
      </c>
      <c r="O497" t="s">
        <v>54</v>
      </c>
      <c r="P497" t="s">
        <v>15</v>
      </c>
      <c r="Q497" t="s">
        <v>27</v>
      </c>
      <c r="R497" t="s">
        <v>21</v>
      </c>
    </row>
    <row r="498" spans="1:18" x14ac:dyDescent="0.25">
      <c r="A498">
        <v>460</v>
      </c>
      <c r="B498" s="2">
        <v>41362</v>
      </c>
      <c r="C498">
        <v>3</v>
      </c>
      <c r="D498">
        <v>2013</v>
      </c>
      <c r="E498" t="s">
        <v>28</v>
      </c>
      <c r="F498" t="s">
        <v>29</v>
      </c>
      <c r="G498" t="s">
        <v>14</v>
      </c>
      <c r="H498">
        <v>27</v>
      </c>
      <c r="I498" t="s">
        <v>53</v>
      </c>
      <c r="J498">
        <v>15360</v>
      </c>
      <c r="K498">
        <v>184320</v>
      </c>
      <c r="L498">
        <v>0</v>
      </c>
      <c r="M498" t="s">
        <v>57</v>
      </c>
      <c r="N498">
        <v>3</v>
      </c>
      <c r="O498" t="s">
        <v>55</v>
      </c>
      <c r="P498" t="s">
        <v>20</v>
      </c>
      <c r="Q498" t="s">
        <v>16</v>
      </c>
      <c r="R498" t="s">
        <v>25</v>
      </c>
    </row>
    <row r="499" spans="1:18" x14ac:dyDescent="0.25">
      <c r="A499">
        <v>475</v>
      </c>
      <c r="B499" s="2">
        <v>44427</v>
      </c>
      <c r="C499">
        <v>8</v>
      </c>
      <c r="D499">
        <v>2021</v>
      </c>
      <c r="E499" t="s">
        <v>12</v>
      </c>
      <c r="F499" t="s">
        <v>13</v>
      </c>
      <c r="G499" t="s">
        <v>24</v>
      </c>
      <c r="H499">
        <v>32</v>
      </c>
      <c r="I499" t="s">
        <v>49</v>
      </c>
      <c r="J499">
        <v>7233</v>
      </c>
      <c r="K499">
        <v>86796</v>
      </c>
      <c r="L499">
        <v>1</v>
      </c>
      <c r="M499" t="s">
        <v>57</v>
      </c>
      <c r="N499">
        <v>5</v>
      </c>
      <c r="O499" t="s">
        <v>54</v>
      </c>
      <c r="P499" t="s">
        <v>20</v>
      </c>
      <c r="Q499" t="s">
        <v>16</v>
      </c>
      <c r="R499" t="s">
        <v>39</v>
      </c>
    </row>
    <row r="500" spans="1:18" x14ac:dyDescent="0.25">
      <c r="A500">
        <v>480</v>
      </c>
      <c r="B500" s="2">
        <v>44979</v>
      </c>
      <c r="C500">
        <v>2</v>
      </c>
      <c r="D500">
        <v>2023</v>
      </c>
      <c r="E500" t="s">
        <v>12</v>
      </c>
      <c r="F500" t="s">
        <v>41</v>
      </c>
      <c r="G500" t="s">
        <v>14</v>
      </c>
      <c r="H500">
        <v>50</v>
      </c>
      <c r="I500" t="s">
        <v>52</v>
      </c>
      <c r="J500">
        <v>7651</v>
      </c>
      <c r="K500">
        <v>91812</v>
      </c>
      <c r="L500">
        <v>0</v>
      </c>
      <c r="M500" t="s">
        <v>57</v>
      </c>
      <c r="N500">
        <v>4</v>
      </c>
      <c r="O500" t="s">
        <v>54</v>
      </c>
      <c r="P500" t="s">
        <v>15</v>
      </c>
      <c r="Q500" t="s">
        <v>16</v>
      </c>
      <c r="R500" t="s">
        <v>17</v>
      </c>
    </row>
    <row r="501" spans="1:18" x14ac:dyDescent="0.25">
      <c r="A501">
        <v>497</v>
      </c>
      <c r="B501" s="2">
        <v>44850</v>
      </c>
      <c r="C501">
        <v>10</v>
      </c>
      <c r="D501">
        <v>2022</v>
      </c>
      <c r="E501" t="s">
        <v>30</v>
      </c>
      <c r="F501" t="s">
        <v>31</v>
      </c>
      <c r="G501" t="s">
        <v>24</v>
      </c>
      <c r="H501">
        <v>34</v>
      </c>
      <c r="I501" t="s">
        <v>49</v>
      </c>
      <c r="J501">
        <v>17738</v>
      </c>
      <c r="K501">
        <v>212856</v>
      </c>
      <c r="L501">
        <v>0</v>
      </c>
      <c r="M501" t="s">
        <v>57</v>
      </c>
      <c r="N501">
        <v>4</v>
      </c>
      <c r="O501" t="s">
        <v>54</v>
      </c>
      <c r="P501" t="s">
        <v>15</v>
      </c>
      <c r="Q501" t="s">
        <v>27</v>
      </c>
      <c r="R501" t="s">
        <v>34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
  <sheetViews>
    <sheetView workbookViewId="0">
      <selection activeCell="H14" sqref="H14"/>
    </sheetView>
  </sheetViews>
  <sheetFormatPr defaultRowHeight="15" x14ac:dyDescent="0.25"/>
  <cols>
    <col min="1" max="1" width="14" bestFit="1" customWidth="1"/>
    <col min="2" max="2" width="17.28515625" bestFit="1" customWidth="1"/>
    <col min="3" max="3" width="14" bestFit="1" customWidth="1"/>
    <col min="4" max="4" width="19.7109375" bestFit="1" customWidth="1"/>
    <col min="5" max="5" width="10" bestFit="1" customWidth="1"/>
    <col min="6" max="6" width="6.7109375" bestFit="1" customWidth="1"/>
    <col min="7" max="7" width="16.28515625" bestFit="1" customWidth="1"/>
    <col min="8" max="8" width="18.5703125" bestFit="1" customWidth="1"/>
    <col min="9" max="9" width="20.5703125" bestFit="1" customWidth="1"/>
    <col min="10" max="10" width="11.7109375" bestFit="1" customWidth="1"/>
    <col min="11" max="11" width="15.7109375" bestFit="1" customWidth="1"/>
    <col min="12" max="12" width="17.570312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s="1">
        <v>42198</v>
      </c>
      <c r="C2" t="s">
        <v>12</v>
      </c>
      <c r="D2" t="s">
        <v>13</v>
      </c>
      <c r="E2" t="s">
        <v>14</v>
      </c>
      <c r="F2">
        <v>22</v>
      </c>
      <c r="G2">
        <v>16057</v>
      </c>
      <c r="H2">
        <v>7</v>
      </c>
      <c r="I2">
        <v>1</v>
      </c>
      <c r="J2" t="s">
        <v>15</v>
      </c>
      <c r="K2" t="s">
        <v>16</v>
      </c>
      <c r="L2" t="s">
        <v>17</v>
      </c>
    </row>
    <row r="3" spans="1:12" x14ac:dyDescent="0.25">
      <c r="A3">
        <v>2</v>
      </c>
      <c r="B3" s="1">
        <v>40596</v>
      </c>
      <c r="C3" t="s">
        <v>18</v>
      </c>
      <c r="D3" t="s">
        <v>19</v>
      </c>
      <c r="E3" t="s">
        <v>14</v>
      </c>
      <c r="F3">
        <v>36</v>
      </c>
      <c r="G3">
        <v>17387</v>
      </c>
      <c r="H3">
        <v>14</v>
      </c>
      <c r="I3">
        <v>2</v>
      </c>
      <c r="J3" t="s">
        <v>20</v>
      </c>
      <c r="K3" t="s">
        <v>16</v>
      </c>
      <c r="L3" t="s">
        <v>21</v>
      </c>
    </row>
    <row r="4" spans="1:12" x14ac:dyDescent="0.25">
      <c r="A4">
        <v>3</v>
      </c>
      <c r="B4" s="1">
        <v>41974</v>
      </c>
      <c r="C4" t="s">
        <v>22</v>
      </c>
      <c r="D4" t="s">
        <v>23</v>
      </c>
      <c r="E4" t="s">
        <v>24</v>
      </c>
      <c r="F4">
        <v>23</v>
      </c>
      <c r="G4">
        <v>8731</v>
      </c>
      <c r="H4">
        <v>4</v>
      </c>
      <c r="I4">
        <v>4</v>
      </c>
      <c r="J4" t="s">
        <v>15</v>
      </c>
      <c r="K4" t="s">
        <v>16</v>
      </c>
      <c r="L4" t="s">
        <v>25</v>
      </c>
    </row>
    <row r="5" spans="1:12" x14ac:dyDescent="0.25">
      <c r="A5">
        <v>4</v>
      </c>
      <c r="B5" s="1">
        <v>43340</v>
      </c>
      <c r="C5" t="s">
        <v>18</v>
      </c>
      <c r="D5" t="s">
        <v>26</v>
      </c>
      <c r="E5" t="s">
        <v>24</v>
      </c>
      <c r="F5">
        <v>26</v>
      </c>
      <c r="G5">
        <v>11380</v>
      </c>
      <c r="H5">
        <v>5</v>
      </c>
      <c r="I5">
        <v>2</v>
      </c>
      <c r="J5" t="s">
        <v>15</v>
      </c>
      <c r="K5" t="s">
        <v>27</v>
      </c>
      <c r="L5" t="s">
        <v>17</v>
      </c>
    </row>
    <row r="6" spans="1:12" x14ac:dyDescent="0.25">
      <c r="A6">
        <v>5</v>
      </c>
      <c r="B6" s="1">
        <v>44833</v>
      </c>
      <c r="C6" t="s">
        <v>28</v>
      </c>
      <c r="D6" t="s">
        <v>29</v>
      </c>
      <c r="E6" t="s">
        <v>14</v>
      </c>
      <c r="F6">
        <v>55</v>
      </c>
      <c r="G6">
        <v>16289</v>
      </c>
      <c r="H6">
        <v>15</v>
      </c>
      <c r="I6">
        <v>5</v>
      </c>
      <c r="J6" t="s">
        <v>15</v>
      </c>
      <c r="K6" t="s">
        <v>27</v>
      </c>
      <c r="L6" t="s">
        <v>17</v>
      </c>
    </row>
    <row r="7" spans="1:12" x14ac:dyDescent="0.25">
      <c r="A7">
        <v>6</v>
      </c>
      <c r="B7" s="1">
        <v>44548</v>
      </c>
      <c r="C7" t="s">
        <v>30</v>
      </c>
      <c r="D7" t="s">
        <v>31</v>
      </c>
      <c r="E7" t="s">
        <v>24</v>
      </c>
      <c r="F7">
        <v>54</v>
      </c>
      <c r="G7">
        <v>12162</v>
      </c>
      <c r="H7">
        <v>4</v>
      </c>
      <c r="I7">
        <v>1</v>
      </c>
      <c r="J7" t="s">
        <v>20</v>
      </c>
      <c r="K7" t="s">
        <v>32</v>
      </c>
      <c r="L7" t="s">
        <v>17</v>
      </c>
    </row>
    <row r="8" spans="1:12" x14ac:dyDescent="0.25">
      <c r="A8">
        <v>7</v>
      </c>
      <c r="B8" s="1">
        <v>43466</v>
      </c>
      <c r="C8" t="s">
        <v>28</v>
      </c>
      <c r="D8" t="s">
        <v>33</v>
      </c>
      <c r="E8" t="s">
        <v>14</v>
      </c>
      <c r="F8">
        <v>59</v>
      </c>
      <c r="G8">
        <v>4448</v>
      </c>
      <c r="H8">
        <v>2</v>
      </c>
      <c r="I8">
        <v>1</v>
      </c>
      <c r="J8" t="s">
        <v>20</v>
      </c>
      <c r="K8" t="s">
        <v>16</v>
      </c>
      <c r="L8" t="s">
        <v>17</v>
      </c>
    </row>
    <row r="9" spans="1:12" x14ac:dyDescent="0.25">
      <c r="A9">
        <v>8</v>
      </c>
      <c r="B9" s="1">
        <v>42430</v>
      </c>
      <c r="C9" t="s">
        <v>22</v>
      </c>
      <c r="D9" t="s">
        <v>23</v>
      </c>
      <c r="E9" t="s">
        <v>24</v>
      </c>
      <c r="F9">
        <v>51</v>
      </c>
      <c r="G9">
        <v>5927</v>
      </c>
      <c r="H9">
        <v>11</v>
      </c>
      <c r="I9">
        <v>2</v>
      </c>
      <c r="J9" t="s">
        <v>20</v>
      </c>
      <c r="K9" t="s">
        <v>27</v>
      </c>
      <c r="L9" t="s">
        <v>21</v>
      </c>
    </row>
    <row r="10" spans="1:12" x14ac:dyDescent="0.25">
      <c r="A10">
        <v>9</v>
      </c>
      <c r="B10" s="1">
        <v>44892</v>
      </c>
      <c r="C10" t="s">
        <v>28</v>
      </c>
      <c r="D10" t="s">
        <v>33</v>
      </c>
      <c r="E10" t="s">
        <v>14</v>
      </c>
      <c r="F10">
        <v>50</v>
      </c>
      <c r="G10">
        <v>10137</v>
      </c>
      <c r="H10">
        <v>0</v>
      </c>
      <c r="I10">
        <v>4</v>
      </c>
      <c r="J10" t="s">
        <v>20</v>
      </c>
      <c r="K10" t="s">
        <v>32</v>
      </c>
      <c r="L10" t="s">
        <v>34</v>
      </c>
    </row>
    <row r="11" spans="1:12" x14ac:dyDescent="0.25">
      <c r="A11">
        <v>10</v>
      </c>
      <c r="B11" s="1">
        <v>41103</v>
      </c>
      <c r="C11" t="s">
        <v>22</v>
      </c>
      <c r="D11" t="s">
        <v>35</v>
      </c>
      <c r="E11" t="s">
        <v>14</v>
      </c>
      <c r="F11">
        <v>26</v>
      </c>
      <c r="G11">
        <v>16303</v>
      </c>
      <c r="H11">
        <v>0</v>
      </c>
      <c r="I11">
        <v>5</v>
      </c>
      <c r="J11" t="s">
        <v>20</v>
      </c>
      <c r="K11" t="s">
        <v>27</v>
      </c>
      <c r="L11" t="s">
        <v>17</v>
      </c>
    </row>
    <row r="12" spans="1:12" x14ac:dyDescent="0.25">
      <c r="A12">
        <v>11</v>
      </c>
      <c r="B12" s="1">
        <v>45048</v>
      </c>
      <c r="C12" t="s">
        <v>12</v>
      </c>
      <c r="D12" t="s">
        <v>13</v>
      </c>
      <c r="E12" t="s">
        <v>14</v>
      </c>
      <c r="F12">
        <v>27</v>
      </c>
      <c r="G12">
        <v>9012</v>
      </c>
      <c r="H12">
        <v>0</v>
      </c>
      <c r="I12">
        <v>1</v>
      </c>
      <c r="J12" t="s">
        <v>15</v>
      </c>
      <c r="K12" t="s">
        <v>16</v>
      </c>
      <c r="L12" t="s">
        <v>21</v>
      </c>
    </row>
    <row r="13" spans="1:12" x14ac:dyDescent="0.25">
      <c r="A13">
        <v>12</v>
      </c>
      <c r="B13" s="1">
        <v>42114</v>
      </c>
      <c r="C13" t="s">
        <v>22</v>
      </c>
      <c r="D13" t="s">
        <v>35</v>
      </c>
      <c r="E13" t="s">
        <v>24</v>
      </c>
      <c r="F13">
        <v>24</v>
      </c>
      <c r="G13">
        <v>15012</v>
      </c>
      <c r="H13">
        <v>14</v>
      </c>
      <c r="I13">
        <v>1</v>
      </c>
      <c r="J13" t="s">
        <v>20</v>
      </c>
      <c r="K13" t="s">
        <v>16</v>
      </c>
      <c r="L13" t="s">
        <v>17</v>
      </c>
    </row>
    <row r="14" spans="1:12" x14ac:dyDescent="0.25">
      <c r="A14">
        <v>13</v>
      </c>
      <c r="B14" s="1">
        <v>43330</v>
      </c>
      <c r="C14" t="s">
        <v>18</v>
      </c>
      <c r="D14" t="s">
        <v>26</v>
      </c>
      <c r="E14" t="s">
        <v>14</v>
      </c>
      <c r="F14">
        <v>42</v>
      </c>
      <c r="G14">
        <v>12305</v>
      </c>
      <c r="H14">
        <v>3</v>
      </c>
      <c r="I14">
        <v>4</v>
      </c>
      <c r="J14" t="s">
        <v>15</v>
      </c>
      <c r="K14" t="s">
        <v>32</v>
      </c>
      <c r="L14" t="s">
        <v>25</v>
      </c>
    </row>
    <row r="15" spans="1:12" x14ac:dyDescent="0.25">
      <c r="A15">
        <v>14</v>
      </c>
      <c r="B15" s="1">
        <v>42144</v>
      </c>
      <c r="C15" t="s">
        <v>28</v>
      </c>
      <c r="D15" t="s">
        <v>29</v>
      </c>
      <c r="E15" t="s">
        <v>14</v>
      </c>
      <c r="F15">
        <v>41</v>
      </c>
      <c r="G15">
        <v>5545</v>
      </c>
      <c r="H15">
        <v>13</v>
      </c>
      <c r="I15">
        <v>5</v>
      </c>
      <c r="J15" t="s">
        <v>20</v>
      </c>
      <c r="K15" t="s">
        <v>27</v>
      </c>
      <c r="L15" t="s">
        <v>34</v>
      </c>
    </row>
    <row r="16" spans="1:12" x14ac:dyDescent="0.25">
      <c r="A16">
        <v>15</v>
      </c>
      <c r="B16" s="1">
        <v>43753</v>
      </c>
      <c r="C16" t="s">
        <v>36</v>
      </c>
      <c r="D16" t="s">
        <v>37</v>
      </c>
      <c r="E16" t="s">
        <v>24</v>
      </c>
      <c r="F16">
        <v>46</v>
      </c>
      <c r="G16">
        <v>5189</v>
      </c>
      <c r="H16">
        <v>10</v>
      </c>
      <c r="I16">
        <v>3</v>
      </c>
      <c r="J16" t="s">
        <v>20</v>
      </c>
      <c r="K16" t="s">
        <v>16</v>
      </c>
      <c r="L16" t="s">
        <v>21</v>
      </c>
    </row>
    <row r="17" spans="1:12" x14ac:dyDescent="0.25">
      <c r="A17">
        <v>16</v>
      </c>
      <c r="B17" s="1">
        <v>43652</v>
      </c>
      <c r="C17" t="s">
        <v>12</v>
      </c>
      <c r="D17" t="s">
        <v>13</v>
      </c>
      <c r="E17" t="s">
        <v>24</v>
      </c>
      <c r="F17">
        <v>43</v>
      </c>
      <c r="G17">
        <v>17648</v>
      </c>
      <c r="H17">
        <v>15</v>
      </c>
      <c r="I17">
        <v>1</v>
      </c>
      <c r="J17" t="s">
        <v>15</v>
      </c>
      <c r="K17" t="s">
        <v>32</v>
      </c>
      <c r="L17" t="s">
        <v>21</v>
      </c>
    </row>
    <row r="18" spans="1:12" x14ac:dyDescent="0.25">
      <c r="A18">
        <v>17</v>
      </c>
      <c r="B18" s="1">
        <v>43924</v>
      </c>
      <c r="C18" t="s">
        <v>30</v>
      </c>
      <c r="D18" t="s">
        <v>38</v>
      </c>
      <c r="E18" t="s">
        <v>14</v>
      </c>
      <c r="F18">
        <v>41</v>
      </c>
      <c r="G18">
        <v>17695</v>
      </c>
      <c r="H18">
        <v>8</v>
      </c>
      <c r="I18">
        <v>1</v>
      </c>
      <c r="J18" t="s">
        <v>15</v>
      </c>
      <c r="K18" t="s">
        <v>27</v>
      </c>
      <c r="L18" t="s">
        <v>34</v>
      </c>
    </row>
    <row r="19" spans="1:12" x14ac:dyDescent="0.25">
      <c r="A19">
        <v>18</v>
      </c>
      <c r="B19" s="1">
        <v>44236</v>
      </c>
      <c r="C19" t="s">
        <v>30</v>
      </c>
      <c r="D19" t="s">
        <v>38</v>
      </c>
      <c r="E19" t="s">
        <v>24</v>
      </c>
      <c r="F19">
        <v>37</v>
      </c>
      <c r="G19">
        <v>12562</v>
      </c>
      <c r="H19">
        <v>5</v>
      </c>
      <c r="I19">
        <v>4</v>
      </c>
      <c r="J19" t="s">
        <v>20</v>
      </c>
      <c r="K19" t="s">
        <v>16</v>
      </c>
      <c r="L19" t="s">
        <v>39</v>
      </c>
    </row>
    <row r="20" spans="1:12" x14ac:dyDescent="0.25">
      <c r="A20">
        <v>19</v>
      </c>
      <c r="B20" s="1">
        <v>43332</v>
      </c>
      <c r="C20" t="s">
        <v>22</v>
      </c>
      <c r="D20" t="s">
        <v>35</v>
      </c>
      <c r="E20" t="s">
        <v>24</v>
      </c>
      <c r="F20">
        <v>56</v>
      </c>
      <c r="G20">
        <v>15214</v>
      </c>
      <c r="H20">
        <v>13</v>
      </c>
      <c r="I20">
        <v>2</v>
      </c>
      <c r="J20" t="s">
        <v>20</v>
      </c>
      <c r="K20" t="s">
        <v>16</v>
      </c>
      <c r="L20" t="s">
        <v>21</v>
      </c>
    </row>
    <row r="21" spans="1:12" x14ac:dyDescent="0.25">
      <c r="A21">
        <v>20</v>
      </c>
      <c r="B21" s="1">
        <v>40757</v>
      </c>
      <c r="C21" t="s">
        <v>18</v>
      </c>
      <c r="D21" t="s">
        <v>19</v>
      </c>
      <c r="E21" t="s">
        <v>14</v>
      </c>
      <c r="F21">
        <v>41</v>
      </c>
      <c r="G21">
        <v>9797</v>
      </c>
      <c r="H21">
        <v>3</v>
      </c>
      <c r="I21">
        <v>4</v>
      </c>
      <c r="J21" t="s">
        <v>15</v>
      </c>
      <c r="K21" t="s">
        <v>16</v>
      </c>
      <c r="L21" t="s">
        <v>39</v>
      </c>
    </row>
    <row r="22" spans="1:12" x14ac:dyDescent="0.25">
      <c r="A22">
        <v>21</v>
      </c>
      <c r="B22" s="1">
        <v>43232</v>
      </c>
      <c r="C22" t="s">
        <v>12</v>
      </c>
      <c r="D22" t="s">
        <v>13</v>
      </c>
      <c r="E22" t="s">
        <v>14</v>
      </c>
      <c r="F22">
        <v>38</v>
      </c>
      <c r="G22">
        <v>14850</v>
      </c>
      <c r="H22">
        <v>15</v>
      </c>
      <c r="I22">
        <v>4</v>
      </c>
      <c r="J22" t="s">
        <v>15</v>
      </c>
      <c r="K22" t="s">
        <v>32</v>
      </c>
      <c r="L22" t="s">
        <v>17</v>
      </c>
    </row>
    <row r="23" spans="1:12" x14ac:dyDescent="0.25">
      <c r="A23">
        <v>22</v>
      </c>
      <c r="B23" s="1">
        <v>44016</v>
      </c>
      <c r="C23" t="s">
        <v>18</v>
      </c>
      <c r="D23" t="s">
        <v>19</v>
      </c>
      <c r="E23" t="s">
        <v>24</v>
      </c>
      <c r="F23">
        <v>44</v>
      </c>
      <c r="G23">
        <v>9208</v>
      </c>
      <c r="H23">
        <v>5</v>
      </c>
      <c r="I23">
        <v>5</v>
      </c>
      <c r="J23" t="s">
        <v>20</v>
      </c>
      <c r="K23" t="s">
        <v>16</v>
      </c>
      <c r="L23" t="s">
        <v>21</v>
      </c>
    </row>
    <row r="24" spans="1:12" x14ac:dyDescent="0.25">
      <c r="A24">
        <v>23</v>
      </c>
      <c r="B24" s="1">
        <v>41786</v>
      </c>
      <c r="C24" t="s">
        <v>36</v>
      </c>
      <c r="D24" t="s">
        <v>40</v>
      </c>
      <c r="E24" t="s">
        <v>24</v>
      </c>
      <c r="F24">
        <v>57</v>
      </c>
      <c r="G24">
        <v>16017</v>
      </c>
      <c r="H24">
        <v>2</v>
      </c>
      <c r="I24">
        <v>3</v>
      </c>
      <c r="J24" t="s">
        <v>15</v>
      </c>
      <c r="K24" t="s">
        <v>16</v>
      </c>
      <c r="L24" t="s">
        <v>17</v>
      </c>
    </row>
    <row r="25" spans="1:12" x14ac:dyDescent="0.25">
      <c r="A25">
        <v>24</v>
      </c>
      <c r="B25" s="1">
        <v>43643</v>
      </c>
      <c r="C25" t="s">
        <v>18</v>
      </c>
      <c r="D25" t="s">
        <v>19</v>
      </c>
      <c r="E25" t="s">
        <v>14</v>
      </c>
      <c r="F25">
        <v>41</v>
      </c>
      <c r="G25">
        <v>14197</v>
      </c>
      <c r="H25">
        <v>9</v>
      </c>
      <c r="I25">
        <v>4</v>
      </c>
      <c r="J25" t="s">
        <v>15</v>
      </c>
      <c r="K25" t="s">
        <v>16</v>
      </c>
      <c r="L25" t="s">
        <v>17</v>
      </c>
    </row>
    <row r="26" spans="1:12" x14ac:dyDescent="0.25">
      <c r="A26">
        <v>25</v>
      </c>
      <c r="B26" s="1">
        <v>40734</v>
      </c>
      <c r="C26" t="s">
        <v>12</v>
      </c>
      <c r="D26" t="s">
        <v>13</v>
      </c>
      <c r="E26" t="s">
        <v>24</v>
      </c>
      <c r="F26">
        <v>24</v>
      </c>
      <c r="G26">
        <v>12854</v>
      </c>
      <c r="H26">
        <v>2</v>
      </c>
      <c r="I26">
        <v>4</v>
      </c>
      <c r="J26" t="s">
        <v>15</v>
      </c>
      <c r="K26" t="s">
        <v>16</v>
      </c>
      <c r="L26" t="s">
        <v>25</v>
      </c>
    </row>
    <row r="27" spans="1:12" x14ac:dyDescent="0.25">
      <c r="A27">
        <v>26</v>
      </c>
      <c r="B27" s="1">
        <v>41773</v>
      </c>
      <c r="C27" t="s">
        <v>12</v>
      </c>
      <c r="D27" t="s">
        <v>41</v>
      </c>
      <c r="E27" t="s">
        <v>24</v>
      </c>
      <c r="F27">
        <v>28</v>
      </c>
      <c r="G27">
        <v>7208</v>
      </c>
      <c r="H27">
        <v>2</v>
      </c>
      <c r="I27">
        <v>4</v>
      </c>
      <c r="J27" t="s">
        <v>15</v>
      </c>
      <c r="K27" t="s">
        <v>16</v>
      </c>
      <c r="L27" t="s">
        <v>25</v>
      </c>
    </row>
    <row r="28" spans="1:12" x14ac:dyDescent="0.25">
      <c r="A28">
        <v>27</v>
      </c>
      <c r="B28" s="1">
        <v>44154</v>
      </c>
      <c r="C28" t="s">
        <v>22</v>
      </c>
      <c r="D28" t="s">
        <v>23</v>
      </c>
      <c r="E28" t="s">
        <v>24</v>
      </c>
      <c r="F28">
        <v>36</v>
      </c>
      <c r="G28">
        <v>10809</v>
      </c>
      <c r="H28">
        <v>4</v>
      </c>
      <c r="I28">
        <v>4</v>
      </c>
      <c r="J28" t="s">
        <v>20</v>
      </c>
      <c r="K28" t="s">
        <v>16</v>
      </c>
      <c r="L28" t="s">
        <v>39</v>
      </c>
    </row>
    <row r="29" spans="1:12" x14ac:dyDescent="0.25">
      <c r="A29">
        <v>28</v>
      </c>
      <c r="B29" s="1">
        <v>42148</v>
      </c>
      <c r="C29" t="s">
        <v>12</v>
      </c>
      <c r="D29" t="s">
        <v>13</v>
      </c>
      <c r="E29" t="s">
        <v>14</v>
      </c>
      <c r="F29">
        <v>33</v>
      </c>
      <c r="G29">
        <v>6269</v>
      </c>
      <c r="H29">
        <v>15</v>
      </c>
      <c r="I29">
        <v>5</v>
      </c>
      <c r="J29" t="s">
        <v>20</v>
      </c>
      <c r="K29" t="s">
        <v>27</v>
      </c>
      <c r="L29" t="s">
        <v>39</v>
      </c>
    </row>
    <row r="30" spans="1:12" x14ac:dyDescent="0.25">
      <c r="A30">
        <v>29</v>
      </c>
      <c r="B30" s="1">
        <v>44872</v>
      </c>
      <c r="C30" t="s">
        <v>22</v>
      </c>
      <c r="D30" t="s">
        <v>35</v>
      </c>
      <c r="E30" t="s">
        <v>14</v>
      </c>
      <c r="F30">
        <v>26</v>
      </c>
      <c r="G30">
        <v>17810</v>
      </c>
      <c r="H30">
        <v>1</v>
      </c>
      <c r="I30">
        <v>1</v>
      </c>
      <c r="J30" t="s">
        <v>20</v>
      </c>
      <c r="K30" t="s">
        <v>16</v>
      </c>
      <c r="L30" t="s">
        <v>34</v>
      </c>
    </row>
    <row r="31" spans="1:12" x14ac:dyDescent="0.25">
      <c r="A31">
        <v>30</v>
      </c>
      <c r="B31" s="1">
        <v>44579</v>
      </c>
      <c r="C31" t="s">
        <v>30</v>
      </c>
      <c r="D31" t="s">
        <v>31</v>
      </c>
      <c r="E31" t="s">
        <v>14</v>
      </c>
      <c r="F31">
        <v>34</v>
      </c>
      <c r="G31">
        <v>18565</v>
      </c>
      <c r="H31">
        <v>13</v>
      </c>
      <c r="I31">
        <v>3</v>
      </c>
      <c r="J31" t="s">
        <v>15</v>
      </c>
      <c r="K31" t="s">
        <v>32</v>
      </c>
      <c r="L31" t="s">
        <v>25</v>
      </c>
    </row>
    <row r="32" spans="1:12" x14ac:dyDescent="0.25">
      <c r="A32">
        <v>31</v>
      </c>
      <c r="B32" s="1">
        <v>40875</v>
      </c>
      <c r="C32" t="s">
        <v>28</v>
      </c>
      <c r="D32" t="s">
        <v>29</v>
      </c>
      <c r="E32" t="s">
        <v>14</v>
      </c>
      <c r="F32">
        <v>37</v>
      </c>
      <c r="G32">
        <v>13888</v>
      </c>
      <c r="H32">
        <v>7</v>
      </c>
      <c r="I32">
        <v>3</v>
      </c>
      <c r="J32" t="s">
        <v>20</v>
      </c>
      <c r="K32" t="s">
        <v>32</v>
      </c>
      <c r="L32" t="s">
        <v>39</v>
      </c>
    </row>
    <row r="33" spans="1:12" x14ac:dyDescent="0.25">
      <c r="A33">
        <v>32</v>
      </c>
      <c r="B33" s="1">
        <v>42450</v>
      </c>
      <c r="C33" t="s">
        <v>18</v>
      </c>
      <c r="D33" t="s">
        <v>26</v>
      </c>
      <c r="E33" t="s">
        <v>14</v>
      </c>
      <c r="F33">
        <v>49</v>
      </c>
      <c r="G33">
        <v>19157</v>
      </c>
      <c r="H33">
        <v>13</v>
      </c>
      <c r="I33">
        <v>5</v>
      </c>
      <c r="J33" t="s">
        <v>20</v>
      </c>
      <c r="K33" t="s">
        <v>27</v>
      </c>
      <c r="L33" t="s">
        <v>39</v>
      </c>
    </row>
    <row r="34" spans="1:12" x14ac:dyDescent="0.25">
      <c r="A34">
        <v>33</v>
      </c>
      <c r="B34" s="1">
        <v>44828</v>
      </c>
      <c r="C34" t="s">
        <v>28</v>
      </c>
      <c r="D34" t="s">
        <v>29</v>
      </c>
      <c r="E34" t="s">
        <v>24</v>
      </c>
      <c r="F34">
        <v>44</v>
      </c>
      <c r="G34">
        <v>4897</v>
      </c>
      <c r="H34">
        <v>11</v>
      </c>
      <c r="I34">
        <v>3</v>
      </c>
      <c r="J34" t="s">
        <v>20</v>
      </c>
      <c r="K34" t="s">
        <v>16</v>
      </c>
      <c r="L34" t="s">
        <v>21</v>
      </c>
    </row>
    <row r="35" spans="1:12" x14ac:dyDescent="0.25">
      <c r="A35">
        <v>34</v>
      </c>
      <c r="B35" s="1">
        <v>44531</v>
      </c>
      <c r="C35" t="s">
        <v>36</v>
      </c>
      <c r="D35" t="s">
        <v>40</v>
      </c>
      <c r="E35" t="s">
        <v>14</v>
      </c>
      <c r="F35">
        <v>46</v>
      </c>
      <c r="G35">
        <v>17399</v>
      </c>
      <c r="H35">
        <v>6</v>
      </c>
      <c r="I35">
        <v>5</v>
      </c>
      <c r="J35" t="s">
        <v>15</v>
      </c>
      <c r="K35" t="s">
        <v>16</v>
      </c>
      <c r="L35" t="s">
        <v>25</v>
      </c>
    </row>
    <row r="36" spans="1:12" x14ac:dyDescent="0.25">
      <c r="A36">
        <v>35</v>
      </c>
      <c r="B36" s="1">
        <v>41726</v>
      </c>
      <c r="C36" t="s">
        <v>18</v>
      </c>
      <c r="D36" t="s">
        <v>19</v>
      </c>
      <c r="E36" t="s">
        <v>24</v>
      </c>
      <c r="F36">
        <v>26</v>
      </c>
      <c r="G36">
        <v>13262</v>
      </c>
      <c r="H36">
        <v>3</v>
      </c>
      <c r="I36">
        <v>4</v>
      </c>
      <c r="J36" t="s">
        <v>20</v>
      </c>
      <c r="K36" t="s">
        <v>32</v>
      </c>
      <c r="L36" t="s">
        <v>17</v>
      </c>
    </row>
    <row r="37" spans="1:12" x14ac:dyDescent="0.25">
      <c r="A37">
        <v>36</v>
      </c>
      <c r="B37" s="1">
        <v>40349</v>
      </c>
      <c r="C37" t="s">
        <v>12</v>
      </c>
      <c r="D37" t="s">
        <v>41</v>
      </c>
      <c r="E37" t="s">
        <v>24</v>
      </c>
      <c r="F37">
        <v>27</v>
      </c>
      <c r="G37">
        <v>11965</v>
      </c>
      <c r="H37">
        <v>12</v>
      </c>
      <c r="I37">
        <v>4</v>
      </c>
      <c r="J37" t="s">
        <v>20</v>
      </c>
      <c r="K37" t="s">
        <v>27</v>
      </c>
      <c r="L37" t="s">
        <v>39</v>
      </c>
    </row>
    <row r="38" spans="1:12" x14ac:dyDescent="0.25">
      <c r="A38">
        <v>37</v>
      </c>
      <c r="B38" s="1">
        <v>40706</v>
      </c>
      <c r="C38" t="s">
        <v>18</v>
      </c>
      <c r="D38" t="s">
        <v>19</v>
      </c>
      <c r="E38" t="s">
        <v>14</v>
      </c>
      <c r="F38">
        <v>30</v>
      </c>
      <c r="G38">
        <v>5323</v>
      </c>
      <c r="H38">
        <v>1</v>
      </c>
      <c r="I38">
        <v>4</v>
      </c>
      <c r="J38" t="s">
        <v>20</v>
      </c>
      <c r="K38" t="s">
        <v>16</v>
      </c>
      <c r="L38" t="s">
        <v>17</v>
      </c>
    </row>
    <row r="39" spans="1:12" x14ac:dyDescent="0.25">
      <c r="A39">
        <v>38</v>
      </c>
      <c r="B39" s="1">
        <v>43788</v>
      </c>
      <c r="C39" t="s">
        <v>22</v>
      </c>
      <c r="D39" t="s">
        <v>23</v>
      </c>
      <c r="E39" t="s">
        <v>14</v>
      </c>
      <c r="F39">
        <v>30</v>
      </c>
      <c r="G39">
        <v>13882</v>
      </c>
      <c r="H39">
        <v>13</v>
      </c>
      <c r="I39">
        <v>4</v>
      </c>
      <c r="J39" t="s">
        <v>15</v>
      </c>
      <c r="K39" t="s">
        <v>27</v>
      </c>
      <c r="L39" t="s">
        <v>25</v>
      </c>
    </row>
    <row r="40" spans="1:12" x14ac:dyDescent="0.25">
      <c r="A40">
        <v>39</v>
      </c>
      <c r="B40" s="1">
        <v>42362</v>
      </c>
      <c r="C40" t="s">
        <v>30</v>
      </c>
      <c r="D40" t="s">
        <v>31</v>
      </c>
      <c r="E40" t="s">
        <v>24</v>
      </c>
      <c r="F40">
        <v>37</v>
      </c>
      <c r="G40">
        <v>8738</v>
      </c>
      <c r="H40">
        <v>4</v>
      </c>
      <c r="I40">
        <v>5</v>
      </c>
      <c r="J40" t="s">
        <v>20</v>
      </c>
      <c r="K40" t="s">
        <v>27</v>
      </c>
      <c r="L40" t="s">
        <v>21</v>
      </c>
    </row>
    <row r="41" spans="1:12" x14ac:dyDescent="0.25">
      <c r="A41">
        <v>40</v>
      </c>
      <c r="B41" s="1">
        <v>44252</v>
      </c>
      <c r="C41" t="s">
        <v>36</v>
      </c>
      <c r="D41" t="s">
        <v>37</v>
      </c>
      <c r="E41" t="s">
        <v>14</v>
      </c>
      <c r="F41">
        <v>58</v>
      </c>
      <c r="G41">
        <v>5742</v>
      </c>
      <c r="H41">
        <v>6</v>
      </c>
      <c r="I41">
        <v>5</v>
      </c>
      <c r="J41" t="s">
        <v>15</v>
      </c>
      <c r="K41" t="s">
        <v>16</v>
      </c>
      <c r="L41" t="s">
        <v>17</v>
      </c>
    </row>
    <row r="42" spans="1:12" x14ac:dyDescent="0.25">
      <c r="A42">
        <v>41</v>
      </c>
      <c r="B42" s="1">
        <v>43587</v>
      </c>
      <c r="C42" t="s">
        <v>28</v>
      </c>
      <c r="D42" t="s">
        <v>29</v>
      </c>
      <c r="E42" t="s">
        <v>14</v>
      </c>
      <c r="F42">
        <v>27</v>
      </c>
      <c r="G42">
        <v>15101</v>
      </c>
      <c r="H42">
        <v>5</v>
      </c>
      <c r="I42">
        <v>2</v>
      </c>
      <c r="J42" t="s">
        <v>20</v>
      </c>
      <c r="K42" t="s">
        <v>27</v>
      </c>
      <c r="L42" t="s">
        <v>21</v>
      </c>
    </row>
    <row r="43" spans="1:12" x14ac:dyDescent="0.25">
      <c r="A43">
        <v>42</v>
      </c>
      <c r="B43" s="1">
        <v>43304</v>
      </c>
      <c r="C43" t="s">
        <v>36</v>
      </c>
      <c r="D43" t="s">
        <v>37</v>
      </c>
      <c r="E43" t="s">
        <v>14</v>
      </c>
      <c r="F43">
        <v>26</v>
      </c>
      <c r="G43">
        <v>7734</v>
      </c>
      <c r="H43">
        <v>1</v>
      </c>
      <c r="I43">
        <v>1</v>
      </c>
      <c r="J43" t="s">
        <v>15</v>
      </c>
      <c r="K43" t="s">
        <v>32</v>
      </c>
      <c r="L43" t="s">
        <v>39</v>
      </c>
    </row>
    <row r="44" spans="1:12" x14ac:dyDescent="0.25">
      <c r="A44">
        <v>43</v>
      </c>
      <c r="B44" s="1">
        <v>45024</v>
      </c>
      <c r="C44" t="s">
        <v>30</v>
      </c>
      <c r="D44" t="s">
        <v>38</v>
      </c>
      <c r="E44" t="s">
        <v>14</v>
      </c>
      <c r="F44">
        <v>44</v>
      </c>
      <c r="G44">
        <v>4778</v>
      </c>
      <c r="H44">
        <v>1</v>
      </c>
      <c r="I44">
        <v>5</v>
      </c>
      <c r="J44" t="s">
        <v>15</v>
      </c>
      <c r="K44" t="s">
        <v>27</v>
      </c>
      <c r="L44" t="s">
        <v>17</v>
      </c>
    </row>
    <row r="45" spans="1:12" x14ac:dyDescent="0.25">
      <c r="A45">
        <v>44</v>
      </c>
      <c r="B45" s="1">
        <v>43027</v>
      </c>
      <c r="C45" t="s">
        <v>12</v>
      </c>
      <c r="D45" t="s">
        <v>13</v>
      </c>
      <c r="E45" t="s">
        <v>14</v>
      </c>
      <c r="F45">
        <v>33</v>
      </c>
      <c r="G45">
        <v>11636</v>
      </c>
      <c r="H45">
        <v>0</v>
      </c>
      <c r="I45">
        <v>4</v>
      </c>
      <c r="J45" t="s">
        <v>20</v>
      </c>
      <c r="K45" t="s">
        <v>16</v>
      </c>
      <c r="L45" t="s">
        <v>39</v>
      </c>
    </row>
    <row r="46" spans="1:12" x14ac:dyDescent="0.25">
      <c r="A46">
        <v>45</v>
      </c>
      <c r="B46" s="1">
        <v>44051</v>
      </c>
      <c r="C46" t="s">
        <v>30</v>
      </c>
      <c r="D46" t="s">
        <v>31</v>
      </c>
      <c r="E46" t="s">
        <v>24</v>
      </c>
      <c r="F46">
        <v>41</v>
      </c>
      <c r="G46">
        <v>14874</v>
      </c>
      <c r="H46">
        <v>9</v>
      </c>
      <c r="I46">
        <v>5</v>
      </c>
      <c r="J46" t="s">
        <v>15</v>
      </c>
      <c r="K46" t="s">
        <v>27</v>
      </c>
      <c r="L46" t="s">
        <v>34</v>
      </c>
    </row>
    <row r="47" spans="1:12" x14ac:dyDescent="0.25">
      <c r="A47">
        <v>46</v>
      </c>
      <c r="B47" s="1">
        <v>44158</v>
      </c>
      <c r="C47" t="s">
        <v>36</v>
      </c>
      <c r="D47" t="s">
        <v>37</v>
      </c>
      <c r="E47" t="s">
        <v>24</v>
      </c>
      <c r="F47">
        <v>28</v>
      </c>
      <c r="G47">
        <v>16433</v>
      </c>
      <c r="H47">
        <v>12</v>
      </c>
      <c r="I47">
        <v>5</v>
      </c>
      <c r="J47" t="s">
        <v>15</v>
      </c>
      <c r="K47" t="s">
        <v>16</v>
      </c>
      <c r="L47" t="s">
        <v>39</v>
      </c>
    </row>
    <row r="48" spans="1:12" x14ac:dyDescent="0.25">
      <c r="A48">
        <v>47</v>
      </c>
      <c r="B48" s="1">
        <v>42417</v>
      </c>
      <c r="C48" t="s">
        <v>36</v>
      </c>
      <c r="D48" t="s">
        <v>42</v>
      </c>
      <c r="E48" t="s">
        <v>14</v>
      </c>
      <c r="F48">
        <v>23</v>
      </c>
      <c r="G48">
        <v>16048</v>
      </c>
      <c r="H48">
        <v>6</v>
      </c>
      <c r="I48">
        <v>4</v>
      </c>
      <c r="J48" t="s">
        <v>15</v>
      </c>
      <c r="K48" t="s">
        <v>16</v>
      </c>
      <c r="L48" t="s">
        <v>34</v>
      </c>
    </row>
    <row r="49" spans="1:12" x14ac:dyDescent="0.25">
      <c r="A49">
        <v>48</v>
      </c>
      <c r="B49" s="1">
        <v>42611</v>
      </c>
      <c r="C49" t="s">
        <v>12</v>
      </c>
      <c r="D49" t="s">
        <v>13</v>
      </c>
      <c r="E49" t="s">
        <v>14</v>
      </c>
      <c r="F49">
        <v>50</v>
      </c>
      <c r="G49">
        <v>12469</v>
      </c>
      <c r="H49">
        <v>4</v>
      </c>
      <c r="I49">
        <v>3</v>
      </c>
      <c r="J49" t="s">
        <v>20</v>
      </c>
      <c r="K49" t="s">
        <v>27</v>
      </c>
      <c r="L49" t="s">
        <v>34</v>
      </c>
    </row>
    <row r="50" spans="1:12" x14ac:dyDescent="0.25">
      <c r="A50">
        <v>49</v>
      </c>
      <c r="B50" s="1">
        <v>43441</v>
      </c>
      <c r="C50" t="s">
        <v>30</v>
      </c>
      <c r="D50" t="s">
        <v>38</v>
      </c>
      <c r="E50" t="s">
        <v>24</v>
      </c>
      <c r="F50">
        <v>53</v>
      </c>
      <c r="G50">
        <v>11772</v>
      </c>
      <c r="H50">
        <v>11</v>
      </c>
      <c r="I50">
        <v>4</v>
      </c>
      <c r="J50" t="s">
        <v>20</v>
      </c>
      <c r="K50" t="s">
        <v>32</v>
      </c>
      <c r="L50" t="s">
        <v>25</v>
      </c>
    </row>
    <row r="51" spans="1:12" x14ac:dyDescent="0.25">
      <c r="A51">
        <v>50</v>
      </c>
      <c r="B51" s="1">
        <v>42226</v>
      </c>
      <c r="C51" t="s">
        <v>18</v>
      </c>
      <c r="D51" t="s">
        <v>26</v>
      </c>
      <c r="E51" t="s">
        <v>14</v>
      </c>
      <c r="F51">
        <v>57</v>
      </c>
      <c r="G51">
        <v>15419</v>
      </c>
      <c r="H51">
        <v>14</v>
      </c>
      <c r="I51">
        <v>1</v>
      </c>
      <c r="J51" t="s">
        <v>20</v>
      </c>
      <c r="K51" t="s">
        <v>27</v>
      </c>
      <c r="L51" t="s">
        <v>21</v>
      </c>
    </row>
    <row r="52" spans="1:12" x14ac:dyDescent="0.25">
      <c r="A52">
        <v>51</v>
      </c>
      <c r="B52" s="1">
        <v>44401</v>
      </c>
      <c r="C52" t="s">
        <v>12</v>
      </c>
      <c r="D52" t="s">
        <v>13</v>
      </c>
      <c r="E52" t="s">
        <v>24</v>
      </c>
      <c r="F52">
        <v>28</v>
      </c>
      <c r="G52">
        <v>19918</v>
      </c>
      <c r="H52">
        <v>3</v>
      </c>
      <c r="I52">
        <v>1</v>
      </c>
      <c r="J52" t="s">
        <v>20</v>
      </c>
      <c r="K52" t="s">
        <v>27</v>
      </c>
      <c r="L52" t="s">
        <v>34</v>
      </c>
    </row>
    <row r="53" spans="1:12" x14ac:dyDescent="0.25">
      <c r="A53">
        <v>52</v>
      </c>
      <c r="B53" s="1">
        <v>41615</v>
      </c>
      <c r="C53" t="s">
        <v>30</v>
      </c>
      <c r="D53" t="s">
        <v>31</v>
      </c>
      <c r="E53" t="s">
        <v>14</v>
      </c>
      <c r="F53">
        <v>33</v>
      </c>
      <c r="G53">
        <v>4153</v>
      </c>
      <c r="H53">
        <v>13</v>
      </c>
      <c r="I53">
        <v>1</v>
      </c>
      <c r="J53" t="s">
        <v>20</v>
      </c>
      <c r="K53" t="s">
        <v>27</v>
      </c>
      <c r="L53" t="s">
        <v>34</v>
      </c>
    </row>
    <row r="54" spans="1:12" x14ac:dyDescent="0.25">
      <c r="A54">
        <v>53</v>
      </c>
      <c r="B54" s="1">
        <v>44801</v>
      </c>
      <c r="C54" t="s">
        <v>36</v>
      </c>
      <c r="D54" t="s">
        <v>40</v>
      </c>
      <c r="E54" t="s">
        <v>24</v>
      </c>
      <c r="F54">
        <v>45</v>
      </c>
      <c r="G54">
        <v>12063</v>
      </c>
      <c r="H54">
        <v>7</v>
      </c>
      <c r="I54">
        <v>1</v>
      </c>
      <c r="J54" t="s">
        <v>20</v>
      </c>
      <c r="K54" t="s">
        <v>27</v>
      </c>
      <c r="L54" t="s">
        <v>39</v>
      </c>
    </row>
    <row r="55" spans="1:12" x14ac:dyDescent="0.25">
      <c r="A55">
        <v>54</v>
      </c>
      <c r="B55" s="1">
        <v>42727</v>
      </c>
      <c r="C55" t="s">
        <v>36</v>
      </c>
      <c r="D55" t="s">
        <v>42</v>
      </c>
      <c r="E55" t="s">
        <v>14</v>
      </c>
      <c r="F55">
        <v>26</v>
      </c>
      <c r="G55">
        <v>16096</v>
      </c>
      <c r="H55">
        <v>4</v>
      </c>
      <c r="I55">
        <v>2</v>
      </c>
      <c r="J55" t="s">
        <v>15</v>
      </c>
      <c r="K55" t="s">
        <v>32</v>
      </c>
      <c r="L55" t="s">
        <v>25</v>
      </c>
    </row>
    <row r="56" spans="1:12" x14ac:dyDescent="0.25">
      <c r="A56">
        <v>55</v>
      </c>
      <c r="B56" s="1">
        <v>42551</v>
      </c>
      <c r="C56" t="s">
        <v>12</v>
      </c>
      <c r="D56" t="s">
        <v>41</v>
      </c>
      <c r="E56" t="s">
        <v>24</v>
      </c>
      <c r="F56">
        <v>54</v>
      </c>
      <c r="G56">
        <v>17684</v>
      </c>
      <c r="H56">
        <v>1</v>
      </c>
      <c r="I56">
        <v>2</v>
      </c>
      <c r="J56" t="s">
        <v>15</v>
      </c>
      <c r="K56" t="s">
        <v>16</v>
      </c>
      <c r="L56" t="s">
        <v>39</v>
      </c>
    </row>
    <row r="57" spans="1:12" x14ac:dyDescent="0.25">
      <c r="A57">
        <v>56</v>
      </c>
      <c r="B57" s="1">
        <v>40555</v>
      </c>
      <c r="C57" t="s">
        <v>12</v>
      </c>
      <c r="D57" t="s">
        <v>41</v>
      </c>
      <c r="E57" t="s">
        <v>14</v>
      </c>
      <c r="F57">
        <v>54</v>
      </c>
      <c r="G57">
        <v>12718</v>
      </c>
      <c r="H57">
        <v>15</v>
      </c>
      <c r="I57">
        <v>3</v>
      </c>
      <c r="J57" t="s">
        <v>15</v>
      </c>
      <c r="K57" t="s">
        <v>16</v>
      </c>
      <c r="L57" t="s">
        <v>25</v>
      </c>
    </row>
    <row r="58" spans="1:12" x14ac:dyDescent="0.25">
      <c r="A58">
        <v>57</v>
      </c>
      <c r="B58" s="1">
        <v>44510</v>
      </c>
      <c r="C58" t="s">
        <v>18</v>
      </c>
      <c r="D58" t="s">
        <v>26</v>
      </c>
      <c r="E58" t="s">
        <v>14</v>
      </c>
      <c r="F58">
        <v>25</v>
      </c>
      <c r="G58">
        <v>6016</v>
      </c>
      <c r="H58">
        <v>7</v>
      </c>
      <c r="I58">
        <v>3</v>
      </c>
      <c r="J58" t="s">
        <v>15</v>
      </c>
      <c r="K58" t="s">
        <v>16</v>
      </c>
      <c r="L58" t="s">
        <v>25</v>
      </c>
    </row>
    <row r="59" spans="1:12" x14ac:dyDescent="0.25">
      <c r="A59">
        <v>58</v>
      </c>
      <c r="B59" s="1">
        <v>43831</v>
      </c>
      <c r="C59" t="s">
        <v>18</v>
      </c>
      <c r="D59" t="s">
        <v>26</v>
      </c>
      <c r="E59" t="s">
        <v>14</v>
      </c>
      <c r="F59">
        <v>22</v>
      </c>
      <c r="G59">
        <v>10715</v>
      </c>
      <c r="H59">
        <v>11</v>
      </c>
      <c r="I59">
        <v>2</v>
      </c>
      <c r="J59" t="s">
        <v>15</v>
      </c>
      <c r="K59" t="s">
        <v>32</v>
      </c>
      <c r="L59" t="s">
        <v>39</v>
      </c>
    </row>
    <row r="60" spans="1:12" x14ac:dyDescent="0.25">
      <c r="A60">
        <v>59</v>
      </c>
      <c r="B60" s="1">
        <v>43202</v>
      </c>
      <c r="C60" t="s">
        <v>30</v>
      </c>
      <c r="D60" t="s">
        <v>31</v>
      </c>
      <c r="E60" t="s">
        <v>14</v>
      </c>
      <c r="F60">
        <v>45</v>
      </c>
      <c r="G60">
        <v>19436</v>
      </c>
      <c r="H60">
        <v>8</v>
      </c>
      <c r="I60">
        <v>1</v>
      </c>
      <c r="J60" t="s">
        <v>15</v>
      </c>
      <c r="K60" t="s">
        <v>32</v>
      </c>
      <c r="L60" t="s">
        <v>25</v>
      </c>
    </row>
    <row r="61" spans="1:12" x14ac:dyDescent="0.25">
      <c r="A61">
        <v>60</v>
      </c>
      <c r="B61" s="1">
        <v>41096</v>
      </c>
      <c r="C61" t="s">
        <v>28</v>
      </c>
      <c r="D61" t="s">
        <v>33</v>
      </c>
      <c r="E61" t="s">
        <v>14</v>
      </c>
      <c r="F61">
        <v>55</v>
      </c>
      <c r="G61">
        <v>5291</v>
      </c>
      <c r="H61">
        <v>4</v>
      </c>
      <c r="I61">
        <v>5</v>
      </c>
      <c r="J61" t="s">
        <v>15</v>
      </c>
      <c r="K61" t="s">
        <v>16</v>
      </c>
      <c r="L61" t="s">
        <v>21</v>
      </c>
    </row>
    <row r="62" spans="1:12" x14ac:dyDescent="0.25">
      <c r="A62">
        <v>61</v>
      </c>
      <c r="B62" s="1">
        <v>42749</v>
      </c>
      <c r="C62" t="s">
        <v>18</v>
      </c>
      <c r="D62" t="s">
        <v>26</v>
      </c>
      <c r="E62" t="s">
        <v>24</v>
      </c>
      <c r="F62">
        <v>25</v>
      </c>
      <c r="G62">
        <v>18870</v>
      </c>
      <c r="H62">
        <v>4</v>
      </c>
      <c r="I62">
        <v>3</v>
      </c>
      <c r="J62" t="s">
        <v>15</v>
      </c>
      <c r="K62" t="s">
        <v>32</v>
      </c>
      <c r="L62" t="s">
        <v>17</v>
      </c>
    </row>
    <row r="63" spans="1:12" x14ac:dyDescent="0.25">
      <c r="A63">
        <v>62</v>
      </c>
      <c r="B63" s="1">
        <v>43979</v>
      </c>
      <c r="C63" t="s">
        <v>18</v>
      </c>
      <c r="D63" t="s">
        <v>19</v>
      </c>
      <c r="E63" t="s">
        <v>24</v>
      </c>
      <c r="F63">
        <v>41</v>
      </c>
      <c r="G63">
        <v>7269</v>
      </c>
      <c r="H63">
        <v>0</v>
      </c>
      <c r="I63">
        <v>3</v>
      </c>
      <c r="J63" t="s">
        <v>15</v>
      </c>
      <c r="K63" t="s">
        <v>27</v>
      </c>
      <c r="L63" t="s">
        <v>21</v>
      </c>
    </row>
    <row r="64" spans="1:12" x14ac:dyDescent="0.25">
      <c r="A64">
        <v>63</v>
      </c>
      <c r="B64" s="1">
        <v>43519</v>
      </c>
      <c r="C64" t="s">
        <v>36</v>
      </c>
      <c r="D64" t="s">
        <v>37</v>
      </c>
      <c r="E64" t="s">
        <v>14</v>
      </c>
      <c r="F64">
        <v>34</v>
      </c>
      <c r="G64">
        <v>18683</v>
      </c>
      <c r="H64">
        <v>6</v>
      </c>
      <c r="I64">
        <v>5</v>
      </c>
      <c r="J64" t="s">
        <v>15</v>
      </c>
      <c r="K64" t="s">
        <v>27</v>
      </c>
      <c r="L64" t="s">
        <v>17</v>
      </c>
    </row>
    <row r="65" spans="1:12" x14ac:dyDescent="0.25">
      <c r="A65">
        <v>64</v>
      </c>
      <c r="B65" s="1">
        <v>44161</v>
      </c>
      <c r="C65" t="s">
        <v>30</v>
      </c>
      <c r="D65" t="s">
        <v>31</v>
      </c>
      <c r="E65" t="s">
        <v>24</v>
      </c>
      <c r="F65">
        <v>37</v>
      </c>
      <c r="G65">
        <v>16402</v>
      </c>
      <c r="H65">
        <v>5</v>
      </c>
      <c r="I65">
        <v>4</v>
      </c>
      <c r="J65" t="s">
        <v>20</v>
      </c>
      <c r="K65" t="s">
        <v>27</v>
      </c>
      <c r="L65" t="s">
        <v>17</v>
      </c>
    </row>
    <row r="66" spans="1:12" x14ac:dyDescent="0.25">
      <c r="A66">
        <v>65</v>
      </c>
      <c r="B66" s="1">
        <v>44041</v>
      </c>
      <c r="C66" t="s">
        <v>22</v>
      </c>
      <c r="D66" t="s">
        <v>23</v>
      </c>
      <c r="E66" t="s">
        <v>14</v>
      </c>
      <c r="F66">
        <v>28</v>
      </c>
      <c r="G66">
        <v>17265</v>
      </c>
      <c r="H66">
        <v>0</v>
      </c>
      <c r="I66">
        <v>2</v>
      </c>
      <c r="J66" t="s">
        <v>20</v>
      </c>
      <c r="K66" t="s">
        <v>16</v>
      </c>
      <c r="L66" t="s">
        <v>21</v>
      </c>
    </row>
    <row r="67" spans="1:12" x14ac:dyDescent="0.25">
      <c r="A67">
        <v>66</v>
      </c>
      <c r="B67" s="1">
        <v>45081</v>
      </c>
      <c r="C67" t="s">
        <v>30</v>
      </c>
      <c r="D67" t="s">
        <v>38</v>
      </c>
      <c r="E67" t="s">
        <v>14</v>
      </c>
      <c r="F67">
        <v>38</v>
      </c>
      <c r="G67">
        <v>6054</v>
      </c>
      <c r="H67">
        <v>8</v>
      </c>
      <c r="I67">
        <v>3</v>
      </c>
      <c r="J67" t="s">
        <v>15</v>
      </c>
      <c r="K67" t="s">
        <v>27</v>
      </c>
      <c r="L67" t="s">
        <v>17</v>
      </c>
    </row>
    <row r="68" spans="1:12" x14ac:dyDescent="0.25">
      <c r="A68">
        <v>67</v>
      </c>
      <c r="B68" s="1">
        <v>45091</v>
      </c>
      <c r="C68" t="s">
        <v>12</v>
      </c>
      <c r="D68" t="s">
        <v>41</v>
      </c>
      <c r="E68" t="s">
        <v>24</v>
      </c>
      <c r="F68">
        <v>32</v>
      </c>
      <c r="G68">
        <v>10689</v>
      </c>
      <c r="H68">
        <v>3</v>
      </c>
      <c r="I68">
        <v>2</v>
      </c>
      <c r="J68" t="s">
        <v>15</v>
      </c>
      <c r="K68" t="s">
        <v>32</v>
      </c>
      <c r="L68" t="s">
        <v>25</v>
      </c>
    </row>
    <row r="69" spans="1:12" x14ac:dyDescent="0.25">
      <c r="A69">
        <v>68</v>
      </c>
      <c r="B69" s="1">
        <v>43667</v>
      </c>
      <c r="C69" t="s">
        <v>28</v>
      </c>
      <c r="D69" t="s">
        <v>33</v>
      </c>
      <c r="E69" t="s">
        <v>14</v>
      </c>
      <c r="F69">
        <v>34</v>
      </c>
      <c r="G69">
        <v>9058</v>
      </c>
      <c r="H69">
        <v>8</v>
      </c>
      <c r="I69">
        <v>1</v>
      </c>
      <c r="J69" t="s">
        <v>20</v>
      </c>
      <c r="K69" t="s">
        <v>32</v>
      </c>
      <c r="L69" t="s">
        <v>17</v>
      </c>
    </row>
    <row r="70" spans="1:12" x14ac:dyDescent="0.25">
      <c r="A70">
        <v>69</v>
      </c>
      <c r="B70" s="1">
        <v>42130</v>
      </c>
      <c r="C70" t="s">
        <v>28</v>
      </c>
      <c r="D70" t="s">
        <v>33</v>
      </c>
      <c r="E70" t="s">
        <v>14</v>
      </c>
      <c r="F70">
        <v>47</v>
      </c>
      <c r="G70">
        <v>6396</v>
      </c>
      <c r="H70">
        <v>3</v>
      </c>
      <c r="I70">
        <v>4</v>
      </c>
      <c r="J70" t="s">
        <v>15</v>
      </c>
      <c r="K70" t="s">
        <v>16</v>
      </c>
      <c r="L70" t="s">
        <v>17</v>
      </c>
    </row>
    <row r="71" spans="1:12" x14ac:dyDescent="0.25">
      <c r="A71">
        <v>70</v>
      </c>
      <c r="B71" s="1">
        <v>44657</v>
      </c>
      <c r="C71" t="s">
        <v>28</v>
      </c>
      <c r="D71" t="s">
        <v>29</v>
      </c>
      <c r="E71" t="s">
        <v>14</v>
      </c>
      <c r="F71">
        <v>33</v>
      </c>
      <c r="G71">
        <v>7268</v>
      </c>
      <c r="H71">
        <v>5</v>
      </c>
      <c r="I71">
        <v>1</v>
      </c>
      <c r="J71" t="s">
        <v>15</v>
      </c>
      <c r="K71" t="s">
        <v>32</v>
      </c>
      <c r="L71" t="s">
        <v>39</v>
      </c>
    </row>
    <row r="72" spans="1:12" x14ac:dyDescent="0.25">
      <c r="A72">
        <v>71</v>
      </c>
      <c r="B72" s="1">
        <v>42195</v>
      </c>
      <c r="C72" t="s">
        <v>12</v>
      </c>
      <c r="D72" t="s">
        <v>41</v>
      </c>
      <c r="E72" t="s">
        <v>24</v>
      </c>
      <c r="F72">
        <v>48</v>
      </c>
      <c r="G72">
        <v>6680</v>
      </c>
      <c r="H72">
        <v>2</v>
      </c>
      <c r="I72">
        <v>3</v>
      </c>
      <c r="J72" t="s">
        <v>15</v>
      </c>
      <c r="K72" t="s">
        <v>32</v>
      </c>
      <c r="L72" t="s">
        <v>21</v>
      </c>
    </row>
    <row r="73" spans="1:12" x14ac:dyDescent="0.25">
      <c r="A73">
        <v>72</v>
      </c>
      <c r="B73" s="1">
        <v>41628</v>
      </c>
      <c r="C73" t="s">
        <v>22</v>
      </c>
      <c r="D73" t="s">
        <v>35</v>
      </c>
      <c r="E73" t="s">
        <v>14</v>
      </c>
      <c r="F73">
        <v>23</v>
      </c>
      <c r="G73">
        <v>17474</v>
      </c>
      <c r="H73">
        <v>12</v>
      </c>
      <c r="I73">
        <v>5</v>
      </c>
      <c r="J73" t="s">
        <v>20</v>
      </c>
      <c r="K73" t="s">
        <v>27</v>
      </c>
      <c r="L73" t="s">
        <v>39</v>
      </c>
    </row>
    <row r="74" spans="1:12" x14ac:dyDescent="0.25">
      <c r="A74">
        <v>73</v>
      </c>
      <c r="B74" s="1">
        <v>44486</v>
      </c>
      <c r="C74" t="s">
        <v>22</v>
      </c>
      <c r="D74" t="s">
        <v>23</v>
      </c>
      <c r="E74" t="s">
        <v>24</v>
      </c>
      <c r="F74">
        <v>45</v>
      </c>
      <c r="G74">
        <v>7291</v>
      </c>
      <c r="H74">
        <v>2</v>
      </c>
      <c r="I74">
        <v>3</v>
      </c>
      <c r="J74" t="s">
        <v>20</v>
      </c>
      <c r="K74" t="s">
        <v>27</v>
      </c>
      <c r="L74" t="s">
        <v>39</v>
      </c>
    </row>
    <row r="75" spans="1:12" x14ac:dyDescent="0.25">
      <c r="A75">
        <v>74</v>
      </c>
      <c r="B75" s="1">
        <v>41422</v>
      </c>
      <c r="C75" t="s">
        <v>36</v>
      </c>
      <c r="D75" t="s">
        <v>40</v>
      </c>
      <c r="E75" t="s">
        <v>24</v>
      </c>
      <c r="F75">
        <v>57</v>
      </c>
      <c r="G75">
        <v>11608</v>
      </c>
      <c r="H75">
        <v>8</v>
      </c>
      <c r="I75">
        <v>2</v>
      </c>
      <c r="J75" t="s">
        <v>20</v>
      </c>
      <c r="K75" t="s">
        <v>16</v>
      </c>
      <c r="L75" t="s">
        <v>17</v>
      </c>
    </row>
    <row r="76" spans="1:12" x14ac:dyDescent="0.25">
      <c r="A76">
        <v>75</v>
      </c>
      <c r="B76" s="1">
        <v>44437</v>
      </c>
      <c r="C76" t="s">
        <v>30</v>
      </c>
      <c r="D76" t="s">
        <v>38</v>
      </c>
      <c r="E76" t="s">
        <v>24</v>
      </c>
      <c r="F76">
        <v>47</v>
      </c>
      <c r="G76">
        <v>5086</v>
      </c>
      <c r="H76">
        <v>5</v>
      </c>
      <c r="I76">
        <v>2</v>
      </c>
      <c r="J76" t="s">
        <v>20</v>
      </c>
      <c r="K76" t="s">
        <v>27</v>
      </c>
      <c r="L76" t="s">
        <v>21</v>
      </c>
    </row>
    <row r="77" spans="1:12" x14ac:dyDescent="0.25">
      <c r="A77">
        <v>76</v>
      </c>
      <c r="B77" s="1">
        <v>40762</v>
      </c>
      <c r="C77" t="s">
        <v>36</v>
      </c>
      <c r="D77" t="s">
        <v>40</v>
      </c>
      <c r="E77" t="s">
        <v>24</v>
      </c>
      <c r="F77">
        <v>52</v>
      </c>
      <c r="G77">
        <v>17987</v>
      </c>
      <c r="H77">
        <v>11</v>
      </c>
      <c r="I77">
        <v>3</v>
      </c>
      <c r="J77" t="s">
        <v>20</v>
      </c>
      <c r="K77" t="s">
        <v>16</v>
      </c>
      <c r="L77" t="s">
        <v>34</v>
      </c>
    </row>
    <row r="78" spans="1:12" x14ac:dyDescent="0.25">
      <c r="A78">
        <v>77</v>
      </c>
      <c r="B78" s="1">
        <v>42239</v>
      </c>
      <c r="C78" t="s">
        <v>18</v>
      </c>
      <c r="D78" t="s">
        <v>26</v>
      </c>
      <c r="E78" t="s">
        <v>24</v>
      </c>
      <c r="F78">
        <v>42</v>
      </c>
      <c r="G78">
        <v>4639</v>
      </c>
      <c r="H78">
        <v>0</v>
      </c>
      <c r="I78">
        <v>4</v>
      </c>
      <c r="J78" t="s">
        <v>20</v>
      </c>
      <c r="K78" t="s">
        <v>16</v>
      </c>
      <c r="L78" t="s">
        <v>17</v>
      </c>
    </row>
    <row r="79" spans="1:12" x14ac:dyDescent="0.25">
      <c r="A79">
        <v>78</v>
      </c>
      <c r="B79" s="1">
        <v>41730</v>
      </c>
      <c r="C79" t="s">
        <v>22</v>
      </c>
      <c r="D79" t="s">
        <v>23</v>
      </c>
      <c r="E79" t="s">
        <v>24</v>
      </c>
      <c r="F79">
        <v>23</v>
      </c>
      <c r="G79">
        <v>16916</v>
      </c>
      <c r="H79">
        <v>6</v>
      </c>
      <c r="I79">
        <v>2</v>
      </c>
      <c r="J79" t="s">
        <v>20</v>
      </c>
      <c r="K79" t="s">
        <v>27</v>
      </c>
      <c r="L79" t="s">
        <v>34</v>
      </c>
    </row>
    <row r="80" spans="1:12" x14ac:dyDescent="0.25">
      <c r="A80">
        <v>79</v>
      </c>
      <c r="B80" s="1">
        <v>40689</v>
      </c>
      <c r="C80" t="s">
        <v>30</v>
      </c>
      <c r="D80" t="s">
        <v>38</v>
      </c>
      <c r="E80" t="s">
        <v>24</v>
      </c>
      <c r="F80">
        <v>46</v>
      </c>
      <c r="G80">
        <v>13953</v>
      </c>
      <c r="H80">
        <v>7</v>
      </c>
      <c r="I80">
        <v>4</v>
      </c>
      <c r="J80" t="s">
        <v>15</v>
      </c>
      <c r="K80" t="s">
        <v>32</v>
      </c>
      <c r="L80" t="s">
        <v>17</v>
      </c>
    </row>
    <row r="81" spans="1:12" x14ac:dyDescent="0.25">
      <c r="A81">
        <v>80</v>
      </c>
      <c r="B81" s="1">
        <v>43684</v>
      </c>
      <c r="C81" t="s">
        <v>36</v>
      </c>
      <c r="D81" t="s">
        <v>37</v>
      </c>
      <c r="E81" t="s">
        <v>24</v>
      </c>
      <c r="F81">
        <v>36</v>
      </c>
      <c r="G81">
        <v>17768</v>
      </c>
      <c r="H81">
        <v>6</v>
      </c>
      <c r="I81">
        <v>2</v>
      </c>
      <c r="J81" t="s">
        <v>15</v>
      </c>
      <c r="K81" t="s">
        <v>27</v>
      </c>
      <c r="L81" t="s">
        <v>34</v>
      </c>
    </row>
    <row r="82" spans="1:12" x14ac:dyDescent="0.25">
      <c r="A82">
        <v>81</v>
      </c>
      <c r="B82" s="1">
        <v>40519</v>
      </c>
      <c r="C82" t="s">
        <v>28</v>
      </c>
      <c r="D82" t="s">
        <v>33</v>
      </c>
      <c r="E82" t="s">
        <v>24</v>
      </c>
      <c r="F82">
        <v>27</v>
      </c>
      <c r="G82">
        <v>8639</v>
      </c>
      <c r="H82">
        <v>1</v>
      </c>
      <c r="I82">
        <v>3</v>
      </c>
      <c r="J82" t="s">
        <v>15</v>
      </c>
      <c r="K82" t="s">
        <v>32</v>
      </c>
      <c r="L82" t="s">
        <v>25</v>
      </c>
    </row>
    <row r="83" spans="1:12" x14ac:dyDescent="0.25">
      <c r="A83">
        <v>82</v>
      </c>
      <c r="B83" s="1">
        <v>44448</v>
      </c>
      <c r="C83" t="s">
        <v>28</v>
      </c>
      <c r="D83" t="s">
        <v>29</v>
      </c>
      <c r="E83" t="s">
        <v>24</v>
      </c>
      <c r="F83">
        <v>45</v>
      </c>
      <c r="G83">
        <v>17468</v>
      </c>
      <c r="H83">
        <v>13</v>
      </c>
      <c r="I83">
        <v>4</v>
      </c>
      <c r="J83" t="s">
        <v>20</v>
      </c>
      <c r="K83" t="s">
        <v>27</v>
      </c>
      <c r="L83" t="s">
        <v>39</v>
      </c>
    </row>
    <row r="84" spans="1:12" x14ac:dyDescent="0.25">
      <c r="A84">
        <v>83</v>
      </c>
      <c r="B84" s="1">
        <v>40687</v>
      </c>
      <c r="C84" t="s">
        <v>18</v>
      </c>
      <c r="D84" t="s">
        <v>19</v>
      </c>
      <c r="E84" t="s">
        <v>24</v>
      </c>
      <c r="F84">
        <v>42</v>
      </c>
      <c r="G84">
        <v>6689</v>
      </c>
      <c r="H84">
        <v>13</v>
      </c>
      <c r="I84">
        <v>4</v>
      </c>
      <c r="J84" t="s">
        <v>20</v>
      </c>
      <c r="K84" t="s">
        <v>16</v>
      </c>
      <c r="L84" t="s">
        <v>25</v>
      </c>
    </row>
    <row r="85" spans="1:12" x14ac:dyDescent="0.25">
      <c r="A85">
        <v>84</v>
      </c>
      <c r="B85" s="1">
        <v>43222</v>
      </c>
      <c r="C85" t="s">
        <v>18</v>
      </c>
      <c r="D85" t="s">
        <v>19</v>
      </c>
      <c r="E85" t="s">
        <v>24</v>
      </c>
      <c r="F85">
        <v>58</v>
      </c>
      <c r="G85">
        <v>8586</v>
      </c>
      <c r="H85">
        <v>14</v>
      </c>
      <c r="I85">
        <v>4</v>
      </c>
      <c r="J85" t="s">
        <v>20</v>
      </c>
      <c r="K85" t="s">
        <v>27</v>
      </c>
      <c r="L85" t="s">
        <v>25</v>
      </c>
    </row>
    <row r="86" spans="1:12" x14ac:dyDescent="0.25">
      <c r="A86">
        <v>85</v>
      </c>
      <c r="B86" s="1">
        <v>42270</v>
      </c>
      <c r="C86" t="s">
        <v>30</v>
      </c>
      <c r="D86" t="s">
        <v>31</v>
      </c>
      <c r="E86" t="s">
        <v>14</v>
      </c>
      <c r="F86">
        <v>35</v>
      </c>
      <c r="G86">
        <v>4009</v>
      </c>
      <c r="H86">
        <v>13</v>
      </c>
      <c r="I86">
        <v>1</v>
      </c>
      <c r="J86" t="s">
        <v>15</v>
      </c>
      <c r="K86" t="s">
        <v>32</v>
      </c>
      <c r="L86" t="s">
        <v>17</v>
      </c>
    </row>
    <row r="87" spans="1:12" x14ac:dyDescent="0.25">
      <c r="A87">
        <v>86</v>
      </c>
      <c r="B87" s="1">
        <v>42282</v>
      </c>
      <c r="C87" t="s">
        <v>28</v>
      </c>
      <c r="D87" t="s">
        <v>33</v>
      </c>
      <c r="E87" t="s">
        <v>24</v>
      </c>
      <c r="F87">
        <v>49</v>
      </c>
      <c r="G87">
        <v>17447</v>
      </c>
      <c r="H87">
        <v>6</v>
      </c>
      <c r="I87">
        <v>1</v>
      </c>
      <c r="J87" t="s">
        <v>15</v>
      </c>
      <c r="K87" t="s">
        <v>16</v>
      </c>
      <c r="L87" t="s">
        <v>34</v>
      </c>
    </row>
    <row r="88" spans="1:12" x14ac:dyDescent="0.25">
      <c r="A88">
        <v>87</v>
      </c>
      <c r="B88" s="1">
        <v>43589</v>
      </c>
      <c r="C88" t="s">
        <v>30</v>
      </c>
      <c r="D88" t="s">
        <v>31</v>
      </c>
      <c r="E88" t="s">
        <v>24</v>
      </c>
      <c r="F88">
        <v>27</v>
      </c>
      <c r="G88">
        <v>4572</v>
      </c>
      <c r="H88">
        <v>14</v>
      </c>
      <c r="I88">
        <v>2</v>
      </c>
      <c r="J88" t="s">
        <v>20</v>
      </c>
      <c r="K88" t="s">
        <v>16</v>
      </c>
      <c r="L88" t="s">
        <v>34</v>
      </c>
    </row>
    <row r="89" spans="1:12" x14ac:dyDescent="0.25">
      <c r="A89">
        <v>88</v>
      </c>
      <c r="B89" s="1">
        <v>44524</v>
      </c>
      <c r="C89" t="s">
        <v>18</v>
      </c>
      <c r="D89" t="s">
        <v>19</v>
      </c>
      <c r="E89" t="s">
        <v>14</v>
      </c>
      <c r="F89">
        <v>46</v>
      </c>
      <c r="G89">
        <v>14937</v>
      </c>
      <c r="H89">
        <v>2</v>
      </c>
      <c r="I89">
        <v>1</v>
      </c>
      <c r="J89" t="s">
        <v>20</v>
      </c>
      <c r="K89" t="s">
        <v>16</v>
      </c>
      <c r="L89" t="s">
        <v>17</v>
      </c>
    </row>
    <row r="90" spans="1:12" x14ac:dyDescent="0.25">
      <c r="A90">
        <v>89</v>
      </c>
      <c r="B90" s="1">
        <v>44796</v>
      </c>
      <c r="C90" t="s">
        <v>18</v>
      </c>
      <c r="D90" t="s">
        <v>19</v>
      </c>
      <c r="E90" t="s">
        <v>14</v>
      </c>
      <c r="F90">
        <v>44</v>
      </c>
      <c r="G90">
        <v>8106</v>
      </c>
      <c r="H90">
        <v>7</v>
      </c>
      <c r="I90">
        <v>3</v>
      </c>
      <c r="J90" t="s">
        <v>15</v>
      </c>
      <c r="K90" t="s">
        <v>32</v>
      </c>
      <c r="L90" t="s">
        <v>34</v>
      </c>
    </row>
    <row r="91" spans="1:12" x14ac:dyDescent="0.25">
      <c r="A91">
        <v>90</v>
      </c>
      <c r="B91" s="1">
        <v>44082</v>
      </c>
      <c r="C91" t="s">
        <v>36</v>
      </c>
      <c r="D91" t="s">
        <v>37</v>
      </c>
      <c r="E91" t="s">
        <v>24</v>
      </c>
      <c r="F91">
        <v>43</v>
      </c>
      <c r="G91">
        <v>14979</v>
      </c>
      <c r="H91">
        <v>7</v>
      </c>
      <c r="I91">
        <v>1</v>
      </c>
      <c r="J91" t="s">
        <v>15</v>
      </c>
      <c r="K91" t="s">
        <v>16</v>
      </c>
      <c r="L91" t="s">
        <v>21</v>
      </c>
    </row>
    <row r="92" spans="1:12" x14ac:dyDescent="0.25">
      <c r="A92">
        <v>91</v>
      </c>
      <c r="B92" s="1">
        <v>43565</v>
      </c>
      <c r="C92" t="s">
        <v>22</v>
      </c>
      <c r="D92" t="s">
        <v>35</v>
      </c>
      <c r="E92" t="s">
        <v>14</v>
      </c>
      <c r="F92">
        <v>35</v>
      </c>
      <c r="G92">
        <v>11823</v>
      </c>
      <c r="H92">
        <v>7</v>
      </c>
      <c r="I92">
        <v>5</v>
      </c>
      <c r="J92" t="s">
        <v>20</v>
      </c>
      <c r="K92" t="s">
        <v>27</v>
      </c>
      <c r="L92" t="s">
        <v>39</v>
      </c>
    </row>
    <row r="93" spans="1:12" x14ac:dyDescent="0.25">
      <c r="A93">
        <v>92</v>
      </c>
      <c r="B93" s="1">
        <v>42469</v>
      </c>
      <c r="C93" t="s">
        <v>12</v>
      </c>
      <c r="D93" t="s">
        <v>41</v>
      </c>
      <c r="E93" t="s">
        <v>14</v>
      </c>
      <c r="F93">
        <v>38</v>
      </c>
      <c r="G93">
        <v>16396</v>
      </c>
      <c r="H93">
        <v>2</v>
      </c>
      <c r="I93">
        <v>2</v>
      </c>
      <c r="J93" t="s">
        <v>15</v>
      </c>
      <c r="K93" t="s">
        <v>16</v>
      </c>
      <c r="L93" t="s">
        <v>21</v>
      </c>
    </row>
    <row r="94" spans="1:12" x14ac:dyDescent="0.25">
      <c r="A94">
        <v>93</v>
      </c>
      <c r="B94" s="1">
        <v>40794</v>
      </c>
      <c r="C94" t="s">
        <v>12</v>
      </c>
      <c r="D94" t="s">
        <v>13</v>
      </c>
      <c r="E94" t="s">
        <v>24</v>
      </c>
      <c r="F94">
        <v>24</v>
      </c>
      <c r="G94">
        <v>14159</v>
      </c>
      <c r="H94">
        <v>2</v>
      </c>
      <c r="I94">
        <v>3</v>
      </c>
      <c r="J94" t="s">
        <v>20</v>
      </c>
      <c r="K94" t="s">
        <v>32</v>
      </c>
      <c r="L94" t="s">
        <v>17</v>
      </c>
    </row>
    <row r="95" spans="1:12" x14ac:dyDescent="0.25">
      <c r="A95">
        <v>94</v>
      </c>
      <c r="B95" s="1">
        <v>43921</v>
      </c>
      <c r="C95" t="s">
        <v>18</v>
      </c>
      <c r="D95" t="s">
        <v>19</v>
      </c>
      <c r="E95" t="s">
        <v>14</v>
      </c>
      <c r="F95">
        <v>60</v>
      </c>
      <c r="G95">
        <v>12069</v>
      </c>
      <c r="H95">
        <v>6</v>
      </c>
      <c r="I95">
        <v>1</v>
      </c>
      <c r="J95" t="s">
        <v>20</v>
      </c>
      <c r="K95" t="s">
        <v>27</v>
      </c>
      <c r="L95" t="s">
        <v>25</v>
      </c>
    </row>
    <row r="96" spans="1:12" x14ac:dyDescent="0.25">
      <c r="A96">
        <v>95</v>
      </c>
      <c r="B96" s="1">
        <v>41130</v>
      </c>
      <c r="C96" t="s">
        <v>30</v>
      </c>
      <c r="D96" t="s">
        <v>38</v>
      </c>
      <c r="E96" t="s">
        <v>24</v>
      </c>
      <c r="F96">
        <v>56</v>
      </c>
      <c r="G96">
        <v>4304</v>
      </c>
      <c r="H96">
        <v>13</v>
      </c>
      <c r="I96">
        <v>1</v>
      </c>
      <c r="J96" t="s">
        <v>15</v>
      </c>
      <c r="K96" t="s">
        <v>27</v>
      </c>
      <c r="L96" t="s">
        <v>39</v>
      </c>
    </row>
    <row r="97" spans="1:12" x14ac:dyDescent="0.25">
      <c r="A97">
        <v>96</v>
      </c>
      <c r="B97" s="1">
        <v>40313</v>
      </c>
      <c r="C97" t="s">
        <v>36</v>
      </c>
      <c r="D97" t="s">
        <v>37</v>
      </c>
      <c r="E97" t="s">
        <v>24</v>
      </c>
      <c r="F97">
        <v>33</v>
      </c>
      <c r="G97">
        <v>17893</v>
      </c>
      <c r="H97">
        <v>10</v>
      </c>
      <c r="I97">
        <v>2</v>
      </c>
      <c r="J97" t="s">
        <v>15</v>
      </c>
      <c r="K97" t="s">
        <v>32</v>
      </c>
      <c r="L97" t="s">
        <v>17</v>
      </c>
    </row>
    <row r="98" spans="1:12" x14ac:dyDescent="0.25">
      <c r="A98">
        <v>97</v>
      </c>
      <c r="B98" s="1">
        <v>42989</v>
      </c>
      <c r="C98" t="s">
        <v>22</v>
      </c>
      <c r="D98" t="s">
        <v>23</v>
      </c>
      <c r="E98" t="s">
        <v>24</v>
      </c>
      <c r="F98">
        <v>32</v>
      </c>
      <c r="G98">
        <v>19440</v>
      </c>
      <c r="H98">
        <v>10</v>
      </c>
      <c r="I98">
        <v>4</v>
      </c>
      <c r="J98" t="s">
        <v>20</v>
      </c>
      <c r="K98" t="s">
        <v>32</v>
      </c>
      <c r="L98" t="s">
        <v>21</v>
      </c>
    </row>
    <row r="99" spans="1:12" x14ac:dyDescent="0.25">
      <c r="A99">
        <v>98</v>
      </c>
      <c r="B99" s="1">
        <v>43220</v>
      </c>
      <c r="C99" t="s">
        <v>18</v>
      </c>
      <c r="D99" t="s">
        <v>26</v>
      </c>
      <c r="E99" t="s">
        <v>24</v>
      </c>
      <c r="F99">
        <v>28</v>
      </c>
      <c r="G99">
        <v>6435</v>
      </c>
      <c r="H99">
        <v>8</v>
      </c>
      <c r="I99">
        <v>5</v>
      </c>
      <c r="J99" t="s">
        <v>20</v>
      </c>
      <c r="K99" t="s">
        <v>16</v>
      </c>
      <c r="L99" t="s">
        <v>21</v>
      </c>
    </row>
    <row r="100" spans="1:12" x14ac:dyDescent="0.25">
      <c r="A100">
        <v>99</v>
      </c>
      <c r="B100" s="1">
        <v>44237</v>
      </c>
      <c r="C100" t="s">
        <v>28</v>
      </c>
      <c r="D100" t="s">
        <v>29</v>
      </c>
      <c r="E100" t="s">
        <v>24</v>
      </c>
      <c r="F100">
        <v>22</v>
      </c>
      <c r="G100">
        <v>16208</v>
      </c>
      <c r="H100">
        <v>0</v>
      </c>
      <c r="I100">
        <v>5</v>
      </c>
      <c r="J100" t="s">
        <v>20</v>
      </c>
      <c r="K100" t="s">
        <v>16</v>
      </c>
      <c r="L100" t="s">
        <v>21</v>
      </c>
    </row>
    <row r="101" spans="1:12" x14ac:dyDescent="0.25">
      <c r="A101">
        <v>100</v>
      </c>
      <c r="B101" s="1">
        <v>44393</v>
      </c>
      <c r="C101" t="s">
        <v>36</v>
      </c>
      <c r="D101" t="s">
        <v>42</v>
      </c>
      <c r="E101" t="s">
        <v>24</v>
      </c>
      <c r="F101">
        <v>35</v>
      </c>
      <c r="G101">
        <v>13671</v>
      </c>
      <c r="H101">
        <v>7</v>
      </c>
      <c r="I101">
        <v>2</v>
      </c>
      <c r="J101" t="s">
        <v>20</v>
      </c>
      <c r="K101" t="s">
        <v>27</v>
      </c>
      <c r="L101" t="s">
        <v>25</v>
      </c>
    </row>
    <row r="102" spans="1:12" x14ac:dyDescent="0.25">
      <c r="A102">
        <v>101</v>
      </c>
      <c r="B102" s="1">
        <v>41043</v>
      </c>
      <c r="C102" t="s">
        <v>18</v>
      </c>
      <c r="D102" t="s">
        <v>26</v>
      </c>
      <c r="E102" t="s">
        <v>24</v>
      </c>
      <c r="F102">
        <v>50</v>
      </c>
      <c r="G102">
        <v>4165</v>
      </c>
      <c r="H102">
        <v>4</v>
      </c>
      <c r="I102">
        <v>4</v>
      </c>
      <c r="J102" t="s">
        <v>20</v>
      </c>
      <c r="K102" t="s">
        <v>32</v>
      </c>
      <c r="L102" t="s">
        <v>25</v>
      </c>
    </row>
    <row r="103" spans="1:12" x14ac:dyDescent="0.25">
      <c r="A103">
        <v>102</v>
      </c>
      <c r="B103" s="1">
        <v>44496</v>
      </c>
      <c r="C103" t="s">
        <v>22</v>
      </c>
      <c r="D103" t="s">
        <v>35</v>
      </c>
      <c r="E103" t="s">
        <v>24</v>
      </c>
      <c r="F103">
        <v>28</v>
      </c>
      <c r="G103">
        <v>8739</v>
      </c>
      <c r="H103">
        <v>2</v>
      </c>
      <c r="I103">
        <v>2</v>
      </c>
      <c r="J103" t="s">
        <v>20</v>
      </c>
      <c r="K103" t="s">
        <v>27</v>
      </c>
      <c r="L103" t="s">
        <v>25</v>
      </c>
    </row>
    <row r="104" spans="1:12" x14ac:dyDescent="0.25">
      <c r="A104">
        <v>103</v>
      </c>
      <c r="B104" s="1">
        <v>41051</v>
      </c>
      <c r="C104" t="s">
        <v>18</v>
      </c>
      <c r="D104" t="s">
        <v>26</v>
      </c>
      <c r="E104" t="s">
        <v>14</v>
      </c>
      <c r="F104">
        <v>56</v>
      </c>
      <c r="G104">
        <v>9092</v>
      </c>
      <c r="H104">
        <v>11</v>
      </c>
      <c r="I104">
        <v>2</v>
      </c>
      <c r="J104" t="s">
        <v>15</v>
      </c>
      <c r="K104" t="s">
        <v>32</v>
      </c>
      <c r="L104" t="s">
        <v>34</v>
      </c>
    </row>
    <row r="105" spans="1:12" x14ac:dyDescent="0.25">
      <c r="A105">
        <v>104</v>
      </c>
      <c r="B105" s="1">
        <v>42650</v>
      </c>
      <c r="C105" t="s">
        <v>36</v>
      </c>
      <c r="D105" t="s">
        <v>37</v>
      </c>
      <c r="E105" t="s">
        <v>14</v>
      </c>
      <c r="F105">
        <v>48</v>
      </c>
      <c r="G105">
        <v>4013</v>
      </c>
      <c r="H105">
        <v>6</v>
      </c>
      <c r="I105">
        <v>2</v>
      </c>
      <c r="J105" t="s">
        <v>20</v>
      </c>
      <c r="K105" t="s">
        <v>32</v>
      </c>
      <c r="L105" t="s">
        <v>25</v>
      </c>
    </row>
    <row r="106" spans="1:12" x14ac:dyDescent="0.25">
      <c r="A106">
        <v>105</v>
      </c>
      <c r="B106" s="1">
        <v>40675</v>
      </c>
      <c r="C106" t="s">
        <v>12</v>
      </c>
      <c r="D106" t="s">
        <v>13</v>
      </c>
      <c r="E106" t="s">
        <v>14</v>
      </c>
      <c r="F106">
        <v>42</v>
      </c>
      <c r="G106">
        <v>5370</v>
      </c>
      <c r="H106">
        <v>9</v>
      </c>
      <c r="I106">
        <v>5</v>
      </c>
      <c r="J106" t="s">
        <v>15</v>
      </c>
      <c r="K106" t="s">
        <v>32</v>
      </c>
      <c r="L106" t="s">
        <v>39</v>
      </c>
    </row>
    <row r="107" spans="1:12" x14ac:dyDescent="0.25">
      <c r="A107">
        <v>106</v>
      </c>
      <c r="B107" s="1">
        <v>42919</v>
      </c>
      <c r="C107" t="s">
        <v>18</v>
      </c>
      <c r="D107" t="s">
        <v>19</v>
      </c>
      <c r="E107" t="s">
        <v>24</v>
      </c>
      <c r="F107">
        <v>47</v>
      </c>
      <c r="G107">
        <v>5436</v>
      </c>
      <c r="H107">
        <v>4</v>
      </c>
      <c r="I107">
        <v>4</v>
      </c>
      <c r="J107" t="s">
        <v>15</v>
      </c>
      <c r="K107" t="s">
        <v>32</v>
      </c>
      <c r="L107" t="s">
        <v>21</v>
      </c>
    </row>
    <row r="108" spans="1:12" x14ac:dyDescent="0.25">
      <c r="A108">
        <v>107</v>
      </c>
      <c r="B108" s="1">
        <v>45048</v>
      </c>
      <c r="C108" t="s">
        <v>18</v>
      </c>
      <c r="D108" t="s">
        <v>19</v>
      </c>
      <c r="E108" t="s">
        <v>14</v>
      </c>
      <c r="F108">
        <v>23</v>
      </c>
      <c r="G108">
        <v>4463</v>
      </c>
      <c r="H108">
        <v>7</v>
      </c>
      <c r="I108">
        <v>2</v>
      </c>
      <c r="J108" t="s">
        <v>20</v>
      </c>
      <c r="K108" t="s">
        <v>32</v>
      </c>
      <c r="L108" t="s">
        <v>39</v>
      </c>
    </row>
    <row r="109" spans="1:12" x14ac:dyDescent="0.25">
      <c r="A109">
        <v>108</v>
      </c>
      <c r="B109" s="1">
        <v>42197</v>
      </c>
      <c r="C109" t="s">
        <v>18</v>
      </c>
      <c r="D109" t="s">
        <v>26</v>
      </c>
      <c r="E109" t="s">
        <v>14</v>
      </c>
      <c r="F109">
        <v>60</v>
      </c>
      <c r="G109">
        <v>9428</v>
      </c>
      <c r="H109">
        <v>8</v>
      </c>
      <c r="I109">
        <v>5</v>
      </c>
      <c r="J109" t="s">
        <v>15</v>
      </c>
      <c r="K109" t="s">
        <v>27</v>
      </c>
      <c r="L109" t="s">
        <v>17</v>
      </c>
    </row>
    <row r="110" spans="1:12" x14ac:dyDescent="0.25">
      <c r="A110">
        <v>109</v>
      </c>
      <c r="B110" s="1">
        <v>45039</v>
      </c>
      <c r="C110" t="s">
        <v>28</v>
      </c>
      <c r="D110" t="s">
        <v>29</v>
      </c>
      <c r="E110" t="s">
        <v>24</v>
      </c>
      <c r="F110">
        <v>52</v>
      </c>
      <c r="G110">
        <v>8345</v>
      </c>
      <c r="H110">
        <v>8</v>
      </c>
      <c r="I110">
        <v>3</v>
      </c>
      <c r="J110" t="s">
        <v>15</v>
      </c>
      <c r="K110" t="s">
        <v>32</v>
      </c>
      <c r="L110" t="s">
        <v>25</v>
      </c>
    </row>
    <row r="111" spans="1:12" x14ac:dyDescent="0.25">
      <c r="A111">
        <v>110</v>
      </c>
      <c r="B111" s="1">
        <v>43278</v>
      </c>
      <c r="C111" t="s">
        <v>12</v>
      </c>
      <c r="D111" t="s">
        <v>13</v>
      </c>
      <c r="E111" t="s">
        <v>14</v>
      </c>
      <c r="F111">
        <v>44</v>
      </c>
      <c r="G111">
        <v>11736</v>
      </c>
      <c r="H111">
        <v>15</v>
      </c>
      <c r="I111">
        <v>4</v>
      </c>
      <c r="J111" t="s">
        <v>20</v>
      </c>
      <c r="K111" t="s">
        <v>27</v>
      </c>
      <c r="L111" t="s">
        <v>25</v>
      </c>
    </row>
    <row r="112" spans="1:12" x14ac:dyDescent="0.25">
      <c r="A112">
        <v>111</v>
      </c>
      <c r="B112" s="1">
        <v>44430</v>
      </c>
      <c r="C112" t="s">
        <v>30</v>
      </c>
      <c r="D112" t="s">
        <v>38</v>
      </c>
      <c r="E112" t="s">
        <v>14</v>
      </c>
      <c r="F112">
        <v>38</v>
      </c>
      <c r="G112">
        <v>17026</v>
      </c>
      <c r="H112">
        <v>11</v>
      </c>
      <c r="I112">
        <v>3</v>
      </c>
      <c r="J112" t="s">
        <v>20</v>
      </c>
      <c r="K112" t="s">
        <v>27</v>
      </c>
      <c r="L112" t="s">
        <v>21</v>
      </c>
    </row>
    <row r="113" spans="1:12" x14ac:dyDescent="0.25">
      <c r="A113">
        <v>112</v>
      </c>
      <c r="B113" s="1">
        <v>40642</v>
      </c>
      <c r="C113" t="s">
        <v>12</v>
      </c>
      <c r="D113" t="s">
        <v>13</v>
      </c>
      <c r="E113" t="s">
        <v>24</v>
      </c>
      <c r="F113">
        <v>43</v>
      </c>
      <c r="G113">
        <v>12957</v>
      </c>
      <c r="H113">
        <v>9</v>
      </c>
      <c r="I113">
        <v>2</v>
      </c>
      <c r="J113" t="s">
        <v>20</v>
      </c>
      <c r="K113" t="s">
        <v>32</v>
      </c>
      <c r="L113" t="s">
        <v>39</v>
      </c>
    </row>
    <row r="114" spans="1:12" x14ac:dyDescent="0.25">
      <c r="A114">
        <v>113</v>
      </c>
      <c r="B114" s="1">
        <v>40272</v>
      </c>
      <c r="C114" t="s">
        <v>18</v>
      </c>
      <c r="D114" t="s">
        <v>26</v>
      </c>
      <c r="E114" t="s">
        <v>14</v>
      </c>
      <c r="F114">
        <v>52</v>
      </c>
      <c r="G114">
        <v>19668</v>
      </c>
      <c r="H114">
        <v>2</v>
      </c>
      <c r="I114">
        <v>3</v>
      </c>
      <c r="J114" t="s">
        <v>20</v>
      </c>
      <c r="K114" t="s">
        <v>32</v>
      </c>
      <c r="L114" t="s">
        <v>34</v>
      </c>
    </row>
    <row r="115" spans="1:12" x14ac:dyDescent="0.25">
      <c r="A115">
        <v>114</v>
      </c>
      <c r="B115" s="1">
        <v>44607</v>
      </c>
      <c r="C115" t="s">
        <v>22</v>
      </c>
      <c r="D115" t="s">
        <v>23</v>
      </c>
      <c r="E115" t="s">
        <v>24</v>
      </c>
      <c r="F115">
        <v>44</v>
      </c>
      <c r="G115">
        <v>16327</v>
      </c>
      <c r="H115">
        <v>10</v>
      </c>
      <c r="I115">
        <v>2</v>
      </c>
      <c r="J115" t="s">
        <v>20</v>
      </c>
      <c r="K115" t="s">
        <v>27</v>
      </c>
      <c r="L115" t="s">
        <v>17</v>
      </c>
    </row>
    <row r="116" spans="1:12" x14ac:dyDescent="0.25">
      <c r="A116">
        <v>115</v>
      </c>
      <c r="B116" s="1">
        <v>40625</v>
      </c>
      <c r="C116" t="s">
        <v>18</v>
      </c>
      <c r="D116" t="s">
        <v>19</v>
      </c>
      <c r="E116" t="s">
        <v>24</v>
      </c>
      <c r="F116">
        <v>23</v>
      </c>
      <c r="G116">
        <v>4421</v>
      </c>
      <c r="H116">
        <v>4</v>
      </c>
      <c r="I116">
        <v>3</v>
      </c>
      <c r="J116" t="s">
        <v>15</v>
      </c>
      <c r="K116" t="s">
        <v>27</v>
      </c>
      <c r="L116" t="s">
        <v>39</v>
      </c>
    </row>
    <row r="117" spans="1:12" x14ac:dyDescent="0.25">
      <c r="A117">
        <v>116</v>
      </c>
      <c r="B117" s="1">
        <v>45118</v>
      </c>
      <c r="C117" t="s">
        <v>12</v>
      </c>
      <c r="D117" t="s">
        <v>13</v>
      </c>
      <c r="E117" t="s">
        <v>14</v>
      </c>
      <c r="F117">
        <v>43</v>
      </c>
      <c r="G117">
        <v>9502</v>
      </c>
      <c r="H117">
        <v>7</v>
      </c>
      <c r="I117">
        <v>1</v>
      </c>
      <c r="J117" t="s">
        <v>15</v>
      </c>
      <c r="K117" t="s">
        <v>16</v>
      </c>
      <c r="L117" t="s">
        <v>34</v>
      </c>
    </row>
    <row r="118" spans="1:12" x14ac:dyDescent="0.25">
      <c r="A118">
        <v>117</v>
      </c>
      <c r="B118" s="1">
        <v>41477</v>
      </c>
      <c r="C118" t="s">
        <v>12</v>
      </c>
      <c r="D118" t="s">
        <v>13</v>
      </c>
      <c r="E118" t="s">
        <v>14</v>
      </c>
      <c r="F118">
        <v>59</v>
      </c>
      <c r="G118">
        <v>17664</v>
      </c>
      <c r="H118">
        <v>14</v>
      </c>
      <c r="I118">
        <v>4</v>
      </c>
      <c r="J118" t="s">
        <v>20</v>
      </c>
      <c r="K118" t="s">
        <v>16</v>
      </c>
      <c r="L118" t="s">
        <v>25</v>
      </c>
    </row>
    <row r="119" spans="1:12" x14ac:dyDescent="0.25">
      <c r="A119">
        <v>118</v>
      </c>
      <c r="B119" s="1">
        <v>43624</v>
      </c>
      <c r="C119" t="s">
        <v>30</v>
      </c>
      <c r="D119" t="s">
        <v>31</v>
      </c>
      <c r="E119" t="s">
        <v>14</v>
      </c>
      <c r="F119">
        <v>39</v>
      </c>
      <c r="G119">
        <v>16040</v>
      </c>
      <c r="H119">
        <v>0</v>
      </c>
      <c r="I119">
        <v>1</v>
      </c>
      <c r="J119" t="s">
        <v>15</v>
      </c>
      <c r="K119" t="s">
        <v>32</v>
      </c>
      <c r="L119" t="s">
        <v>17</v>
      </c>
    </row>
    <row r="120" spans="1:12" x14ac:dyDescent="0.25">
      <c r="A120">
        <v>119</v>
      </c>
      <c r="B120" s="1">
        <v>41106</v>
      </c>
      <c r="C120" t="s">
        <v>36</v>
      </c>
      <c r="D120" t="s">
        <v>37</v>
      </c>
      <c r="E120" t="s">
        <v>24</v>
      </c>
      <c r="F120">
        <v>50</v>
      </c>
      <c r="G120">
        <v>10952</v>
      </c>
      <c r="H120">
        <v>6</v>
      </c>
      <c r="I120">
        <v>5</v>
      </c>
      <c r="J120" t="s">
        <v>20</v>
      </c>
      <c r="K120" t="s">
        <v>32</v>
      </c>
      <c r="L120" t="s">
        <v>39</v>
      </c>
    </row>
    <row r="121" spans="1:12" x14ac:dyDescent="0.25">
      <c r="A121">
        <v>120</v>
      </c>
      <c r="B121" s="1">
        <v>41840</v>
      </c>
      <c r="C121" t="s">
        <v>12</v>
      </c>
      <c r="D121" t="s">
        <v>13</v>
      </c>
      <c r="E121" t="s">
        <v>14</v>
      </c>
      <c r="F121">
        <v>23</v>
      </c>
      <c r="G121">
        <v>16765</v>
      </c>
      <c r="H121">
        <v>14</v>
      </c>
      <c r="I121">
        <v>3</v>
      </c>
      <c r="J121" t="s">
        <v>20</v>
      </c>
      <c r="K121" t="s">
        <v>27</v>
      </c>
      <c r="L121" t="s">
        <v>25</v>
      </c>
    </row>
    <row r="122" spans="1:12" x14ac:dyDescent="0.25">
      <c r="A122">
        <v>121</v>
      </c>
      <c r="B122" s="1">
        <v>40643</v>
      </c>
      <c r="C122" t="s">
        <v>18</v>
      </c>
      <c r="D122" t="s">
        <v>26</v>
      </c>
      <c r="E122" t="s">
        <v>24</v>
      </c>
      <c r="F122">
        <v>28</v>
      </c>
      <c r="G122">
        <v>8191</v>
      </c>
      <c r="H122">
        <v>14</v>
      </c>
      <c r="I122">
        <v>4</v>
      </c>
      <c r="J122" t="s">
        <v>15</v>
      </c>
      <c r="K122" t="s">
        <v>16</v>
      </c>
      <c r="L122" t="s">
        <v>25</v>
      </c>
    </row>
    <row r="123" spans="1:12" x14ac:dyDescent="0.25">
      <c r="A123">
        <v>122</v>
      </c>
      <c r="B123" s="1">
        <v>42697</v>
      </c>
      <c r="C123" t="s">
        <v>36</v>
      </c>
      <c r="D123" t="s">
        <v>37</v>
      </c>
      <c r="E123" t="s">
        <v>24</v>
      </c>
      <c r="F123">
        <v>49</v>
      </c>
      <c r="G123">
        <v>12471</v>
      </c>
      <c r="H123">
        <v>10</v>
      </c>
      <c r="I123">
        <v>3</v>
      </c>
      <c r="J123" t="s">
        <v>15</v>
      </c>
      <c r="K123" t="s">
        <v>16</v>
      </c>
      <c r="L123" t="s">
        <v>21</v>
      </c>
    </row>
    <row r="124" spans="1:12" x14ac:dyDescent="0.25">
      <c r="A124">
        <v>123</v>
      </c>
      <c r="B124" s="1">
        <v>44066</v>
      </c>
      <c r="C124" t="s">
        <v>18</v>
      </c>
      <c r="D124" t="s">
        <v>19</v>
      </c>
      <c r="E124" t="s">
        <v>14</v>
      </c>
      <c r="F124">
        <v>22</v>
      </c>
      <c r="G124">
        <v>6541</v>
      </c>
      <c r="H124">
        <v>14</v>
      </c>
      <c r="I124">
        <v>5</v>
      </c>
      <c r="J124" t="s">
        <v>20</v>
      </c>
      <c r="K124" t="s">
        <v>32</v>
      </c>
      <c r="L124" t="s">
        <v>34</v>
      </c>
    </row>
    <row r="125" spans="1:12" x14ac:dyDescent="0.25">
      <c r="A125">
        <v>124</v>
      </c>
      <c r="B125" s="1">
        <v>43817</v>
      </c>
      <c r="C125" t="s">
        <v>22</v>
      </c>
      <c r="D125" t="s">
        <v>35</v>
      </c>
      <c r="E125" t="s">
        <v>24</v>
      </c>
      <c r="F125">
        <v>22</v>
      </c>
      <c r="G125">
        <v>17819</v>
      </c>
      <c r="H125">
        <v>8</v>
      </c>
      <c r="I125">
        <v>3</v>
      </c>
      <c r="J125" t="s">
        <v>15</v>
      </c>
      <c r="K125" t="s">
        <v>16</v>
      </c>
      <c r="L125" t="s">
        <v>17</v>
      </c>
    </row>
    <row r="126" spans="1:12" x14ac:dyDescent="0.25">
      <c r="A126">
        <v>125</v>
      </c>
      <c r="B126" s="1">
        <v>44007</v>
      </c>
      <c r="C126" t="s">
        <v>22</v>
      </c>
      <c r="D126" t="s">
        <v>23</v>
      </c>
      <c r="E126" t="s">
        <v>24</v>
      </c>
      <c r="F126">
        <v>30</v>
      </c>
      <c r="G126">
        <v>11987</v>
      </c>
      <c r="H126">
        <v>5</v>
      </c>
      <c r="I126">
        <v>2</v>
      </c>
      <c r="J126" t="s">
        <v>20</v>
      </c>
      <c r="K126" t="s">
        <v>32</v>
      </c>
      <c r="L126" t="s">
        <v>39</v>
      </c>
    </row>
    <row r="127" spans="1:12" x14ac:dyDescent="0.25">
      <c r="A127">
        <v>126</v>
      </c>
      <c r="B127" s="1">
        <v>40800</v>
      </c>
      <c r="C127" t="s">
        <v>18</v>
      </c>
      <c r="D127" t="s">
        <v>26</v>
      </c>
      <c r="E127" t="s">
        <v>24</v>
      </c>
      <c r="F127">
        <v>60</v>
      </c>
      <c r="G127">
        <v>10297</v>
      </c>
      <c r="H127">
        <v>1</v>
      </c>
      <c r="I127">
        <v>4</v>
      </c>
      <c r="J127" t="s">
        <v>15</v>
      </c>
      <c r="K127" t="s">
        <v>16</v>
      </c>
      <c r="L127" t="s">
        <v>34</v>
      </c>
    </row>
    <row r="128" spans="1:12" x14ac:dyDescent="0.25">
      <c r="A128">
        <v>127</v>
      </c>
      <c r="B128" s="1">
        <v>40223</v>
      </c>
      <c r="C128" t="s">
        <v>30</v>
      </c>
      <c r="D128" t="s">
        <v>31</v>
      </c>
      <c r="E128" t="s">
        <v>14</v>
      </c>
      <c r="F128">
        <v>37</v>
      </c>
      <c r="G128">
        <v>19206</v>
      </c>
      <c r="H128">
        <v>14</v>
      </c>
      <c r="I128">
        <v>2</v>
      </c>
      <c r="J128" t="s">
        <v>15</v>
      </c>
      <c r="K128" t="s">
        <v>32</v>
      </c>
      <c r="L128" t="s">
        <v>25</v>
      </c>
    </row>
    <row r="129" spans="1:12" x14ac:dyDescent="0.25">
      <c r="A129">
        <v>128</v>
      </c>
      <c r="B129" s="1">
        <v>44367</v>
      </c>
      <c r="C129" t="s">
        <v>28</v>
      </c>
      <c r="D129" t="s">
        <v>33</v>
      </c>
      <c r="E129" t="s">
        <v>14</v>
      </c>
      <c r="F129">
        <v>25</v>
      </c>
      <c r="G129">
        <v>7068</v>
      </c>
      <c r="H129">
        <v>3</v>
      </c>
      <c r="I129">
        <v>1</v>
      </c>
      <c r="J129" t="s">
        <v>20</v>
      </c>
      <c r="K129" t="s">
        <v>27</v>
      </c>
      <c r="L129" t="s">
        <v>17</v>
      </c>
    </row>
    <row r="130" spans="1:12" x14ac:dyDescent="0.25">
      <c r="A130">
        <v>129</v>
      </c>
      <c r="B130" s="1">
        <v>43027</v>
      </c>
      <c r="C130" t="s">
        <v>22</v>
      </c>
      <c r="D130" t="s">
        <v>23</v>
      </c>
      <c r="E130" t="s">
        <v>24</v>
      </c>
      <c r="F130">
        <v>52</v>
      </c>
      <c r="G130">
        <v>17976</v>
      </c>
      <c r="H130">
        <v>9</v>
      </c>
      <c r="I130">
        <v>1</v>
      </c>
      <c r="J130" t="s">
        <v>20</v>
      </c>
      <c r="K130" t="s">
        <v>27</v>
      </c>
      <c r="L130" t="s">
        <v>25</v>
      </c>
    </row>
    <row r="131" spans="1:12" x14ac:dyDescent="0.25">
      <c r="A131">
        <v>130</v>
      </c>
      <c r="B131" s="1">
        <v>44348</v>
      </c>
      <c r="C131" t="s">
        <v>18</v>
      </c>
      <c r="D131" t="s">
        <v>19</v>
      </c>
      <c r="E131" t="s">
        <v>14</v>
      </c>
      <c r="F131">
        <v>24</v>
      </c>
      <c r="G131">
        <v>18541</v>
      </c>
      <c r="H131">
        <v>12</v>
      </c>
      <c r="I131">
        <v>4</v>
      </c>
      <c r="J131" t="s">
        <v>20</v>
      </c>
      <c r="K131" t="s">
        <v>27</v>
      </c>
      <c r="L131" t="s">
        <v>17</v>
      </c>
    </row>
    <row r="132" spans="1:12" x14ac:dyDescent="0.25">
      <c r="A132">
        <v>131</v>
      </c>
      <c r="B132" s="1">
        <v>40349</v>
      </c>
      <c r="C132" t="s">
        <v>36</v>
      </c>
      <c r="D132" t="s">
        <v>37</v>
      </c>
      <c r="E132" t="s">
        <v>24</v>
      </c>
      <c r="F132">
        <v>26</v>
      </c>
      <c r="G132">
        <v>4425</v>
      </c>
      <c r="H132">
        <v>9</v>
      </c>
      <c r="I132">
        <v>4</v>
      </c>
      <c r="J132" t="s">
        <v>20</v>
      </c>
      <c r="K132" t="s">
        <v>27</v>
      </c>
      <c r="L132" t="s">
        <v>25</v>
      </c>
    </row>
    <row r="133" spans="1:12" x14ac:dyDescent="0.25">
      <c r="A133">
        <v>132</v>
      </c>
      <c r="B133" s="1">
        <v>42258</v>
      </c>
      <c r="C133" t="s">
        <v>12</v>
      </c>
      <c r="D133" t="s">
        <v>41</v>
      </c>
      <c r="E133" t="s">
        <v>14</v>
      </c>
      <c r="F133">
        <v>59</v>
      </c>
      <c r="G133">
        <v>8160</v>
      </c>
      <c r="H133">
        <v>13</v>
      </c>
      <c r="I133">
        <v>1</v>
      </c>
      <c r="J133" t="s">
        <v>20</v>
      </c>
      <c r="K133" t="s">
        <v>16</v>
      </c>
      <c r="L133" t="s">
        <v>21</v>
      </c>
    </row>
    <row r="134" spans="1:12" x14ac:dyDescent="0.25">
      <c r="A134">
        <v>133</v>
      </c>
      <c r="B134" s="1">
        <v>43345</v>
      </c>
      <c r="C134" t="s">
        <v>28</v>
      </c>
      <c r="D134" t="s">
        <v>29</v>
      </c>
      <c r="E134" t="s">
        <v>14</v>
      </c>
      <c r="F134">
        <v>52</v>
      </c>
      <c r="G134">
        <v>9881</v>
      </c>
      <c r="H134">
        <v>12</v>
      </c>
      <c r="I134">
        <v>4</v>
      </c>
      <c r="J134" t="s">
        <v>20</v>
      </c>
      <c r="K134" t="s">
        <v>32</v>
      </c>
      <c r="L134" t="s">
        <v>17</v>
      </c>
    </row>
    <row r="135" spans="1:12" x14ac:dyDescent="0.25">
      <c r="A135">
        <v>134</v>
      </c>
      <c r="B135" s="1">
        <v>42038</v>
      </c>
      <c r="C135" t="s">
        <v>22</v>
      </c>
      <c r="D135" t="s">
        <v>35</v>
      </c>
      <c r="E135" t="s">
        <v>24</v>
      </c>
      <c r="F135">
        <v>53</v>
      </c>
      <c r="G135">
        <v>9130</v>
      </c>
      <c r="H135">
        <v>7</v>
      </c>
      <c r="I135">
        <v>5</v>
      </c>
      <c r="J135" t="s">
        <v>20</v>
      </c>
      <c r="K135" t="s">
        <v>27</v>
      </c>
      <c r="L135" t="s">
        <v>21</v>
      </c>
    </row>
    <row r="136" spans="1:12" x14ac:dyDescent="0.25">
      <c r="A136">
        <v>135</v>
      </c>
      <c r="B136" s="1">
        <v>42065</v>
      </c>
      <c r="C136" t="s">
        <v>36</v>
      </c>
      <c r="D136" t="s">
        <v>37</v>
      </c>
      <c r="E136" t="s">
        <v>24</v>
      </c>
      <c r="F136">
        <v>24</v>
      </c>
      <c r="G136">
        <v>17355</v>
      </c>
      <c r="H136">
        <v>10</v>
      </c>
      <c r="I136">
        <v>5</v>
      </c>
      <c r="J136" t="s">
        <v>20</v>
      </c>
      <c r="K136" t="s">
        <v>16</v>
      </c>
      <c r="L136" t="s">
        <v>39</v>
      </c>
    </row>
    <row r="137" spans="1:12" x14ac:dyDescent="0.25">
      <c r="A137">
        <v>136</v>
      </c>
      <c r="B137" s="1">
        <v>41456</v>
      </c>
      <c r="C137" t="s">
        <v>18</v>
      </c>
      <c r="D137" t="s">
        <v>19</v>
      </c>
      <c r="E137" t="s">
        <v>24</v>
      </c>
      <c r="F137">
        <v>51</v>
      </c>
      <c r="G137">
        <v>4966</v>
      </c>
      <c r="H137">
        <v>10</v>
      </c>
      <c r="I137">
        <v>3</v>
      </c>
      <c r="J137" t="s">
        <v>15</v>
      </c>
      <c r="K137" t="s">
        <v>27</v>
      </c>
      <c r="L137" t="s">
        <v>34</v>
      </c>
    </row>
    <row r="138" spans="1:12" x14ac:dyDescent="0.25">
      <c r="A138">
        <v>137</v>
      </c>
      <c r="B138" s="1">
        <v>42336</v>
      </c>
      <c r="C138" t="s">
        <v>18</v>
      </c>
      <c r="D138" t="s">
        <v>19</v>
      </c>
      <c r="E138" t="s">
        <v>14</v>
      </c>
      <c r="F138">
        <v>41</v>
      </c>
      <c r="G138">
        <v>7084</v>
      </c>
      <c r="H138">
        <v>5</v>
      </c>
      <c r="I138">
        <v>1</v>
      </c>
      <c r="J138" t="s">
        <v>20</v>
      </c>
      <c r="K138" t="s">
        <v>16</v>
      </c>
      <c r="L138" t="s">
        <v>21</v>
      </c>
    </row>
    <row r="139" spans="1:12" x14ac:dyDescent="0.25">
      <c r="A139">
        <v>138</v>
      </c>
      <c r="B139" s="1">
        <v>44143</v>
      </c>
      <c r="C139" t="s">
        <v>36</v>
      </c>
      <c r="D139" t="s">
        <v>40</v>
      </c>
      <c r="E139" t="s">
        <v>24</v>
      </c>
      <c r="F139">
        <v>57</v>
      </c>
      <c r="G139">
        <v>12768</v>
      </c>
      <c r="H139">
        <v>10</v>
      </c>
      <c r="I139">
        <v>1</v>
      </c>
      <c r="J139" t="s">
        <v>15</v>
      </c>
      <c r="K139" t="s">
        <v>27</v>
      </c>
      <c r="L139" t="s">
        <v>17</v>
      </c>
    </row>
    <row r="140" spans="1:12" x14ac:dyDescent="0.25">
      <c r="A140">
        <v>139</v>
      </c>
      <c r="B140" s="1">
        <v>42346</v>
      </c>
      <c r="C140" t="s">
        <v>18</v>
      </c>
      <c r="D140" t="s">
        <v>26</v>
      </c>
      <c r="E140" t="s">
        <v>24</v>
      </c>
      <c r="F140">
        <v>53</v>
      </c>
      <c r="G140">
        <v>13871</v>
      </c>
      <c r="H140">
        <v>1</v>
      </c>
      <c r="I140">
        <v>5</v>
      </c>
      <c r="J140" t="s">
        <v>20</v>
      </c>
      <c r="K140" t="s">
        <v>27</v>
      </c>
      <c r="L140" t="s">
        <v>34</v>
      </c>
    </row>
    <row r="141" spans="1:12" x14ac:dyDescent="0.25">
      <c r="A141">
        <v>140</v>
      </c>
      <c r="B141" s="1">
        <v>45056</v>
      </c>
      <c r="C141" t="s">
        <v>12</v>
      </c>
      <c r="D141" t="s">
        <v>13</v>
      </c>
      <c r="E141" t="s">
        <v>14</v>
      </c>
      <c r="F141">
        <v>31</v>
      </c>
      <c r="G141">
        <v>9724</v>
      </c>
      <c r="H141">
        <v>12</v>
      </c>
      <c r="I141">
        <v>2</v>
      </c>
      <c r="J141" t="s">
        <v>15</v>
      </c>
      <c r="K141" t="s">
        <v>16</v>
      </c>
      <c r="L141" t="s">
        <v>39</v>
      </c>
    </row>
    <row r="142" spans="1:12" x14ac:dyDescent="0.25">
      <c r="A142">
        <v>141</v>
      </c>
      <c r="B142" s="1">
        <v>44391</v>
      </c>
      <c r="C142" t="s">
        <v>30</v>
      </c>
      <c r="D142" t="s">
        <v>31</v>
      </c>
      <c r="E142" t="s">
        <v>14</v>
      </c>
      <c r="F142">
        <v>36</v>
      </c>
      <c r="G142">
        <v>17483</v>
      </c>
      <c r="H142">
        <v>14</v>
      </c>
      <c r="I142">
        <v>2</v>
      </c>
      <c r="J142" t="s">
        <v>15</v>
      </c>
      <c r="K142" t="s">
        <v>27</v>
      </c>
      <c r="L142" t="s">
        <v>34</v>
      </c>
    </row>
    <row r="143" spans="1:12" x14ac:dyDescent="0.25">
      <c r="A143">
        <v>142</v>
      </c>
      <c r="B143" s="1">
        <v>43568</v>
      </c>
      <c r="C143" t="s">
        <v>18</v>
      </c>
      <c r="D143" t="s">
        <v>26</v>
      </c>
      <c r="E143" t="s">
        <v>24</v>
      </c>
      <c r="F143">
        <v>56</v>
      </c>
      <c r="G143">
        <v>16902</v>
      </c>
      <c r="H143">
        <v>15</v>
      </c>
      <c r="I143">
        <v>1</v>
      </c>
      <c r="J143" t="s">
        <v>15</v>
      </c>
      <c r="K143" t="s">
        <v>32</v>
      </c>
      <c r="L143" t="s">
        <v>21</v>
      </c>
    </row>
    <row r="144" spans="1:12" x14ac:dyDescent="0.25">
      <c r="A144">
        <v>143</v>
      </c>
      <c r="B144" s="1">
        <v>44899</v>
      </c>
      <c r="C144" t="s">
        <v>36</v>
      </c>
      <c r="D144" t="s">
        <v>42</v>
      </c>
      <c r="E144" t="s">
        <v>24</v>
      </c>
      <c r="F144">
        <v>43</v>
      </c>
      <c r="G144">
        <v>17122</v>
      </c>
      <c r="H144">
        <v>12</v>
      </c>
      <c r="I144">
        <v>3</v>
      </c>
      <c r="J144" t="s">
        <v>20</v>
      </c>
      <c r="K144" t="s">
        <v>32</v>
      </c>
      <c r="L144" t="s">
        <v>39</v>
      </c>
    </row>
    <row r="145" spans="1:12" x14ac:dyDescent="0.25">
      <c r="A145">
        <v>144</v>
      </c>
      <c r="B145" s="1">
        <v>43864</v>
      </c>
      <c r="C145" t="s">
        <v>12</v>
      </c>
      <c r="D145" t="s">
        <v>41</v>
      </c>
      <c r="E145" t="s">
        <v>24</v>
      </c>
      <c r="F145">
        <v>24</v>
      </c>
      <c r="G145">
        <v>17264</v>
      </c>
      <c r="H145">
        <v>13</v>
      </c>
      <c r="I145">
        <v>2</v>
      </c>
      <c r="J145" t="s">
        <v>20</v>
      </c>
      <c r="K145" t="s">
        <v>32</v>
      </c>
      <c r="L145" t="s">
        <v>34</v>
      </c>
    </row>
    <row r="146" spans="1:12" x14ac:dyDescent="0.25">
      <c r="A146">
        <v>145</v>
      </c>
      <c r="B146" s="1">
        <v>41675</v>
      </c>
      <c r="C146" t="s">
        <v>30</v>
      </c>
      <c r="D146" t="s">
        <v>38</v>
      </c>
      <c r="E146" t="s">
        <v>14</v>
      </c>
      <c r="F146">
        <v>48</v>
      </c>
      <c r="G146">
        <v>14050</v>
      </c>
      <c r="H146">
        <v>7</v>
      </c>
      <c r="I146">
        <v>1</v>
      </c>
      <c r="J146" t="s">
        <v>20</v>
      </c>
      <c r="K146" t="s">
        <v>16</v>
      </c>
      <c r="L146" t="s">
        <v>34</v>
      </c>
    </row>
    <row r="147" spans="1:12" x14ac:dyDescent="0.25">
      <c r="A147">
        <v>146</v>
      </c>
      <c r="B147" s="1">
        <v>43506</v>
      </c>
      <c r="C147" t="s">
        <v>28</v>
      </c>
      <c r="D147" t="s">
        <v>29</v>
      </c>
      <c r="E147" t="s">
        <v>14</v>
      </c>
      <c r="F147">
        <v>49</v>
      </c>
      <c r="G147">
        <v>8500</v>
      </c>
      <c r="H147">
        <v>9</v>
      </c>
      <c r="I147">
        <v>1</v>
      </c>
      <c r="J147" t="s">
        <v>15</v>
      </c>
      <c r="K147" t="s">
        <v>32</v>
      </c>
      <c r="L147" t="s">
        <v>25</v>
      </c>
    </row>
    <row r="148" spans="1:12" x14ac:dyDescent="0.25">
      <c r="A148">
        <v>147</v>
      </c>
      <c r="B148" s="1">
        <v>43425</v>
      </c>
      <c r="C148" t="s">
        <v>22</v>
      </c>
      <c r="D148" t="s">
        <v>35</v>
      </c>
      <c r="E148" t="s">
        <v>14</v>
      </c>
      <c r="F148">
        <v>24</v>
      </c>
      <c r="G148">
        <v>9169</v>
      </c>
      <c r="H148">
        <v>6</v>
      </c>
      <c r="I148">
        <v>2</v>
      </c>
      <c r="J148" t="s">
        <v>20</v>
      </c>
      <c r="K148" t="s">
        <v>16</v>
      </c>
      <c r="L148" t="s">
        <v>34</v>
      </c>
    </row>
    <row r="149" spans="1:12" x14ac:dyDescent="0.25">
      <c r="A149">
        <v>148</v>
      </c>
      <c r="B149" s="1">
        <v>40733</v>
      </c>
      <c r="C149" t="s">
        <v>12</v>
      </c>
      <c r="D149" t="s">
        <v>13</v>
      </c>
      <c r="E149" t="s">
        <v>14</v>
      </c>
      <c r="F149">
        <v>32</v>
      </c>
      <c r="G149">
        <v>5336</v>
      </c>
      <c r="H149">
        <v>13</v>
      </c>
      <c r="I149">
        <v>4</v>
      </c>
      <c r="J149" t="s">
        <v>20</v>
      </c>
      <c r="K149" t="s">
        <v>27</v>
      </c>
      <c r="L149" t="s">
        <v>39</v>
      </c>
    </row>
    <row r="150" spans="1:12" x14ac:dyDescent="0.25">
      <c r="A150">
        <v>149</v>
      </c>
      <c r="B150" s="1">
        <v>43923</v>
      </c>
      <c r="C150" t="s">
        <v>30</v>
      </c>
      <c r="D150" t="s">
        <v>38</v>
      </c>
      <c r="E150" t="s">
        <v>24</v>
      </c>
      <c r="F150">
        <v>29</v>
      </c>
      <c r="G150">
        <v>13580</v>
      </c>
      <c r="H150">
        <v>2</v>
      </c>
      <c r="I150">
        <v>2</v>
      </c>
      <c r="J150" t="s">
        <v>15</v>
      </c>
      <c r="K150" t="s">
        <v>27</v>
      </c>
      <c r="L150" t="s">
        <v>39</v>
      </c>
    </row>
    <row r="151" spans="1:12" x14ac:dyDescent="0.25">
      <c r="A151">
        <v>150</v>
      </c>
      <c r="B151" s="1">
        <v>44162</v>
      </c>
      <c r="C151" t="s">
        <v>30</v>
      </c>
      <c r="D151" t="s">
        <v>38</v>
      </c>
      <c r="E151" t="s">
        <v>24</v>
      </c>
      <c r="F151">
        <v>56</v>
      </c>
      <c r="G151">
        <v>8940</v>
      </c>
      <c r="H151">
        <v>4</v>
      </c>
      <c r="I151">
        <v>3</v>
      </c>
      <c r="J151" t="s">
        <v>15</v>
      </c>
      <c r="K151" t="s">
        <v>32</v>
      </c>
      <c r="L151" t="s">
        <v>17</v>
      </c>
    </row>
    <row r="152" spans="1:12" x14ac:dyDescent="0.25">
      <c r="A152">
        <v>151</v>
      </c>
      <c r="B152" s="1">
        <v>42152</v>
      </c>
      <c r="C152" t="s">
        <v>36</v>
      </c>
      <c r="D152" t="s">
        <v>37</v>
      </c>
      <c r="E152" t="s">
        <v>24</v>
      </c>
      <c r="F152">
        <v>38</v>
      </c>
      <c r="G152">
        <v>18786</v>
      </c>
      <c r="H152">
        <v>6</v>
      </c>
      <c r="I152">
        <v>5</v>
      </c>
      <c r="J152" t="s">
        <v>20</v>
      </c>
      <c r="K152" t="s">
        <v>32</v>
      </c>
      <c r="L152" t="s">
        <v>25</v>
      </c>
    </row>
    <row r="153" spans="1:12" x14ac:dyDescent="0.25">
      <c r="A153">
        <v>152</v>
      </c>
      <c r="B153" s="1">
        <v>45109</v>
      </c>
      <c r="C153" t="s">
        <v>18</v>
      </c>
      <c r="D153" t="s">
        <v>26</v>
      </c>
      <c r="E153" t="s">
        <v>24</v>
      </c>
      <c r="F153">
        <v>45</v>
      </c>
      <c r="G153">
        <v>14729</v>
      </c>
      <c r="H153">
        <v>12</v>
      </c>
      <c r="I153">
        <v>3</v>
      </c>
      <c r="J153" t="s">
        <v>15</v>
      </c>
      <c r="K153" t="s">
        <v>27</v>
      </c>
      <c r="L153" t="s">
        <v>39</v>
      </c>
    </row>
    <row r="154" spans="1:12" x14ac:dyDescent="0.25">
      <c r="A154">
        <v>153</v>
      </c>
      <c r="B154" s="1">
        <v>41846</v>
      </c>
      <c r="C154" t="s">
        <v>36</v>
      </c>
      <c r="D154" t="s">
        <v>37</v>
      </c>
      <c r="E154" t="s">
        <v>24</v>
      </c>
      <c r="F154">
        <v>40</v>
      </c>
      <c r="G154">
        <v>6468</v>
      </c>
      <c r="H154">
        <v>4</v>
      </c>
      <c r="I154">
        <v>1</v>
      </c>
      <c r="J154" t="s">
        <v>20</v>
      </c>
      <c r="K154" t="s">
        <v>27</v>
      </c>
      <c r="L154" t="s">
        <v>25</v>
      </c>
    </row>
    <row r="155" spans="1:12" x14ac:dyDescent="0.25">
      <c r="A155">
        <v>154</v>
      </c>
      <c r="B155" s="1">
        <v>45041</v>
      </c>
      <c r="C155" t="s">
        <v>18</v>
      </c>
      <c r="D155" t="s">
        <v>26</v>
      </c>
      <c r="E155" t="s">
        <v>14</v>
      </c>
      <c r="F155">
        <v>47</v>
      </c>
      <c r="G155">
        <v>18330</v>
      </c>
      <c r="H155">
        <v>9</v>
      </c>
      <c r="I155">
        <v>1</v>
      </c>
      <c r="J155" t="s">
        <v>20</v>
      </c>
      <c r="K155" t="s">
        <v>32</v>
      </c>
      <c r="L155" t="s">
        <v>34</v>
      </c>
    </row>
    <row r="156" spans="1:12" x14ac:dyDescent="0.25">
      <c r="A156">
        <v>155</v>
      </c>
      <c r="B156" s="1">
        <v>42084</v>
      </c>
      <c r="C156" t="s">
        <v>12</v>
      </c>
      <c r="D156" t="s">
        <v>41</v>
      </c>
      <c r="E156" t="s">
        <v>24</v>
      </c>
      <c r="F156">
        <v>26</v>
      </c>
      <c r="G156">
        <v>7287</v>
      </c>
      <c r="H156">
        <v>4</v>
      </c>
      <c r="I156">
        <v>5</v>
      </c>
      <c r="J156" t="s">
        <v>15</v>
      </c>
      <c r="K156" t="s">
        <v>16</v>
      </c>
      <c r="L156" t="s">
        <v>39</v>
      </c>
    </row>
    <row r="157" spans="1:12" x14ac:dyDescent="0.25">
      <c r="A157">
        <v>156</v>
      </c>
      <c r="B157" s="1">
        <v>43392</v>
      </c>
      <c r="C157" t="s">
        <v>36</v>
      </c>
      <c r="D157" t="s">
        <v>42</v>
      </c>
      <c r="E157" t="s">
        <v>24</v>
      </c>
      <c r="F157">
        <v>45</v>
      </c>
      <c r="G157">
        <v>18789</v>
      </c>
      <c r="H157">
        <v>11</v>
      </c>
      <c r="I157">
        <v>1</v>
      </c>
      <c r="J157" t="s">
        <v>15</v>
      </c>
      <c r="K157" t="s">
        <v>32</v>
      </c>
      <c r="L157" t="s">
        <v>25</v>
      </c>
    </row>
    <row r="158" spans="1:12" x14ac:dyDescent="0.25">
      <c r="A158">
        <v>157</v>
      </c>
      <c r="B158" s="1">
        <v>43887</v>
      </c>
      <c r="C158" t="s">
        <v>22</v>
      </c>
      <c r="D158" t="s">
        <v>35</v>
      </c>
      <c r="E158" t="s">
        <v>24</v>
      </c>
      <c r="F158">
        <v>46</v>
      </c>
      <c r="G158">
        <v>17248</v>
      </c>
      <c r="H158">
        <v>7</v>
      </c>
      <c r="I158">
        <v>2</v>
      </c>
      <c r="J158" t="s">
        <v>20</v>
      </c>
      <c r="K158" t="s">
        <v>27</v>
      </c>
      <c r="L158" t="s">
        <v>21</v>
      </c>
    </row>
    <row r="159" spans="1:12" x14ac:dyDescent="0.25">
      <c r="A159">
        <v>158</v>
      </c>
      <c r="B159" s="1">
        <v>42679</v>
      </c>
      <c r="C159" t="s">
        <v>36</v>
      </c>
      <c r="D159" t="s">
        <v>42</v>
      </c>
      <c r="E159" t="s">
        <v>24</v>
      </c>
      <c r="F159">
        <v>43</v>
      </c>
      <c r="G159">
        <v>17261</v>
      </c>
      <c r="H159">
        <v>6</v>
      </c>
      <c r="I159">
        <v>5</v>
      </c>
      <c r="J159" t="s">
        <v>20</v>
      </c>
      <c r="K159" t="s">
        <v>16</v>
      </c>
      <c r="L159" t="s">
        <v>34</v>
      </c>
    </row>
    <row r="160" spans="1:12" x14ac:dyDescent="0.25">
      <c r="A160">
        <v>159</v>
      </c>
      <c r="B160" s="1">
        <v>41497</v>
      </c>
      <c r="C160" t="s">
        <v>30</v>
      </c>
      <c r="D160" t="s">
        <v>38</v>
      </c>
      <c r="E160" t="s">
        <v>14</v>
      </c>
      <c r="F160">
        <v>53</v>
      </c>
      <c r="G160">
        <v>15840</v>
      </c>
      <c r="H160">
        <v>0</v>
      </c>
      <c r="I160">
        <v>3</v>
      </c>
      <c r="J160" t="s">
        <v>20</v>
      </c>
      <c r="K160" t="s">
        <v>32</v>
      </c>
      <c r="L160" t="s">
        <v>34</v>
      </c>
    </row>
    <row r="161" spans="1:12" x14ac:dyDescent="0.25">
      <c r="A161">
        <v>160</v>
      </c>
      <c r="B161" s="1">
        <v>42536</v>
      </c>
      <c r="C161" t="s">
        <v>18</v>
      </c>
      <c r="D161" t="s">
        <v>26</v>
      </c>
      <c r="E161" t="s">
        <v>24</v>
      </c>
      <c r="F161">
        <v>53</v>
      </c>
      <c r="G161">
        <v>16320</v>
      </c>
      <c r="H161">
        <v>5</v>
      </c>
      <c r="I161">
        <v>4</v>
      </c>
      <c r="J161" t="s">
        <v>20</v>
      </c>
      <c r="K161" t="s">
        <v>27</v>
      </c>
      <c r="L161" t="s">
        <v>21</v>
      </c>
    </row>
    <row r="162" spans="1:12" x14ac:dyDescent="0.25">
      <c r="A162">
        <v>161</v>
      </c>
      <c r="B162" s="1">
        <v>43855</v>
      </c>
      <c r="C162" t="s">
        <v>22</v>
      </c>
      <c r="D162" t="s">
        <v>35</v>
      </c>
      <c r="E162" t="s">
        <v>24</v>
      </c>
      <c r="F162">
        <v>59</v>
      </c>
      <c r="G162">
        <v>8938</v>
      </c>
      <c r="H162">
        <v>1</v>
      </c>
      <c r="I162">
        <v>5</v>
      </c>
      <c r="J162" t="s">
        <v>20</v>
      </c>
      <c r="K162" t="s">
        <v>32</v>
      </c>
      <c r="L162" t="s">
        <v>34</v>
      </c>
    </row>
    <row r="163" spans="1:12" x14ac:dyDescent="0.25">
      <c r="A163">
        <v>162</v>
      </c>
      <c r="B163" s="1">
        <v>43544</v>
      </c>
      <c r="C163" t="s">
        <v>30</v>
      </c>
      <c r="D163" t="s">
        <v>38</v>
      </c>
      <c r="E163" t="s">
        <v>24</v>
      </c>
      <c r="F163">
        <v>32</v>
      </c>
      <c r="G163">
        <v>5491</v>
      </c>
      <c r="H163">
        <v>1</v>
      </c>
      <c r="I163">
        <v>2</v>
      </c>
      <c r="J163" t="s">
        <v>20</v>
      </c>
      <c r="K163" t="s">
        <v>27</v>
      </c>
      <c r="L163" t="s">
        <v>17</v>
      </c>
    </row>
    <row r="164" spans="1:12" x14ac:dyDescent="0.25">
      <c r="A164">
        <v>163</v>
      </c>
      <c r="B164" s="1">
        <v>44718</v>
      </c>
      <c r="C164" t="s">
        <v>18</v>
      </c>
      <c r="D164" t="s">
        <v>19</v>
      </c>
      <c r="E164" t="s">
        <v>14</v>
      </c>
      <c r="F164">
        <v>60</v>
      </c>
      <c r="G164">
        <v>18191</v>
      </c>
      <c r="H164">
        <v>8</v>
      </c>
      <c r="I164">
        <v>5</v>
      </c>
      <c r="J164" t="s">
        <v>20</v>
      </c>
      <c r="K164" t="s">
        <v>27</v>
      </c>
      <c r="L164" t="s">
        <v>17</v>
      </c>
    </row>
    <row r="165" spans="1:12" x14ac:dyDescent="0.25">
      <c r="A165">
        <v>164</v>
      </c>
      <c r="B165" s="1">
        <v>40251</v>
      </c>
      <c r="C165" t="s">
        <v>12</v>
      </c>
      <c r="D165" t="s">
        <v>13</v>
      </c>
      <c r="E165" t="s">
        <v>14</v>
      </c>
      <c r="F165">
        <v>40</v>
      </c>
      <c r="G165">
        <v>15785</v>
      </c>
      <c r="H165">
        <v>2</v>
      </c>
      <c r="I165">
        <v>2</v>
      </c>
      <c r="J165" t="s">
        <v>20</v>
      </c>
      <c r="K165" t="s">
        <v>32</v>
      </c>
      <c r="L165" t="s">
        <v>17</v>
      </c>
    </row>
    <row r="166" spans="1:12" x14ac:dyDescent="0.25">
      <c r="A166">
        <v>165</v>
      </c>
      <c r="B166" s="1">
        <v>44042</v>
      </c>
      <c r="C166" t="s">
        <v>12</v>
      </c>
      <c r="D166" t="s">
        <v>13</v>
      </c>
      <c r="E166" t="s">
        <v>24</v>
      </c>
      <c r="F166">
        <v>27</v>
      </c>
      <c r="G166">
        <v>17844</v>
      </c>
      <c r="H166">
        <v>5</v>
      </c>
      <c r="I166">
        <v>1</v>
      </c>
      <c r="J166" t="s">
        <v>20</v>
      </c>
      <c r="K166" t="s">
        <v>32</v>
      </c>
      <c r="L166" t="s">
        <v>21</v>
      </c>
    </row>
    <row r="167" spans="1:12" x14ac:dyDescent="0.25">
      <c r="A167">
        <v>166</v>
      </c>
      <c r="B167" s="1">
        <v>40835</v>
      </c>
      <c r="C167" t="s">
        <v>22</v>
      </c>
      <c r="D167" t="s">
        <v>35</v>
      </c>
      <c r="E167" t="s">
        <v>24</v>
      </c>
      <c r="F167">
        <v>46</v>
      </c>
      <c r="G167">
        <v>8526</v>
      </c>
      <c r="H167">
        <v>0</v>
      </c>
      <c r="I167">
        <v>3</v>
      </c>
      <c r="J167" t="s">
        <v>20</v>
      </c>
      <c r="K167" t="s">
        <v>32</v>
      </c>
      <c r="L167" t="s">
        <v>21</v>
      </c>
    </row>
    <row r="168" spans="1:12" x14ac:dyDescent="0.25">
      <c r="A168">
        <v>167</v>
      </c>
      <c r="B168" s="1">
        <v>41058</v>
      </c>
      <c r="C168" t="s">
        <v>28</v>
      </c>
      <c r="D168" t="s">
        <v>33</v>
      </c>
      <c r="E168" t="s">
        <v>14</v>
      </c>
      <c r="F168">
        <v>27</v>
      </c>
      <c r="G168">
        <v>10884</v>
      </c>
      <c r="H168">
        <v>10</v>
      </c>
      <c r="I168">
        <v>2</v>
      </c>
      <c r="J168" t="s">
        <v>15</v>
      </c>
      <c r="K168" t="s">
        <v>16</v>
      </c>
      <c r="L168" t="s">
        <v>39</v>
      </c>
    </row>
    <row r="169" spans="1:12" x14ac:dyDescent="0.25">
      <c r="A169">
        <v>168</v>
      </c>
      <c r="B169" s="1">
        <v>40246</v>
      </c>
      <c r="C169" t="s">
        <v>28</v>
      </c>
      <c r="D169" t="s">
        <v>29</v>
      </c>
      <c r="E169" t="s">
        <v>14</v>
      </c>
      <c r="F169">
        <v>28</v>
      </c>
      <c r="G169">
        <v>10335</v>
      </c>
      <c r="H169">
        <v>5</v>
      </c>
      <c r="I169">
        <v>1</v>
      </c>
      <c r="J169" t="s">
        <v>15</v>
      </c>
      <c r="K169" t="s">
        <v>27</v>
      </c>
      <c r="L169" t="s">
        <v>17</v>
      </c>
    </row>
    <row r="170" spans="1:12" x14ac:dyDescent="0.25">
      <c r="A170">
        <v>169</v>
      </c>
      <c r="B170" s="1">
        <v>43528</v>
      </c>
      <c r="C170" t="s">
        <v>30</v>
      </c>
      <c r="D170" t="s">
        <v>31</v>
      </c>
      <c r="E170" t="s">
        <v>14</v>
      </c>
      <c r="F170">
        <v>42</v>
      </c>
      <c r="G170">
        <v>10497</v>
      </c>
      <c r="H170">
        <v>13</v>
      </c>
      <c r="I170">
        <v>2</v>
      </c>
      <c r="J170" t="s">
        <v>20</v>
      </c>
      <c r="K170" t="s">
        <v>32</v>
      </c>
      <c r="L170" t="s">
        <v>39</v>
      </c>
    </row>
    <row r="171" spans="1:12" x14ac:dyDescent="0.25">
      <c r="A171">
        <v>170</v>
      </c>
      <c r="B171" s="1">
        <v>41798</v>
      </c>
      <c r="C171" t="s">
        <v>30</v>
      </c>
      <c r="D171" t="s">
        <v>38</v>
      </c>
      <c r="E171" t="s">
        <v>14</v>
      </c>
      <c r="F171">
        <v>28</v>
      </c>
      <c r="G171">
        <v>11704</v>
      </c>
      <c r="H171">
        <v>9</v>
      </c>
      <c r="I171">
        <v>2</v>
      </c>
      <c r="J171" t="s">
        <v>20</v>
      </c>
      <c r="K171" t="s">
        <v>16</v>
      </c>
      <c r="L171" t="s">
        <v>21</v>
      </c>
    </row>
    <row r="172" spans="1:12" x14ac:dyDescent="0.25">
      <c r="A172">
        <v>171</v>
      </c>
      <c r="B172" s="1">
        <v>43729</v>
      </c>
      <c r="C172" t="s">
        <v>30</v>
      </c>
      <c r="D172" t="s">
        <v>38</v>
      </c>
      <c r="E172" t="s">
        <v>14</v>
      </c>
      <c r="F172">
        <v>35</v>
      </c>
      <c r="G172">
        <v>6585</v>
      </c>
      <c r="H172">
        <v>6</v>
      </c>
      <c r="I172">
        <v>1</v>
      </c>
      <c r="J172" t="s">
        <v>15</v>
      </c>
      <c r="K172" t="s">
        <v>32</v>
      </c>
      <c r="L172" t="s">
        <v>21</v>
      </c>
    </row>
    <row r="173" spans="1:12" x14ac:dyDescent="0.25">
      <c r="A173">
        <v>172</v>
      </c>
      <c r="B173" s="1">
        <v>41365</v>
      </c>
      <c r="C173" t="s">
        <v>18</v>
      </c>
      <c r="D173" t="s">
        <v>19</v>
      </c>
      <c r="E173" t="s">
        <v>14</v>
      </c>
      <c r="F173">
        <v>38</v>
      </c>
      <c r="G173">
        <v>4363</v>
      </c>
      <c r="H173">
        <v>1</v>
      </c>
      <c r="I173">
        <v>5</v>
      </c>
      <c r="J173" t="s">
        <v>15</v>
      </c>
      <c r="K173" t="s">
        <v>16</v>
      </c>
      <c r="L173" t="s">
        <v>39</v>
      </c>
    </row>
    <row r="174" spans="1:12" x14ac:dyDescent="0.25">
      <c r="A174">
        <v>173</v>
      </c>
      <c r="B174" s="1">
        <v>40544</v>
      </c>
      <c r="C174" t="s">
        <v>28</v>
      </c>
      <c r="D174" t="s">
        <v>33</v>
      </c>
      <c r="E174" t="s">
        <v>14</v>
      </c>
      <c r="F174">
        <v>54</v>
      </c>
      <c r="G174">
        <v>19206</v>
      </c>
      <c r="H174">
        <v>4</v>
      </c>
      <c r="I174">
        <v>4</v>
      </c>
      <c r="J174" t="s">
        <v>15</v>
      </c>
      <c r="K174" t="s">
        <v>27</v>
      </c>
      <c r="L174" t="s">
        <v>25</v>
      </c>
    </row>
    <row r="175" spans="1:12" x14ac:dyDescent="0.25">
      <c r="A175">
        <v>174</v>
      </c>
      <c r="B175" s="1">
        <v>40537</v>
      </c>
      <c r="C175" t="s">
        <v>28</v>
      </c>
      <c r="D175" t="s">
        <v>33</v>
      </c>
      <c r="E175" t="s">
        <v>14</v>
      </c>
      <c r="F175">
        <v>38</v>
      </c>
      <c r="G175">
        <v>13334</v>
      </c>
      <c r="H175">
        <v>4</v>
      </c>
      <c r="I175">
        <v>3</v>
      </c>
      <c r="J175" t="s">
        <v>20</v>
      </c>
      <c r="K175" t="s">
        <v>32</v>
      </c>
      <c r="L175" t="s">
        <v>17</v>
      </c>
    </row>
    <row r="176" spans="1:12" x14ac:dyDescent="0.25">
      <c r="A176">
        <v>175</v>
      </c>
      <c r="B176" s="1">
        <v>43633</v>
      </c>
      <c r="C176" t="s">
        <v>30</v>
      </c>
      <c r="D176" t="s">
        <v>31</v>
      </c>
      <c r="E176" t="s">
        <v>14</v>
      </c>
      <c r="F176">
        <v>25</v>
      </c>
      <c r="G176">
        <v>11884</v>
      </c>
      <c r="H176">
        <v>15</v>
      </c>
      <c r="I176">
        <v>2</v>
      </c>
      <c r="J176" t="s">
        <v>20</v>
      </c>
      <c r="K176" t="s">
        <v>32</v>
      </c>
      <c r="L176" t="s">
        <v>17</v>
      </c>
    </row>
    <row r="177" spans="1:12" x14ac:dyDescent="0.25">
      <c r="A177">
        <v>176</v>
      </c>
      <c r="B177" s="1">
        <v>43363</v>
      </c>
      <c r="C177" t="s">
        <v>22</v>
      </c>
      <c r="D177" t="s">
        <v>23</v>
      </c>
      <c r="E177" t="s">
        <v>24</v>
      </c>
      <c r="F177">
        <v>46</v>
      </c>
      <c r="G177">
        <v>11618</v>
      </c>
      <c r="H177">
        <v>11</v>
      </c>
      <c r="I177">
        <v>4</v>
      </c>
      <c r="J177" t="s">
        <v>15</v>
      </c>
      <c r="K177" t="s">
        <v>27</v>
      </c>
      <c r="L177" t="s">
        <v>34</v>
      </c>
    </row>
    <row r="178" spans="1:12" x14ac:dyDescent="0.25">
      <c r="A178">
        <v>177</v>
      </c>
      <c r="B178" s="1">
        <v>42453</v>
      </c>
      <c r="C178" t="s">
        <v>28</v>
      </c>
      <c r="D178" t="s">
        <v>33</v>
      </c>
      <c r="E178" t="s">
        <v>24</v>
      </c>
      <c r="F178">
        <v>35</v>
      </c>
      <c r="G178">
        <v>16157</v>
      </c>
      <c r="H178">
        <v>7</v>
      </c>
      <c r="I178">
        <v>2</v>
      </c>
      <c r="J178" t="s">
        <v>20</v>
      </c>
      <c r="K178" t="s">
        <v>27</v>
      </c>
      <c r="L178" t="s">
        <v>17</v>
      </c>
    </row>
    <row r="179" spans="1:12" x14ac:dyDescent="0.25">
      <c r="A179">
        <v>178</v>
      </c>
      <c r="B179" s="1">
        <v>44795</v>
      </c>
      <c r="C179" t="s">
        <v>12</v>
      </c>
      <c r="D179" t="s">
        <v>41</v>
      </c>
      <c r="E179" t="s">
        <v>14</v>
      </c>
      <c r="F179">
        <v>42</v>
      </c>
      <c r="G179">
        <v>14590</v>
      </c>
      <c r="H179">
        <v>9</v>
      </c>
      <c r="I179">
        <v>3</v>
      </c>
      <c r="J179" t="s">
        <v>15</v>
      </c>
      <c r="K179" t="s">
        <v>16</v>
      </c>
      <c r="L179" t="s">
        <v>21</v>
      </c>
    </row>
    <row r="180" spans="1:12" x14ac:dyDescent="0.25">
      <c r="A180">
        <v>179</v>
      </c>
      <c r="B180" s="1">
        <v>44119</v>
      </c>
      <c r="C180" t="s">
        <v>22</v>
      </c>
      <c r="D180" t="s">
        <v>23</v>
      </c>
      <c r="E180" t="s">
        <v>14</v>
      </c>
      <c r="F180">
        <v>45</v>
      </c>
      <c r="G180">
        <v>5571</v>
      </c>
      <c r="H180">
        <v>13</v>
      </c>
      <c r="I180">
        <v>4</v>
      </c>
      <c r="J180" t="s">
        <v>20</v>
      </c>
      <c r="K180" t="s">
        <v>16</v>
      </c>
      <c r="L180" t="s">
        <v>25</v>
      </c>
    </row>
    <row r="181" spans="1:12" x14ac:dyDescent="0.25">
      <c r="A181">
        <v>180</v>
      </c>
      <c r="B181" s="1">
        <v>40892</v>
      </c>
      <c r="C181" t="s">
        <v>22</v>
      </c>
      <c r="D181" t="s">
        <v>35</v>
      </c>
      <c r="E181" t="s">
        <v>24</v>
      </c>
      <c r="F181">
        <v>54</v>
      </c>
      <c r="G181">
        <v>6306</v>
      </c>
      <c r="H181">
        <v>8</v>
      </c>
      <c r="I181">
        <v>5</v>
      </c>
      <c r="J181" t="s">
        <v>15</v>
      </c>
      <c r="K181" t="s">
        <v>27</v>
      </c>
      <c r="L181" t="s">
        <v>25</v>
      </c>
    </row>
    <row r="182" spans="1:12" x14ac:dyDescent="0.25">
      <c r="A182">
        <v>181</v>
      </c>
      <c r="B182" s="1">
        <v>40668</v>
      </c>
      <c r="C182" t="s">
        <v>28</v>
      </c>
      <c r="D182" t="s">
        <v>33</v>
      </c>
      <c r="E182" t="s">
        <v>14</v>
      </c>
      <c r="F182">
        <v>59</v>
      </c>
      <c r="G182">
        <v>13963</v>
      </c>
      <c r="H182">
        <v>10</v>
      </c>
      <c r="I182">
        <v>4</v>
      </c>
      <c r="J182" t="s">
        <v>15</v>
      </c>
      <c r="K182" t="s">
        <v>27</v>
      </c>
      <c r="L182" t="s">
        <v>21</v>
      </c>
    </row>
    <row r="183" spans="1:12" x14ac:dyDescent="0.25">
      <c r="A183">
        <v>182</v>
      </c>
      <c r="B183" s="1">
        <v>42493</v>
      </c>
      <c r="C183" t="s">
        <v>36</v>
      </c>
      <c r="D183" t="s">
        <v>42</v>
      </c>
      <c r="E183" t="s">
        <v>24</v>
      </c>
      <c r="F183">
        <v>29</v>
      </c>
      <c r="G183">
        <v>19266</v>
      </c>
      <c r="H183">
        <v>14</v>
      </c>
      <c r="I183">
        <v>4</v>
      </c>
      <c r="J183" t="s">
        <v>20</v>
      </c>
      <c r="K183" t="s">
        <v>32</v>
      </c>
      <c r="L183" t="s">
        <v>25</v>
      </c>
    </row>
    <row r="184" spans="1:12" x14ac:dyDescent="0.25">
      <c r="A184">
        <v>183</v>
      </c>
      <c r="B184" s="1">
        <v>43962</v>
      </c>
      <c r="C184" t="s">
        <v>18</v>
      </c>
      <c r="D184" t="s">
        <v>26</v>
      </c>
      <c r="E184" t="s">
        <v>14</v>
      </c>
      <c r="F184">
        <v>28</v>
      </c>
      <c r="G184">
        <v>13020</v>
      </c>
      <c r="H184">
        <v>8</v>
      </c>
      <c r="I184">
        <v>5</v>
      </c>
      <c r="J184" t="s">
        <v>15</v>
      </c>
      <c r="K184" t="s">
        <v>27</v>
      </c>
      <c r="L184" t="s">
        <v>21</v>
      </c>
    </row>
    <row r="185" spans="1:12" x14ac:dyDescent="0.25">
      <c r="A185">
        <v>184</v>
      </c>
      <c r="B185" s="1">
        <v>43670</v>
      </c>
      <c r="C185" t="s">
        <v>22</v>
      </c>
      <c r="D185" t="s">
        <v>23</v>
      </c>
      <c r="E185" t="s">
        <v>14</v>
      </c>
      <c r="F185">
        <v>23</v>
      </c>
      <c r="G185">
        <v>8712</v>
      </c>
      <c r="H185">
        <v>7</v>
      </c>
      <c r="I185">
        <v>5</v>
      </c>
      <c r="J185" t="s">
        <v>15</v>
      </c>
      <c r="K185" t="s">
        <v>32</v>
      </c>
      <c r="L185" t="s">
        <v>21</v>
      </c>
    </row>
    <row r="186" spans="1:12" x14ac:dyDescent="0.25">
      <c r="A186">
        <v>185</v>
      </c>
      <c r="B186" s="1">
        <v>40680</v>
      </c>
      <c r="C186" t="s">
        <v>12</v>
      </c>
      <c r="D186" t="s">
        <v>13</v>
      </c>
      <c r="E186" t="s">
        <v>24</v>
      </c>
      <c r="F186">
        <v>48</v>
      </c>
      <c r="G186">
        <v>4601</v>
      </c>
      <c r="H186">
        <v>3</v>
      </c>
      <c r="I186">
        <v>3</v>
      </c>
      <c r="J186" t="s">
        <v>15</v>
      </c>
      <c r="K186" t="s">
        <v>16</v>
      </c>
      <c r="L186" t="s">
        <v>25</v>
      </c>
    </row>
    <row r="187" spans="1:12" x14ac:dyDescent="0.25">
      <c r="A187">
        <v>186</v>
      </c>
      <c r="B187" s="1">
        <v>43117</v>
      </c>
      <c r="C187" t="s">
        <v>18</v>
      </c>
      <c r="D187" t="s">
        <v>19</v>
      </c>
      <c r="E187" t="s">
        <v>24</v>
      </c>
      <c r="F187">
        <v>47</v>
      </c>
      <c r="G187">
        <v>15035</v>
      </c>
      <c r="H187">
        <v>3</v>
      </c>
      <c r="I187">
        <v>2</v>
      </c>
      <c r="J187" t="s">
        <v>15</v>
      </c>
      <c r="K187" t="s">
        <v>16</v>
      </c>
      <c r="L187" t="s">
        <v>39</v>
      </c>
    </row>
    <row r="188" spans="1:12" x14ac:dyDescent="0.25">
      <c r="A188">
        <v>187</v>
      </c>
      <c r="B188" s="1">
        <v>40374</v>
      </c>
      <c r="C188" t="s">
        <v>12</v>
      </c>
      <c r="D188" t="s">
        <v>41</v>
      </c>
      <c r="E188" t="s">
        <v>14</v>
      </c>
      <c r="F188">
        <v>53</v>
      </c>
      <c r="G188">
        <v>12715</v>
      </c>
      <c r="H188">
        <v>4</v>
      </c>
      <c r="I188">
        <v>5</v>
      </c>
      <c r="J188" t="s">
        <v>15</v>
      </c>
      <c r="K188" t="s">
        <v>27</v>
      </c>
      <c r="L188" t="s">
        <v>34</v>
      </c>
    </row>
    <row r="189" spans="1:12" x14ac:dyDescent="0.25">
      <c r="A189">
        <v>188</v>
      </c>
      <c r="B189" s="1">
        <v>40711</v>
      </c>
      <c r="C189" t="s">
        <v>30</v>
      </c>
      <c r="D189" t="s">
        <v>38</v>
      </c>
      <c r="E189" t="s">
        <v>24</v>
      </c>
      <c r="F189">
        <v>43</v>
      </c>
      <c r="G189">
        <v>13920</v>
      </c>
      <c r="H189">
        <v>6</v>
      </c>
      <c r="I189">
        <v>2</v>
      </c>
      <c r="J189" t="s">
        <v>20</v>
      </c>
      <c r="K189" t="s">
        <v>32</v>
      </c>
      <c r="L189" t="s">
        <v>25</v>
      </c>
    </row>
    <row r="190" spans="1:12" x14ac:dyDescent="0.25">
      <c r="A190">
        <v>189</v>
      </c>
      <c r="B190" s="1">
        <v>43768</v>
      </c>
      <c r="C190" t="s">
        <v>12</v>
      </c>
      <c r="D190" t="s">
        <v>13</v>
      </c>
      <c r="E190" t="s">
        <v>24</v>
      </c>
      <c r="F190">
        <v>33</v>
      </c>
      <c r="G190">
        <v>12249</v>
      </c>
      <c r="H190">
        <v>9</v>
      </c>
      <c r="I190">
        <v>2</v>
      </c>
      <c r="J190" t="s">
        <v>15</v>
      </c>
      <c r="K190" t="s">
        <v>16</v>
      </c>
      <c r="L190" t="s">
        <v>25</v>
      </c>
    </row>
    <row r="191" spans="1:12" x14ac:dyDescent="0.25">
      <c r="A191">
        <v>190</v>
      </c>
      <c r="B191" s="1">
        <v>42866</v>
      </c>
      <c r="C191" t="s">
        <v>12</v>
      </c>
      <c r="D191" t="s">
        <v>41</v>
      </c>
      <c r="E191" t="s">
        <v>14</v>
      </c>
      <c r="F191">
        <v>39</v>
      </c>
      <c r="G191">
        <v>12697</v>
      </c>
      <c r="H191">
        <v>5</v>
      </c>
      <c r="I191">
        <v>2</v>
      </c>
      <c r="J191" t="s">
        <v>15</v>
      </c>
      <c r="K191" t="s">
        <v>16</v>
      </c>
      <c r="L191" t="s">
        <v>39</v>
      </c>
    </row>
    <row r="192" spans="1:12" x14ac:dyDescent="0.25">
      <c r="A192">
        <v>191</v>
      </c>
      <c r="B192" s="1">
        <v>41539</v>
      </c>
      <c r="C192" t="s">
        <v>30</v>
      </c>
      <c r="D192" t="s">
        <v>38</v>
      </c>
      <c r="E192" t="s">
        <v>14</v>
      </c>
      <c r="F192">
        <v>54</v>
      </c>
      <c r="G192">
        <v>16006</v>
      </c>
      <c r="H192">
        <v>4</v>
      </c>
      <c r="I192">
        <v>3</v>
      </c>
      <c r="J192" t="s">
        <v>20</v>
      </c>
      <c r="K192" t="s">
        <v>32</v>
      </c>
      <c r="L192" t="s">
        <v>21</v>
      </c>
    </row>
    <row r="193" spans="1:12" x14ac:dyDescent="0.25">
      <c r="A193">
        <v>192</v>
      </c>
      <c r="B193" s="1">
        <v>43348</v>
      </c>
      <c r="C193" t="s">
        <v>12</v>
      </c>
      <c r="D193" t="s">
        <v>13</v>
      </c>
      <c r="E193" t="s">
        <v>14</v>
      </c>
      <c r="F193">
        <v>31</v>
      </c>
      <c r="G193">
        <v>8902</v>
      </c>
      <c r="H193">
        <v>8</v>
      </c>
      <c r="I193">
        <v>1</v>
      </c>
      <c r="J193" t="s">
        <v>15</v>
      </c>
      <c r="K193" t="s">
        <v>32</v>
      </c>
      <c r="L193" t="s">
        <v>21</v>
      </c>
    </row>
    <row r="194" spans="1:12" x14ac:dyDescent="0.25">
      <c r="A194">
        <v>193</v>
      </c>
      <c r="B194" s="1">
        <v>44065</v>
      </c>
      <c r="C194" t="s">
        <v>30</v>
      </c>
      <c r="D194" t="s">
        <v>31</v>
      </c>
      <c r="E194" t="s">
        <v>24</v>
      </c>
      <c r="F194">
        <v>36</v>
      </c>
      <c r="G194">
        <v>17042</v>
      </c>
      <c r="H194">
        <v>3</v>
      </c>
      <c r="I194">
        <v>1</v>
      </c>
      <c r="J194" t="s">
        <v>15</v>
      </c>
      <c r="K194" t="s">
        <v>32</v>
      </c>
      <c r="L194" t="s">
        <v>34</v>
      </c>
    </row>
    <row r="195" spans="1:12" x14ac:dyDescent="0.25">
      <c r="A195">
        <v>194</v>
      </c>
      <c r="B195" s="1">
        <v>43209</v>
      </c>
      <c r="C195" t="s">
        <v>30</v>
      </c>
      <c r="D195" t="s">
        <v>31</v>
      </c>
      <c r="E195" t="s">
        <v>24</v>
      </c>
      <c r="F195">
        <v>38</v>
      </c>
      <c r="G195">
        <v>6717</v>
      </c>
      <c r="H195">
        <v>12</v>
      </c>
      <c r="I195">
        <v>3</v>
      </c>
      <c r="J195" t="s">
        <v>20</v>
      </c>
      <c r="K195" t="s">
        <v>27</v>
      </c>
      <c r="L195" t="s">
        <v>39</v>
      </c>
    </row>
    <row r="196" spans="1:12" x14ac:dyDescent="0.25">
      <c r="A196">
        <v>195</v>
      </c>
      <c r="B196" s="1">
        <v>40194</v>
      </c>
      <c r="C196" t="s">
        <v>36</v>
      </c>
      <c r="D196" t="s">
        <v>42</v>
      </c>
      <c r="E196" t="s">
        <v>24</v>
      </c>
      <c r="F196">
        <v>46</v>
      </c>
      <c r="G196">
        <v>19076</v>
      </c>
      <c r="H196">
        <v>6</v>
      </c>
      <c r="I196">
        <v>2</v>
      </c>
      <c r="J196" t="s">
        <v>20</v>
      </c>
      <c r="K196" t="s">
        <v>32</v>
      </c>
      <c r="L196" t="s">
        <v>17</v>
      </c>
    </row>
    <row r="197" spans="1:12" x14ac:dyDescent="0.25">
      <c r="A197">
        <v>196</v>
      </c>
      <c r="B197" s="1">
        <v>43020</v>
      </c>
      <c r="C197" t="s">
        <v>36</v>
      </c>
      <c r="D197" t="s">
        <v>42</v>
      </c>
      <c r="E197" t="s">
        <v>24</v>
      </c>
      <c r="F197">
        <v>37</v>
      </c>
      <c r="G197">
        <v>10907</v>
      </c>
      <c r="H197">
        <v>8</v>
      </c>
      <c r="I197">
        <v>3</v>
      </c>
      <c r="J197" t="s">
        <v>15</v>
      </c>
      <c r="K197" t="s">
        <v>32</v>
      </c>
      <c r="L197" t="s">
        <v>39</v>
      </c>
    </row>
    <row r="198" spans="1:12" x14ac:dyDescent="0.25">
      <c r="A198">
        <v>197</v>
      </c>
      <c r="B198" s="1">
        <v>43145</v>
      </c>
      <c r="C198" t="s">
        <v>36</v>
      </c>
      <c r="D198" t="s">
        <v>40</v>
      </c>
      <c r="E198" t="s">
        <v>14</v>
      </c>
      <c r="F198">
        <v>24</v>
      </c>
      <c r="G198">
        <v>5215</v>
      </c>
      <c r="H198">
        <v>1</v>
      </c>
      <c r="I198">
        <v>4</v>
      </c>
      <c r="J198" t="s">
        <v>15</v>
      </c>
      <c r="K198" t="s">
        <v>16</v>
      </c>
      <c r="L198" t="s">
        <v>17</v>
      </c>
    </row>
    <row r="199" spans="1:12" x14ac:dyDescent="0.25">
      <c r="A199">
        <v>198</v>
      </c>
      <c r="B199" s="1">
        <v>44717</v>
      </c>
      <c r="C199" t="s">
        <v>18</v>
      </c>
      <c r="D199" t="s">
        <v>19</v>
      </c>
      <c r="E199" t="s">
        <v>14</v>
      </c>
      <c r="F199">
        <v>34</v>
      </c>
      <c r="G199">
        <v>19715</v>
      </c>
      <c r="H199">
        <v>6</v>
      </c>
      <c r="I199">
        <v>1</v>
      </c>
      <c r="J199" t="s">
        <v>15</v>
      </c>
      <c r="K199" t="s">
        <v>32</v>
      </c>
      <c r="L199" t="s">
        <v>21</v>
      </c>
    </row>
    <row r="200" spans="1:12" x14ac:dyDescent="0.25">
      <c r="A200">
        <v>199</v>
      </c>
      <c r="B200" s="1">
        <v>40584</v>
      </c>
      <c r="C200" t="s">
        <v>18</v>
      </c>
      <c r="D200" t="s">
        <v>19</v>
      </c>
      <c r="E200" t="s">
        <v>14</v>
      </c>
      <c r="F200">
        <v>43</v>
      </c>
      <c r="G200">
        <v>17290</v>
      </c>
      <c r="H200">
        <v>11</v>
      </c>
      <c r="I200">
        <v>4</v>
      </c>
      <c r="J200" t="s">
        <v>15</v>
      </c>
      <c r="K200" t="s">
        <v>32</v>
      </c>
      <c r="L200" t="s">
        <v>39</v>
      </c>
    </row>
    <row r="201" spans="1:12" x14ac:dyDescent="0.25">
      <c r="A201">
        <v>200</v>
      </c>
      <c r="B201" s="1">
        <v>43010</v>
      </c>
      <c r="C201" t="s">
        <v>36</v>
      </c>
      <c r="D201" t="s">
        <v>42</v>
      </c>
      <c r="E201" t="s">
        <v>14</v>
      </c>
      <c r="F201">
        <v>56</v>
      </c>
      <c r="G201">
        <v>16313</v>
      </c>
      <c r="H201">
        <v>12</v>
      </c>
      <c r="I201">
        <v>3</v>
      </c>
      <c r="J201" t="s">
        <v>15</v>
      </c>
      <c r="K201" t="s">
        <v>16</v>
      </c>
      <c r="L201" t="s">
        <v>21</v>
      </c>
    </row>
    <row r="202" spans="1:12" x14ac:dyDescent="0.25">
      <c r="A202">
        <v>201</v>
      </c>
      <c r="B202" s="1">
        <v>42562</v>
      </c>
      <c r="C202" t="s">
        <v>30</v>
      </c>
      <c r="D202" t="s">
        <v>38</v>
      </c>
      <c r="E202" t="s">
        <v>24</v>
      </c>
      <c r="F202">
        <v>23</v>
      </c>
      <c r="G202">
        <v>11129</v>
      </c>
      <c r="H202">
        <v>2</v>
      </c>
      <c r="I202">
        <v>4</v>
      </c>
      <c r="J202" t="s">
        <v>15</v>
      </c>
      <c r="K202" t="s">
        <v>32</v>
      </c>
      <c r="L202" t="s">
        <v>34</v>
      </c>
    </row>
    <row r="203" spans="1:12" x14ac:dyDescent="0.25">
      <c r="A203">
        <v>202</v>
      </c>
      <c r="B203" s="1">
        <v>42567</v>
      </c>
      <c r="C203" t="s">
        <v>30</v>
      </c>
      <c r="D203" t="s">
        <v>38</v>
      </c>
      <c r="E203" t="s">
        <v>24</v>
      </c>
      <c r="F203">
        <v>23</v>
      </c>
      <c r="G203">
        <v>8446</v>
      </c>
      <c r="H203">
        <v>3</v>
      </c>
      <c r="I203">
        <v>4</v>
      </c>
      <c r="J203" t="s">
        <v>15</v>
      </c>
      <c r="K203" t="s">
        <v>16</v>
      </c>
      <c r="L203" t="s">
        <v>17</v>
      </c>
    </row>
    <row r="204" spans="1:12" x14ac:dyDescent="0.25">
      <c r="A204">
        <v>203</v>
      </c>
      <c r="B204" s="1">
        <v>44768</v>
      </c>
      <c r="C204" t="s">
        <v>28</v>
      </c>
      <c r="D204" t="s">
        <v>33</v>
      </c>
      <c r="E204" t="s">
        <v>24</v>
      </c>
      <c r="F204">
        <v>53</v>
      </c>
      <c r="G204">
        <v>19577</v>
      </c>
      <c r="H204">
        <v>12</v>
      </c>
      <c r="I204">
        <v>2</v>
      </c>
      <c r="J204" t="s">
        <v>15</v>
      </c>
      <c r="K204" t="s">
        <v>32</v>
      </c>
      <c r="L204" t="s">
        <v>34</v>
      </c>
    </row>
    <row r="205" spans="1:12" x14ac:dyDescent="0.25">
      <c r="A205">
        <v>204</v>
      </c>
      <c r="B205" s="1">
        <v>44755</v>
      </c>
      <c r="C205" t="s">
        <v>28</v>
      </c>
      <c r="D205" t="s">
        <v>29</v>
      </c>
      <c r="E205" t="s">
        <v>14</v>
      </c>
      <c r="F205">
        <v>59</v>
      </c>
      <c r="G205">
        <v>17190</v>
      </c>
      <c r="H205">
        <v>10</v>
      </c>
      <c r="I205">
        <v>3</v>
      </c>
      <c r="J205" t="s">
        <v>15</v>
      </c>
      <c r="K205" t="s">
        <v>16</v>
      </c>
      <c r="L205" t="s">
        <v>25</v>
      </c>
    </row>
    <row r="206" spans="1:12" x14ac:dyDescent="0.25">
      <c r="A206">
        <v>205</v>
      </c>
      <c r="B206" s="1">
        <v>42526</v>
      </c>
      <c r="C206" t="s">
        <v>22</v>
      </c>
      <c r="D206" t="s">
        <v>35</v>
      </c>
      <c r="E206" t="s">
        <v>24</v>
      </c>
      <c r="F206">
        <v>59</v>
      </c>
      <c r="G206">
        <v>7685</v>
      </c>
      <c r="H206">
        <v>0</v>
      </c>
      <c r="I206">
        <v>2</v>
      </c>
      <c r="J206" t="s">
        <v>20</v>
      </c>
      <c r="K206" t="s">
        <v>27</v>
      </c>
      <c r="L206" t="s">
        <v>21</v>
      </c>
    </row>
    <row r="207" spans="1:12" x14ac:dyDescent="0.25">
      <c r="A207">
        <v>206</v>
      </c>
      <c r="B207" s="1">
        <v>42798</v>
      </c>
      <c r="C207" t="s">
        <v>22</v>
      </c>
      <c r="D207" t="s">
        <v>23</v>
      </c>
      <c r="E207" t="s">
        <v>14</v>
      </c>
      <c r="F207">
        <v>55</v>
      </c>
      <c r="G207">
        <v>14861</v>
      </c>
      <c r="H207">
        <v>4</v>
      </c>
      <c r="I207">
        <v>2</v>
      </c>
      <c r="J207" t="s">
        <v>15</v>
      </c>
      <c r="K207" t="s">
        <v>32</v>
      </c>
      <c r="L207" t="s">
        <v>34</v>
      </c>
    </row>
    <row r="208" spans="1:12" x14ac:dyDescent="0.25">
      <c r="A208">
        <v>207</v>
      </c>
      <c r="B208" s="1">
        <v>41907</v>
      </c>
      <c r="C208" t="s">
        <v>28</v>
      </c>
      <c r="D208" t="s">
        <v>33</v>
      </c>
      <c r="E208" t="s">
        <v>14</v>
      </c>
      <c r="F208">
        <v>23</v>
      </c>
      <c r="G208">
        <v>12914</v>
      </c>
      <c r="H208">
        <v>15</v>
      </c>
      <c r="I208">
        <v>5</v>
      </c>
      <c r="J208" t="s">
        <v>15</v>
      </c>
      <c r="K208" t="s">
        <v>32</v>
      </c>
      <c r="L208" t="s">
        <v>21</v>
      </c>
    </row>
    <row r="209" spans="1:12" x14ac:dyDescent="0.25">
      <c r="A209">
        <v>208</v>
      </c>
      <c r="B209" s="1">
        <v>41061</v>
      </c>
      <c r="C209" t="s">
        <v>22</v>
      </c>
      <c r="D209" t="s">
        <v>23</v>
      </c>
      <c r="E209" t="s">
        <v>14</v>
      </c>
      <c r="F209">
        <v>41</v>
      </c>
      <c r="G209">
        <v>19866</v>
      </c>
      <c r="H209">
        <v>9</v>
      </c>
      <c r="I209">
        <v>4</v>
      </c>
      <c r="J209" t="s">
        <v>15</v>
      </c>
      <c r="K209" t="s">
        <v>32</v>
      </c>
      <c r="L209" t="s">
        <v>34</v>
      </c>
    </row>
    <row r="210" spans="1:12" x14ac:dyDescent="0.25">
      <c r="A210">
        <v>209</v>
      </c>
      <c r="B210" s="1">
        <v>42556</v>
      </c>
      <c r="C210" t="s">
        <v>12</v>
      </c>
      <c r="D210" t="s">
        <v>41</v>
      </c>
      <c r="E210" t="s">
        <v>24</v>
      </c>
      <c r="F210">
        <v>22</v>
      </c>
      <c r="G210">
        <v>8534</v>
      </c>
      <c r="H210">
        <v>0</v>
      </c>
      <c r="I210">
        <v>2</v>
      </c>
      <c r="J210" t="s">
        <v>15</v>
      </c>
      <c r="K210" t="s">
        <v>16</v>
      </c>
      <c r="L210" t="s">
        <v>34</v>
      </c>
    </row>
    <row r="211" spans="1:12" x14ac:dyDescent="0.25">
      <c r="A211">
        <v>210</v>
      </c>
      <c r="B211" s="1">
        <v>40505</v>
      </c>
      <c r="C211" t="s">
        <v>36</v>
      </c>
      <c r="D211" t="s">
        <v>42</v>
      </c>
      <c r="E211" t="s">
        <v>14</v>
      </c>
      <c r="F211">
        <v>53</v>
      </c>
      <c r="G211">
        <v>13928</v>
      </c>
      <c r="H211">
        <v>7</v>
      </c>
      <c r="I211">
        <v>4</v>
      </c>
      <c r="J211" t="s">
        <v>15</v>
      </c>
      <c r="K211" t="s">
        <v>16</v>
      </c>
      <c r="L211" t="s">
        <v>39</v>
      </c>
    </row>
    <row r="212" spans="1:12" x14ac:dyDescent="0.25">
      <c r="A212">
        <v>211</v>
      </c>
      <c r="B212" s="1">
        <v>40436</v>
      </c>
      <c r="C212" t="s">
        <v>18</v>
      </c>
      <c r="D212" t="s">
        <v>19</v>
      </c>
      <c r="E212" t="s">
        <v>14</v>
      </c>
      <c r="F212">
        <v>58</v>
      </c>
      <c r="G212">
        <v>17345</v>
      </c>
      <c r="H212">
        <v>1</v>
      </c>
      <c r="I212">
        <v>2</v>
      </c>
      <c r="J212" t="s">
        <v>15</v>
      </c>
      <c r="K212" t="s">
        <v>32</v>
      </c>
      <c r="L212" t="s">
        <v>21</v>
      </c>
    </row>
    <row r="213" spans="1:12" x14ac:dyDescent="0.25">
      <c r="A213">
        <v>212</v>
      </c>
      <c r="B213" s="1">
        <v>42912</v>
      </c>
      <c r="C213" t="s">
        <v>36</v>
      </c>
      <c r="D213" t="s">
        <v>37</v>
      </c>
      <c r="E213" t="s">
        <v>24</v>
      </c>
      <c r="F213">
        <v>52</v>
      </c>
      <c r="G213">
        <v>4663</v>
      </c>
      <c r="H213">
        <v>11</v>
      </c>
      <c r="I213">
        <v>2</v>
      </c>
      <c r="J213" t="s">
        <v>20</v>
      </c>
      <c r="K213" t="s">
        <v>27</v>
      </c>
      <c r="L213" t="s">
        <v>25</v>
      </c>
    </row>
    <row r="214" spans="1:12" x14ac:dyDescent="0.25">
      <c r="A214">
        <v>213</v>
      </c>
      <c r="B214" s="1">
        <v>40636</v>
      </c>
      <c r="C214" t="s">
        <v>22</v>
      </c>
      <c r="D214" t="s">
        <v>23</v>
      </c>
      <c r="E214" t="s">
        <v>24</v>
      </c>
      <c r="F214">
        <v>55</v>
      </c>
      <c r="G214">
        <v>9900</v>
      </c>
      <c r="H214">
        <v>8</v>
      </c>
      <c r="I214">
        <v>2</v>
      </c>
      <c r="J214" t="s">
        <v>20</v>
      </c>
      <c r="K214" t="s">
        <v>16</v>
      </c>
      <c r="L214" t="s">
        <v>34</v>
      </c>
    </row>
    <row r="215" spans="1:12" x14ac:dyDescent="0.25">
      <c r="A215">
        <v>214</v>
      </c>
      <c r="B215" s="1">
        <v>42010</v>
      </c>
      <c r="C215" t="s">
        <v>36</v>
      </c>
      <c r="D215" t="s">
        <v>40</v>
      </c>
      <c r="E215" t="s">
        <v>14</v>
      </c>
      <c r="F215">
        <v>51</v>
      </c>
      <c r="G215">
        <v>7713</v>
      </c>
      <c r="H215">
        <v>12</v>
      </c>
      <c r="I215">
        <v>4</v>
      </c>
      <c r="J215" t="s">
        <v>15</v>
      </c>
      <c r="K215" t="s">
        <v>16</v>
      </c>
      <c r="L215" t="s">
        <v>34</v>
      </c>
    </row>
    <row r="216" spans="1:12" x14ac:dyDescent="0.25">
      <c r="A216">
        <v>215</v>
      </c>
      <c r="B216" s="1">
        <v>43396</v>
      </c>
      <c r="C216" t="s">
        <v>18</v>
      </c>
      <c r="D216" t="s">
        <v>19</v>
      </c>
      <c r="E216" t="s">
        <v>14</v>
      </c>
      <c r="F216">
        <v>35</v>
      </c>
      <c r="G216">
        <v>19631</v>
      </c>
      <c r="H216">
        <v>11</v>
      </c>
      <c r="I216">
        <v>3</v>
      </c>
      <c r="J216" t="s">
        <v>20</v>
      </c>
      <c r="K216" t="s">
        <v>27</v>
      </c>
      <c r="L216" t="s">
        <v>17</v>
      </c>
    </row>
    <row r="217" spans="1:12" x14ac:dyDescent="0.25">
      <c r="A217">
        <v>216</v>
      </c>
      <c r="B217" s="1">
        <v>44364</v>
      </c>
      <c r="C217" t="s">
        <v>28</v>
      </c>
      <c r="D217" t="s">
        <v>29</v>
      </c>
      <c r="E217" t="s">
        <v>14</v>
      </c>
      <c r="F217">
        <v>26</v>
      </c>
      <c r="G217">
        <v>12713</v>
      </c>
      <c r="H217">
        <v>3</v>
      </c>
      <c r="I217">
        <v>1</v>
      </c>
      <c r="J217" t="s">
        <v>20</v>
      </c>
      <c r="K217" t="s">
        <v>32</v>
      </c>
      <c r="L217" t="s">
        <v>25</v>
      </c>
    </row>
    <row r="218" spans="1:12" x14ac:dyDescent="0.25">
      <c r="A218">
        <v>217</v>
      </c>
      <c r="B218" s="1">
        <v>41645</v>
      </c>
      <c r="C218" t="s">
        <v>36</v>
      </c>
      <c r="D218" t="s">
        <v>37</v>
      </c>
      <c r="E218" t="s">
        <v>24</v>
      </c>
      <c r="F218">
        <v>58</v>
      </c>
      <c r="G218">
        <v>6491</v>
      </c>
      <c r="H218">
        <v>2</v>
      </c>
      <c r="I218">
        <v>5</v>
      </c>
      <c r="J218" t="s">
        <v>15</v>
      </c>
      <c r="K218" t="s">
        <v>27</v>
      </c>
      <c r="L218" t="s">
        <v>17</v>
      </c>
    </row>
    <row r="219" spans="1:12" x14ac:dyDescent="0.25">
      <c r="A219">
        <v>218</v>
      </c>
      <c r="B219" s="1">
        <v>43756</v>
      </c>
      <c r="C219" t="s">
        <v>30</v>
      </c>
      <c r="D219" t="s">
        <v>31</v>
      </c>
      <c r="E219" t="s">
        <v>24</v>
      </c>
      <c r="F219">
        <v>22</v>
      </c>
      <c r="G219">
        <v>10212</v>
      </c>
      <c r="H219">
        <v>7</v>
      </c>
      <c r="I219">
        <v>1</v>
      </c>
      <c r="J219" t="s">
        <v>20</v>
      </c>
      <c r="K219" t="s">
        <v>27</v>
      </c>
      <c r="L219" t="s">
        <v>34</v>
      </c>
    </row>
    <row r="220" spans="1:12" x14ac:dyDescent="0.25">
      <c r="A220">
        <v>219</v>
      </c>
      <c r="B220" s="1">
        <v>43389</v>
      </c>
      <c r="C220" t="s">
        <v>22</v>
      </c>
      <c r="D220" t="s">
        <v>35</v>
      </c>
      <c r="E220" t="s">
        <v>24</v>
      </c>
      <c r="F220">
        <v>49</v>
      </c>
      <c r="G220">
        <v>11311</v>
      </c>
      <c r="H220">
        <v>14</v>
      </c>
      <c r="I220">
        <v>5</v>
      </c>
      <c r="J220" t="s">
        <v>20</v>
      </c>
      <c r="K220" t="s">
        <v>32</v>
      </c>
      <c r="L220" t="s">
        <v>34</v>
      </c>
    </row>
    <row r="221" spans="1:12" x14ac:dyDescent="0.25">
      <c r="A221">
        <v>220</v>
      </c>
      <c r="B221" s="1">
        <v>43420</v>
      </c>
      <c r="C221" t="s">
        <v>36</v>
      </c>
      <c r="D221" t="s">
        <v>37</v>
      </c>
      <c r="E221" t="s">
        <v>24</v>
      </c>
      <c r="F221">
        <v>49</v>
      </c>
      <c r="G221">
        <v>12562</v>
      </c>
      <c r="H221">
        <v>8</v>
      </c>
      <c r="I221">
        <v>4</v>
      </c>
      <c r="J221" t="s">
        <v>15</v>
      </c>
      <c r="K221" t="s">
        <v>32</v>
      </c>
      <c r="L221" t="s">
        <v>21</v>
      </c>
    </row>
    <row r="222" spans="1:12" x14ac:dyDescent="0.25">
      <c r="A222">
        <v>221</v>
      </c>
      <c r="B222" s="1">
        <v>41122</v>
      </c>
      <c r="C222" t="s">
        <v>28</v>
      </c>
      <c r="D222" t="s">
        <v>33</v>
      </c>
      <c r="E222" t="s">
        <v>14</v>
      </c>
      <c r="F222">
        <v>47</v>
      </c>
      <c r="G222">
        <v>6945</v>
      </c>
      <c r="H222">
        <v>13</v>
      </c>
      <c r="I222">
        <v>1</v>
      </c>
      <c r="J222" t="s">
        <v>15</v>
      </c>
      <c r="K222" t="s">
        <v>27</v>
      </c>
      <c r="L222" t="s">
        <v>34</v>
      </c>
    </row>
    <row r="223" spans="1:12" x14ac:dyDescent="0.25">
      <c r="A223">
        <v>222</v>
      </c>
      <c r="B223" s="1">
        <v>41905</v>
      </c>
      <c r="C223" t="s">
        <v>12</v>
      </c>
      <c r="D223" t="s">
        <v>13</v>
      </c>
      <c r="E223" t="s">
        <v>14</v>
      </c>
      <c r="F223">
        <v>27</v>
      </c>
      <c r="G223">
        <v>9376</v>
      </c>
      <c r="H223">
        <v>1</v>
      </c>
      <c r="I223">
        <v>2</v>
      </c>
      <c r="J223" t="s">
        <v>20</v>
      </c>
      <c r="K223" t="s">
        <v>32</v>
      </c>
      <c r="L223" t="s">
        <v>34</v>
      </c>
    </row>
    <row r="224" spans="1:12" x14ac:dyDescent="0.25">
      <c r="A224">
        <v>223</v>
      </c>
      <c r="B224" s="1">
        <v>40235</v>
      </c>
      <c r="C224" t="s">
        <v>18</v>
      </c>
      <c r="D224" t="s">
        <v>26</v>
      </c>
      <c r="E224" t="s">
        <v>24</v>
      </c>
      <c r="F224">
        <v>29</v>
      </c>
      <c r="G224">
        <v>17528</v>
      </c>
      <c r="H224">
        <v>10</v>
      </c>
      <c r="I224">
        <v>2</v>
      </c>
      <c r="J224" t="s">
        <v>20</v>
      </c>
      <c r="K224" t="s">
        <v>16</v>
      </c>
      <c r="L224" t="s">
        <v>25</v>
      </c>
    </row>
    <row r="225" spans="1:12" x14ac:dyDescent="0.25">
      <c r="A225">
        <v>224</v>
      </c>
      <c r="B225" s="1">
        <v>44277</v>
      </c>
      <c r="C225" t="s">
        <v>28</v>
      </c>
      <c r="D225" t="s">
        <v>33</v>
      </c>
      <c r="E225" t="s">
        <v>24</v>
      </c>
      <c r="F225">
        <v>39</v>
      </c>
      <c r="G225">
        <v>16595</v>
      </c>
      <c r="H225">
        <v>8</v>
      </c>
      <c r="I225">
        <v>5</v>
      </c>
      <c r="J225" t="s">
        <v>15</v>
      </c>
      <c r="K225" t="s">
        <v>32</v>
      </c>
      <c r="L225" t="s">
        <v>39</v>
      </c>
    </row>
    <row r="226" spans="1:12" x14ac:dyDescent="0.25">
      <c r="A226">
        <v>225</v>
      </c>
      <c r="B226" s="1">
        <v>41351</v>
      </c>
      <c r="C226" t="s">
        <v>18</v>
      </c>
      <c r="D226" t="s">
        <v>19</v>
      </c>
      <c r="E226" t="s">
        <v>24</v>
      </c>
      <c r="F226">
        <v>52</v>
      </c>
      <c r="G226">
        <v>9294</v>
      </c>
      <c r="H226">
        <v>3</v>
      </c>
      <c r="I226">
        <v>3</v>
      </c>
      <c r="J226" t="s">
        <v>20</v>
      </c>
      <c r="K226" t="s">
        <v>32</v>
      </c>
      <c r="L226" t="s">
        <v>21</v>
      </c>
    </row>
    <row r="227" spans="1:12" x14ac:dyDescent="0.25">
      <c r="A227">
        <v>226</v>
      </c>
      <c r="B227" s="1">
        <v>42027</v>
      </c>
      <c r="C227" t="s">
        <v>22</v>
      </c>
      <c r="D227" t="s">
        <v>23</v>
      </c>
      <c r="E227" t="s">
        <v>14</v>
      </c>
      <c r="F227">
        <v>39</v>
      </c>
      <c r="G227">
        <v>18679</v>
      </c>
      <c r="H227">
        <v>6</v>
      </c>
      <c r="I227">
        <v>1</v>
      </c>
      <c r="J227" t="s">
        <v>15</v>
      </c>
      <c r="K227" t="s">
        <v>27</v>
      </c>
      <c r="L227" t="s">
        <v>21</v>
      </c>
    </row>
    <row r="228" spans="1:12" x14ac:dyDescent="0.25">
      <c r="A228">
        <v>227</v>
      </c>
      <c r="B228" s="1">
        <v>43737</v>
      </c>
      <c r="C228" t="s">
        <v>18</v>
      </c>
      <c r="D228" t="s">
        <v>26</v>
      </c>
      <c r="E228" t="s">
        <v>24</v>
      </c>
      <c r="F228">
        <v>22</v>
      </c>
      <c r="G228">
        <v>12887</v>
      </c>
      <c r="H228">
        <v>12</v>
      </c>
      <c r="I228">
        <v>2</v>
      </c>
      <c r="J228" t="s">
        <v>20</v>
      </c>
      <c r="K228" t="s">
        <v>16</v>
      </c>
      <c r="L228" t="s">
        <v>21</v>
      </c>
    </row>
    <row r="229" spans="1:12" x14ac:dyDescent="0.25">
      <c r="A229">
        <v>228</v>
      </c>
      <c r="B229" s="1">
        <v>40822</v>
      </c>
      <c r="C229" t="s">
        <v>30</v>
      </c>
      <c r="D229" t="s">
        <v>38</v>
      </c>
      <c r="E229" t="s">
        <v>14</v>
      </c>
      <c r="F229">
        <v>28</v>
      </c>
      <c r="G229">
        <v>8807</v>
      </c>
      <c r="H229">
        <v>1</v>
      </c>
      <c r="I229">
        <v>3</v>
      </c>
      <c r="J229" t="s">
        <v>20</v>
      </c>
      <c r="K229" t="s">
        <v>32</v>
      </c>
      <c r="L229" t="s">
        <v>17</v>
      </c>
    </row>
    <row r="230" spans="1:12" x14ac:dyDescent="0.25">
      <c r="A230">
        <v>229</v>
      </c>
      <c r="B230" s="1">
        <v>42938</v>
      </c>
      <c r="C230" t="s">
        <v>28</v>
      </c>
      <c r="D230" t="s">
        <v>33</v>
      </c>
      <c r="E230" t="s">
        <v>14</v>
      </c>
      <c r="F230">
        <v>59</v>
      </c>
      <c r="G230">
        <v>17912</v>
      </c>
      <c r="H230">
        <v>12</v>
      </c>
      <c r="I230">
        <v>5</v>
      </c>
      <c r="J230" t="s">
        <v>15</v>
      </c>
      <c r="K230" t="s">
        <v>27</v>
      </c>
      <c r="L230" t="s">
        <v>25</v>
      </c>
    </row>
    <row r="231" spans="1:12" x14ac:dyDescent="0.25">
      <c r="A231">
        <v>230</v>
      </c>
      <c r="B231" s="1">
        <v>44164</v>
      </c>
      <c r="C231" t="s">
        <v>30</v>
      </c>
      <c r="D231" t="s">
        <v>38</v>
      </c>
      <c r="E231" t="s">
        <v>14</v>
      </c>
      <c r="F231">
        <v>24</v>
      </c>
      <c r="G231">
        <v>4536</v>
      </c>
      <c r="H231">
        <v>3</v>
      </c>
      <c r="I231">
        <v>5</v>
      </c>
      <c r="J231" t="s">
        <v>20</v>
      </c>
      <c r="K231" t="s">
        <v>32</v>
      </c>
      <c r="L231" t="s">
        <v>21</v>
      </c>
    </row>
    <row r="232" spans="1:12" x14ac:dyDescent="0.25">
      <c r="A232">
        <v>231</v>
      </c>
      <c r="B232" s="1">
        <v>41716</v>
      </c>
      <c r="C232" t="s">
        <v>30</v>
      </c>
      <c r="D232" t="s">
        <v>38</v>
      </c>
      <c r="E232" t="s">
        <v>14</v>
      </c>
      <c r="F232">
        <v>25</v>
      </c>
      <c r="G232">
        <v>4375</v>
      </c>
      <c r="H232">
        <v>6</v>
      </c>
      <c r="I232">
        <v>5</v>
      </c>
      <c r="J232" t="s">
        <v>15</v>
      </c>
      <c r="K232" t="s">
        <v>32</v>
      </c>
      <c r="L232" t="s">
        <v>21</v>
      </c>
    </row>
    <row r="233" spans="1:12" x14ac:dyDescent="0.25">
      <c r="A233">
        <v>232</v>
      </c>
      <c r="B233" s="1">
        <v>42490</v>
      </c>
      <c r="C233" t="s">
        <v>22</v>
      </c>
      <c r="D233" t="s">
        <v>35</v>
      </c>
      <c r="E233" t="s">
        <v>14</v>
      </c>
      <c r="F233">
        <v>60</v>
      </c>
      <c r="G233">
        <v>15901</v>
      </c>
      <c r="H233">
        <v>11</v>
      </c>
      <c r="I233">
        <v>2</v>
      </c>
      <c r="J233" t="s">
        <v>20</v>
      </c>
      <c r="K233" t="s">
        <v>27</v>
      </c>
      <c r="L233" t="s">
        <v>25</v>
      </c>
    </row>
    <row r="234" spans="1:12" x14ac:dyDescent="0.25">
      <c r="A234">
        <v>233</v>
      </c>
      <c r="B234" s="1">
        <v>42315</v>
      </c>
      <c r="C234" t="s">
        <v>28</v>
      </c>
      <c r="D234" t="s">
        <v>33</v>
      </c>
      <c r="E234" t="s">
        <v>24</v>
      </c>
      <c r="F234">
        <v>47</v>
      </c>
      <c r="G234">
        <v>17833</v>
      </c>
      <c r="H234">
        <v>10</v>
      </c>
      <c r="I234">
        <v>4</v>
      </c>
      <c r="J234" t="s">
        <v>20</v>
      </c>
      <c r="K234" t="s">
        <v>16</v>
      </c>
      <c r="L234" t="s">
        <v>21</v>
      </c>
    </row>
    <row r="235" spans="1:12" x14ac:dyDescent="0.25">
      <c r="A235">
        <v>234</v>
      </c>
      <c r="B235" s="1">
        <v>40481</v>
      </c>
      <c r="C235" t="s">
        <v>28</v>
      </c>
      <c r="D235" t="s">
        <v>33</v>
      </c>
      <c r="E235" t="s">
        <v>14</v>
      </c>
      <c r="F235">
        <v>44</v>
      </c>
      <c r="G235">
        <v>19664</v>
      </c>
      <c r="H235">
        <v>14</v>
      </c>
      <c r="I235">
        <v>2</v>
      </c>
      <c r="J235" t="s">
        <v>15</v>
      </c>
      <c r="K235" t="s">
        <v>27</v>
      </c>
      <c r="L235" t="s">
        <v>25</v>
      </c>
    </row>
    <row r="236" spans="1:12" x14ac:dyDescent="0.25">
      <c r="A236">
        <v>235</v>
      </c>
      <c r="B236" s="1">
        <v>44429</v>
      </c>
      <c r="C236" t="s">
        <v>12</v>
      </c>
      <c r="D236" t="s">
        <v>41</v>
      </c>
      <c r="E236" t="s">
        <v>24</v>
      </c>
      <c r="F236">
        <v>50</v>
      </c>
      <c r="G236">
        <v>14741</v>
      </c>
      <c r="H236">
        <v>8</v>
      </c>
      <c r="I236">
        <v>2</v>
      </c>
      <c r="J236" t="s">
        <v>15</v>
      </c>
      <c r="K236" t="s">
        <v>16</v>
      </c>
      <c r="L236" t="s">
        <v>17</v>
      </c>
    </row>
    <row r="237" spans="1:12" x14ac:dyDescent="0.25">
      <c r="A237">
        <v>236</v>
      </c>
      <c r="B237" s="1">
        <v>45146</v>
      </c>
      <c r="C237" t="s">
        <v>30</v>
      </c>
      <c r="D237" t="s">
        <v>31</v>
      </c>
      <c r="E237" t="s">
        <v>24</v>
      </c>
      <c r="F237">
        <v>51</v>
      </c>
      <c r="G237">
        <v>19639</v>
      </c>
      <c r="H237">
        <v>12</v>
      </c>
      <c r="I237">
        <v>1</v>
      </c>
      <c r="J237" t="s">
        <v>15</v>
      </c>
      <c r="K237" t="s">
        <v>32</v>
      </c>
      <c r="L237" t="s">
        <v>21</v>
      </c>
    </row>
    <row r="238" spans="1:12" x14ac:dyDescent="0.25">
      <c r="A238">
        <v>237</v>
      </c>
      <c r="B238" s="1">
        <v>40804</v>
      </c>
      <c r="C238" t="s">
        <v>12</v>
      </c>
      <c r="D238" t="s">
        <v>13</v>
      </c>
      <c r="E238" t="s">
        <v>24</v>
      </c>
      <c r="F238">
        <v>33</v>
      </c>
      <c r="G238">
        <v>15143</v>
      </c>
      <c r="H238">
        <v>4</v>
      </c>
      <c r="I238">
        <v>2</v>
      </c>
      <c r="J238" t="s">
        <v>20</v>
      </c>
      <c r="K238" t="s">
        <v>32</v>
      </c>
      <c r="L238" t="s">
        <v>21</v>
      </c>
    </row>
    <row r="239" spans="1:12" x14ac:dyDescent="0.25">
      <c r="A239">
        <v>238</v>
      </c>
      <c r="B239" s="1">
        <v>41413</v>
      </c>
      <c r="C239" t="s">
        <v>28</v>
      </c>
      <c r="D239" t="s">
        <v>29</v>
      </c>
      <c r="E239" t="s">
        <v>14</v>
      </c>
      <c r="F239">
        <v>33</v>
      </c>
      <c r="G239">
        <v>8996</v>
      </c>
      <c r="H239">
        <v>14</v>
      </c>
      <c r="I239">
        <v>2</v>
      </c>
      <c r="J239" t="s">
        <v>20</v>
      </c>
      <c r="K239" t="s">
        <v>27</v>
      </c>
      <c r="L239" t="s">
        <v>17</v>
      </c>
    </row>
    <row r="240" spans="1:12" x14ac:dyDescent="0.25">
      <c r="A240">
        <v>239</v>
      </c>
      <c r="B240" s="1">
        <v>41753</v>
      </c>
      <c r="C240" t="s">
        <v>18</v>
      </c>
      <c r="D240" t="s">
        <v>26</v>
      </c>
      <c r="E240" t="s">
        <v>24</v>
      </c>
      <c r="F240">
        <v>30</v>
      </c>
      <c r="G240">
        <v>7930</v>
      </c>
      <c r="H240">
        <v>9</v>
      </c>
      <c r="I240">
        <v>1</v>
      </c>
      <c r="J240" t="s">
        <v>15</v>
      </c>
      <c r="K240" t="s">
        <v>27</v>
      </c>
      <c r="L240" t="s">
        <v>34</v>
      </c>
    </row>
    <row r="241" spans="1:12" x14ac:dyDescent="0.25">
      <c r="A241">
        <v>240</v>
      </c>
      <c r="B241" s="1">
        <v>44097</v>
      </c>
      <c r="C241" t="s">
        <v>18</v>
      </c>
      <c r="D241" t="s">
        <v>19</v>
      </c>
      <c r="E241" t="s">
        <v>24</v>
      </c>
      <c r="F241">
        <v>29</v>
      </c>
      <c r="G241">
        <v>4079</v>
      </c>
      <c r="H241">
        <v>1</v>
      </c>
      <c r="I241">
        <v>1</v>
      </c>
      <c r="J241" t="s">
        <v>20</v>
      </c>
      <c r="K241" t="s">
        <v>27</v>
      </c>
      <c r="L241" t="s">
        <v>17</v>
      </c>
    </row>
    <row r="242" spans="1:12" x14ac:dyDescent="0.25">
      <c r="A242">
        <v>241</v>
      </c>
      <c r="B242" s="1">
        <v>44907</v>
      </c>
      <c r="C242" t="s">
        <v>12</v>
      </c>
      <c r="D242" t="s">
        <v>13</v>
      </c>
      <c r="E242" t="s">
        <v>14</v>
      </c>
      <c r="F242">
        <v>22</v>
      </c>
      <c r="G242">
        <v>8938</v>
      </c>
      <c r="H242">
        <v>6</v>
      </c>
      <c r="I242">
        <v>1</v>
      </c>
      <c r="J242" t="s">
        <v>20</v>
      </c>
      <c r="K242" t="s">
        <v>32</v>
      </c>
      <c r="L242" t="s">
        <v>25</v>
      </c>
    </row>
    <row r="243" spans="1:12" x14ac:dyDescent="0.25">
      <c r="A243">
        <v>242</v>
      </c>
      <c r="B243" s="1">
        <v>42291</v>
      </c>
      <c r="C243" t="s">
        <v>36</v>
      </c>
      <c r="D243" t="s">
        <v>42</v>
      </c>
      <c r="E243" t="s">
        <v>14</v>
      </c>
      <c r="F243">
        <v>39</v>
      </c>
      <c r="G243">
        <v>4150</v>
      </c>
      <c r="H243">
        <v>13</v>
      </c>
      <c r="I243">
        <v>3</v>
      </c>
      <c r="J243" t="s">
        <v>20</v>
      </c>
      <c r="K243" t="s">
        <v>16</v>
      </c>
      <c r="L243" t="s">
        <v>34</v>
      </c>
    </row>
    <row r="244" spans="1:12" x14ac:dyDescent="0.25">
      <c r="A244">
        <v>243</v>
      </c>
      <c r="B244" s="1">
        <v>41547</v>
      </c>
      <c r="C244" t="s">
        <v>36</v>
      </c>
      <c r="D244" t="s">
        <v>40</v>
      </c>
      <c r="E244" t="s">
        <v>24</v>
      </c>
      <c r="F244">
        <v>44</v>
      </c>
      <c r="G244">
        <v>19019</v>
      </c>
      <c r="H244">
        <v>11</v>
      </c>
      <c r="I244">
        <v>3</v>
      </c>
      <c r="J244" t="s">
        <v>20</v>
      </c>
      <c r="K244" t="s">
        <v>16</v>
      </c>
      <c r="L244" t="s">
        <v>25</v>
      </c>
    </row>
    <row r="245" spans="1:12" x14ac:dyDescent="0.25">
      <c r="A245">
        <v>244</v>
      </c>
      <c r="B245" s="1">
        <v>42869</v>
      </c>
      <c r="C245" t="s">
        <v>28</v>
      </c>
      <c r="D245" t="s">
        <v>33</v>
      </c>
      <c r="E245" t="s">
        <v>14</v>
      </c>
      <c r="F245">
        <v>44</v>
      </c>
      <c r="G245">
        <v>6943</v>
      </c>
      <c r="H245">
        <v>15</v>
      </c>
      <c r="I245">
        <v>3</v>
      </c>
      <c r="J245" t="s">
        <v>20</v>
      </c>
      <c r="K245" t="s">
        <v>16</v>
      </c>
      <c r="L245" t="s">
        <v>39</v>
      </c>
    </row>
    <row r="246" spans="1:12" x14ac:dyDescent="0.25">
      <c r="A246">
        <v>245</v>
      </c>
      <c r="B246" s="1">
        <v>44828</v>
      </c>
      <c r="C246" t="s">
        <v>12</v>
      </c>
      <c r="D246" t="s">
        <v>41</v>
      </c>
      <c r="E246" t="s">
        <v>14</v>
      </c>
      <c r="F246">
        <v>29</v>
      </c>
      <c r="G246">
        <v>16879</v>
      </c>
      <c r="H246">
        <v>0</v>
      </c>
      <c r="I246">
        <v>3</v>
      </c>
      <c r="J246" t="s">
        <v>20</v>
      </c>
      <c r="K246" t="s">
        <v>16</v>
      </c>
      <c r="L246" t="s">
        <v>17</v>
      </c>
    </row>
    <row r="247" spans="1:12" x14ac:dyDescent="0.25">
      <c r="A247">
        <v>246</v>
      </c>
      <c r="B247" s="1">
        <v>43280</v>
      </c>
      <c r="C247" t="s">
        <v>28</v>
      </c>
      <c r="D247" t="s">
        <v>33</v>
      </c>
      <c r="E247" t="s">
        <v>24</v>
      </c>
      <c r="F247">
        <v>53</v>
      </c>
      <c r="G247">
        <v>18039</v>
      </c>
      <c r="H247">
        <v>9</v>
      </c>
      <c r="I247">
        <v>5</v>
      </c>
      <c r="J247" t="s">
        <v>15</v>
      </c>
      <c r="K247" t="s">
        <v>32</v>
      </c>
      <c r="L247" t="s">
        <v>25</v>
      </c>
    </row>
    <row r="248" spans="1:12" x14ac:dyDescent="0.25">
      <c r="A248">
        <v>247</v>
      </c>
      <c r="B248" s="1">
        <v>44478</v>
      </c>
      <c r="C248" t="s">
        <v>36</v>
      </c>
      <c r="D248" t="s">
        <v>42</v>
      </c>
      <c r="E248" t="s">
        <v>14</v>
      </c>
      <c r="F248">
        <v>46</v>
      </c>
      <c r="G248">
        <v>14599</v>
      </c>
      <c r="H248">
        <v>7</v>
      </c>
      <c r="I248">
        <v>1</v>
      </c>
      <c r="J248" t="s">
        <v>15</v>
      </c>
      <c r="K248" t="s">
        <v>16</v>
      </c>
      <c r="L248" t="s">
        <v>34</v>
      </c>
    </row>
    <row r="249" spans="1:12" x14ac:dyDescent="0.25">
      <c r="A249">
        <v>248</v>
      </c>
      <c r="B249" s="1">
        <v>42418</v>
      </c>
      <c r="C249" t="s">
        <v>36</v>
      </c>
      <c r="D249" t="s">
        <v>37</v>
      </c>
      <c r="E249" t="s">
        <v>14</v>
      </c>
      <c r="F249">
        <v>38</v>
      </c>
      <c r="G249">
        <v>6074</v>
      </c>
      <c r="H249">
        <v>10</v>
      </c>
      <c r="I249">
        <v>3</v>
      </c>
      <c r="J249" t="s">
        <v>20</v>
      </c>
      <c r="K249" t="s">
        <v>32</v>
      </c>
      <c r="L249" t="s">
        <v>39</v>
      </c>
    </row>
    <row r="250" spans="1:12" x14ac:dyDescent="0.25">
      <c r="A250">
        <v>249</v>
      </c>
      <c r="B250" s="1">
        <v>42151</v>
      </c>
      <c r="C250" t="s">
        <v>30</v>
      </c>
      <c r="D250" t="s">
        <v>31</v>
      </c>
      <c r="E250" t="s">
        <v>24</v>
      </c>
      <c r="F250">
        <v>43</v>
      </c>
      <c r="G250">
        <v>9356</v>
      </c>
      <c r="H250">
        <v>3</v>
      </c>
      <c r="I250">
        <v>4</v>
      </c>
      <c r="J250" t="s">
        <v>15</v>
      </c>
      <c r="K250" t="s">
        <v>27</v>
      </c>
      <c r="L250" t="s">
        <v>17</v>
      </c>
    </row>
    <row r="251" spans="1:12" x14ac:dyDescent="0.25">
      <c r="A251">
        <v>250</v>
      </c>
      <c r="B251" s="1">
        <v>40721</v>
      </c>
      <c r="C251" t="s">
        <v>36</v>
      </c>
      <c r="D251" t="s">
        <v>40</v>
      </c>
      <c r="E251" t="s">
        <v>14</v>
      </c>
      <c r="F251">
        <v>60</v>
      </c>
      <c r="G251">
        <v>8927</v>
      </c>
      <c r="H251">
        <v>5</v>
      </c>
      <c r="I251">
        <v>2</v>
      </c>
      <c r="J251" t="s">
        <v>15</v>
      </c>
      <c r="K251" t="s">
        <v>16</v>
      </c>
      <c r="L251" t="s">
        <v>39</v>
      </c>
    </row>
    <row r="252" spans="1:12" x14ac:dyDescent="0.25">
      <c r="A252">
        <v>251</v>
      </c>
      <c r="B252" s="1">
        <v>43401</v>
      </c>
      <c r="C252" t="s">
        <v>12</v>
      </c>
      <c r="D252" t="s">
        <v>13</v>
      </c>
      <c r="E252" t="s">
        <v>24</v>
      </c>
      <c r="F252">
        <v>51</v>
      </c>
      <c r="G252">
        <v>7013</v>
      </c>
      <c r="H252">
        <v>7</v>
      </c>
      <c r="I252">
        <v>5</v>
      </c>
      <c r="J252" t="s">
        <v>15</v>
      </c>
      <c r="K252" t="s">
        <v>32</v>
      </c>
      <c r="L252" t="s">
        <v>21</v>
      </c>
    </row>
    <row r="253" spans="1:12" x14ac:dyDescent="0.25">
      <c r="A253">
        <v>252</v>
      </c>
      <c r="B253" s="1">
        <v>44881</v>
      </c>
      <c r="C253" t="s">
        <v>36</v>
      </c>
      <c r="D253" t="s">
        <v>37</v>
      </c>
      <c r="E253" t="s">
        <v>24</v>
      </c>
      <c r="F253">
        <v>58</v>
      </c>
      <c r="G253">
        <v>17241</v>
      </c>
      <c r="H253">
        <v>11</v>
      </c>
      <c r="I253">
        <v>4</v>
      </c>
      <c r="J253" t="s">
        <v>15</v>
      </c>
      <c r="K253" t="s">
        <v>32</v>
      </c>
      <c r="L253" t="s">
        <v>39</v>
      </c>
    </row>
    <row r="254" spans="1:12" x14ac:dyDescent="0.25">
      <c r="A254">
        <v>253</v>
      </c>
      <c r="B254" s="1">
        <v>40426</v>
      </c>
      <c r="C254" t="s">
        <v>28</v>
      </c>
      <c r="D254" t="s">
        <v>29</v>
      </c>
      <c r="E254" t="s">
        <v>14</v>
      </c>
      <c r="F254">
        <v>52</v>
      </c>
      <c r="G254">
        <v>4280</v>
      </c>
      <c r="H254">
        <v>5</v>
      </c>
      <c r="I254">
        <v>3</v>
      </c>
      <c r="J254" t="s">
        <v>20</v>
      </c>
      <c r="K254" t="s">
        <v>32</v>
      </c>
      <c r="L254" t="s">
        <v>25</v>
      </c>
    </row>
    <row r="255" spans="1:12" x14ac:dyDescent="0.25">
      <c r="A255">
        <v>254</v>
      </c>
      <c r="B255" s="1">
        <v>43447</v>
      </c>
      <c r="C255" t="s">
        <v>30</v>
      </c>
      <c r="D255" t="s">
        <v>38</v>
      </c>
      <c r="E255" t="s">
        <v>14</v>
      </c>
      <c r="F255">
        <v>41</v>
      </c>
      <c r="G255">
        <v>18424</v>
      </c>
      <c r="H255">
        <v>0</v>
      </c>
      <c r="I255">
        <v>2</v>
      </c>
      <c r="J255" t="s">
        <v>20</v>
      </c>
      <c r="K255" t="s">
        <v>16</v>
      </c>
      <c r="L255" t="s">
        <v>34</v>
      </c>
    </row>
    <row r="256" spans="1:12" x14ac:dyDescent="0.25">
      <c r="A256">
        <v>255</v>
      </c>
      <c r="B256" s="1">
        <v>43374</v>
      </c>
      <c r="C256" t="s">
        <v>12</v>
      </c>
      <c r="D256" t="s">
        <v>13</v>
      </c>
      <c r="E256" t="s">
        <v>24</v>
      </c>
      <c r="F256">
        <v>51</v>
      </c>
      <c r="G256">
        <v>5339</v>
      </c>
      <c r="H256">
        <v>7</v>
      </c>
      <c r="I256">
        <v>2</v>
      </c>
      <c r="J256" t="s">
        <v>20</v>
      </c>
      <c r="K256" t="s">
        <v>16</v>
      </c>
      <c r="L256" t="s">
        <v>21</v>
      </c>
    </row>
    <row r="257" spans="1:12" x14ac:dyDescent="0.25">
      <c r="A257">
        <v>256</v>
      </c>
      <c r="B257" s="1">
        <v>42285</v>
      </c>
      <c r="C257" t="s">
        <v>12</v>
      </c>
      <c r="D257" t="s">
        <v>41</v>
      </c>
      <c r="E257" t="s">
        <v>24</v>
      </c>
      <c r="F257">
        <v>43</v>
      </c>
      <c r="G257">
        <v>11145</v>
      </c>
      <c r="H257">
        <v>3</v>
      </c>
      <c r="I257">
        <v>2</v>
      </c>
      <c r="J257" t="s">
        <v>15</v>
      </c>
      <c r="K257" t="s">
        <v>32</v>
      </c>
      <c r="L257" t="s">
        <v>17</v>
      </c>
    </row>
    <row r="258" spans="1:12" x14ac:dyDescent="0.25">
      <c r="A258">
        <v>257</v>
      </c>
      <c r="B258" s="1">
        <v>43870</v>
      </c>
      <c r="C258" t="s">
        <v>12</v>
      </c>
      <c r="D258" t="s">
        <v>13</v>
      </c>
      <c r="E258" t="s">
        <v>24</v>
      </c>
      <c r="F258">
        <v>31</v>
      </c>
      <c r="G258">
        <v>11061</v>
      </c>
      <c r="H258">
        <v>8</v>
      </c>
      <c r="I258">
        <v>3</v>
      </c>
      <c r="J258" t="s">
        <v>15</v>
      </c>
      <c r="K258" t="s">
        <v>27</v>
      </c>
      <c r="L258" t="s">
        <v>21</v>
      </c>
    </row>
    <row r="259" spans="1:12" x14ac:dyDescent="0.25">
      <c r="A259">
        <v>258</v>
      </c>
      <c r="B259" s="1">
        <v>41471</v>
      </c>
      <c r="C259" t="s">
        <v>22</v>
      </c>
      <c r="D259" t="s">
        <v>23</v>
      </c>
      <c r="E259" t="s">
        <v>14</v>
      </c>
      <c r="F259">
        <v>40</v>
      </c>
      <c r="G259">
        <v>6978</v>
      </c>
      <c r="H259">
        <v>6</v>
      </c>
      <c r="I259">
        <v>1</v>
      </c>
      <c r="J259" t="s">
        <v>20</v>
      </c>
      <c r="K259" t="s">
        <v>27</v>
      </c>
      <c r="L259" t="s">
        <v>34</v>
      </c>
    </row>
    <row r="260" spans="1:12" x14ac:dyDescent="0.25">
      <c r="A260">
        <v>259</v>
      </c>
      <c r="B260" s="1">
        <v>44049</v>
      </c>
      <c r="C260" t="s">
        <v>28</v>
      </c>
      <c r="D260" t="s">
        <v>33</v>
      </c>
      <c r="E260" t="s">
        <v>24</v>
      </c>
      <c r="F260">
        <v>43</v>
      </c>
      <c r="G260">
        <v>12508</v>
      </c>
      <c r="H260">
        <v>2</v>
      </c>
      <c r="I260">
        <v>4</v>
      </c>
      <c r="J260" t="s">
        <v>20</v>
      </c>
      <c r="K260" t="s">
        <v>32</v>
      </c>
      <c r="L260" t="s">
        <v>34</v>
      </c>
    </row>
    <row r="261" spans="1:12" x14ac:dyDescent="0.25">
      <c r="A261">
        <v>260</v>
      </c>
      <c r="B261" s="1">
        <v>43726</v>
      </c>
      <c r="C261" t="s">
        <v>28</v>
      </c>
      <c r="D261" t="s">
        <v>33</v>
      </c>
      <c r="E261" t="s">
        <v>14</v>
      </c>
      <c r="F261">
        <v>55</v>
      </c>
      <c r="G261">
        <v>8049</v>
      </c>
      <c r="H261">
        <v>2</v>
      </c>
      <c r="I261">
        <v>4</v>
      </c>
      <c r="J261" t="s">
        <v>15</v>
      </c>
      <c r="K261" t="s">
        <v>27</v>
      </c>
      <c r="L261" t="s">
        <v>17</v>
      </c>
    </row>
    <row r="262" spans="1:12" x14ac:dyDescent="0.25">
      <c r="A262">
        <v>261</v>
      </c>
      <c r="B262" s="1">
        <v>42712</v>
      </c>
      <c r="C262" t="s">
        <v>36</v>
      </c>
      <c r="D262" t="s">
        <v>42</v>
      </c>
      <c r="E262" t="s">
        <v>24</v>
      </c>
      <c r="F262">
        <v>35</v>
      </c>
      <c r="G262">
        <v>8266</v>
      </c>
      <c r="H262">
        <v>13</v>
      </c>
      <c r="I262">
        <v>2</v>
      </c>
      <c r="J262" t="s">
        <v>20</v>
      </c>
      <c r="K262" t="s">
        <v>32</v>
      </c>
      <c r="L262" t="s">
        <v>34</v>
      </c>
    </row>
    <row r="263" spans="1:12" x14ac:dyDescent="0.25">
      <c r="A263">
        <v>262</v>
      </c>
      <c r="B263" s="1">
        <v>44315</v>
      </c>
      <c r="C263" t="s">
        <v>12</v>
      </c>
      <c r="D263" t="s">
        <v>41</v>
      </c>
      <c r="E263" t="s">
        <v>24</v>
      </c>
      <c r="F263">
        <v>32</v>
      </c>
      <c r="G263">
        <v>11633</v>
      </c>
      <c r="H263">
        <v>7</v>
      </c>
      <c r="I263">
        <v>1</v>
      </c>
      <c r="J263" t="s">
        <v>15</v>
      </c>
      <c r="K263" t="s">
        <v>32</v>
      </c>
      <c r="L263" t="s">
        <v>17</v>
      </c>
    </row>
    <row r="264" spans="1:12" x14ac:dyDescent="0.25">
      <c r="A264">
        <v>263</v>
      </c>
      <c r="B264" s="1">
        <v>44321</v>
      </c>
      <c r="C264" t="s">
        <v>22</v>
      </c>
      <c r="D264" t="s">
        <v>23</v>
      </c>
      <c r="E264" t="s">
        <v>14</v>
      </c>
      <c r="F264">
        <v>60</v>
      </c>
      <c r="G264">
        <v>9623</v>
      </c>
      <c r="H264">
        <v>0</v>
      </c>
      <c r="I264">
        <v>4</v>
      </c>
      <c r="J264" t="s">
        <v>15</v>
      </c>
      <c r="K264" t="s">
        <v>27</v>
      </c>
      <c r="L264" t="s">
        <v>39</v>
      </c>
    </row>
    <row r="265" spans="1:12" x14ac:dyDescent="0.25">
      <c r="A265">
        <v>264</v>
      </c>
      <c r="B265" s="1">
        <v>43705</v>
      </c>
      <c r="C265" t="s">
        <v>12</v>
      </c>
      <c r="D265" t="s">
        <v>13</v>
      </c>
      <c r="E265" t="s">
        <v>24</v>
      </c>
      <c r="F265">
        <v>33</v>
      </c>
      <c r="G265">
        <v>12343</v>
      </c>
      <c r="H265">
        <v>10</v>
      </c>
      <c r="I265">
        <v>1</v>
      </c>
      <c r="J265" t="s">
        <v>20</v>
      </c>
      <c r="K265" t="s">
        <v>32</v>
      </c>
      <c r="L265" t="s">
        <v>34</v>
      </c>
    </row>
    <row r="266" spans="1:12" x14ac:dyDescent="0.25">
      <c r="A266">
        <v>265</v>
      </c>
      <c r="B266" s="1">
        <v>42131</v>
      </c>
      <c r="C266" t="s">
        <v>12</v>
      </c>
      <c r="D266" t="s">
        <v>41</v>
      </c>
      <c r="E266" t="s">
        <v>14</v>
      </c>
      <c r="F266">
        <v>22</v>
      </c>
      <c r="G266">
        <v>8190</v>
      </c>
      <c r="H266">
        <v>14</v>
      </c>
      <c r="I266">
        <v>2</v>
      </c>
      <c r="J266" t="s">
        <v>15</v>
      </c>
      <c r="K266" t="s">
        <v>32</v>
      </c>
      <c r="L266" t="s">
        <v>34</v>
      </c>
    </row>
    <row r="267" spans="1:12" x14ac:dyDescent="0.25">
      <c r="A267">
        <v>266</v>
      </c>
      <c r="B267" s="1">
        <v>44612</v>
      </c>
      <c r="C267" t="s">
        <v>28</v>
      </c>
      <c r="D267" t="s">
        <v>33</v>
      </c>
      <c r="E267" t="s">
        <v>14</v>
      </c>
      <c r="F267">
        <v>26</v>
      </c>
      <c r="G267">
        <v>12008</v>
      </c>
      <c r="H267">
        <v>0</v>
      </c>
      <c r="I267">
        <v>1</v>
      </c>
      <c r="J267" t="s">
        <v>20</v>
      </c>
      <c r="K267" t="s">
        <v>27</v>
      </c>
      <c r="L267" t="s">
        <v>25</v>
      </c>
    </row>
    <row r="268" spans="1:12" x14ac:dyDescent="0.25">
      <c r="A268">
        <v>267</v>
      </c>
      <c r="B268" s="1">
        <v>40508</v>
      </c>
      <c r="C268" t="s">
        <v>30</v>
      </c>
      <c r="D268" t="s">
        <v>38</v>
      </c>
      <c r="E268" t="s">
        <v>24</v>
      </c>
      <c r="F268">
        <v>56</v>
      </c>
      <c r="G268">
        <v>8323</v>
      </c>
      <c r="H268">
        <v>9</v>
      </c>
      <c r="I268">
        <v>2</v>
      </c>
      <c r="J268" t="s">
        <v>15</v>
      </c>
      <c r="K268" t="s">
        <v>27</v>
      </c>
      <c r="L268" t="s">
        <v>25</v>
      </c>
    </row>
    <row r="269" spans="1:12" x14ac:dyDescent="0.25">
      <c r="A269">
        <v>268</v>
      </c>
      <c r="B269" s="1">
        <v>44566</v>
      </c>
      <c r="C269" t="s">
        <v>18</v>
      </c>
      <c r="D269" t="s">
        <v>19</v>
      </c>
      <c r="E269" t="s">
        <v>14</v>
      </c>
      <c r="F269">
        <v>50</v>
      </c>
      <c r="G269">
        <v>14506</v>
      </c>
      <c r="H269">
        <v>15</v>
      </c>
      <c r="I269">
        <v>1</v>
      </c>
      <c r="J269" t="s">
        <v>20</v>
      </c>
      <c r="K269" t="s">
        <v>16</v>
      </c>
      <c r="L269" t="s">
        <v>25</v>
      </c>
    </row>
    <row r="270" spans="1:12" x14ac:dyDescent="0.25">
      <c r="A270">
        <v>269</v>
      </c>
      <c r="B270" s="1">
        <v>40941</v>
      </c>
      <c r="C270" t="s">
        <v>18</v>
      </c>
      <c r="D270" t="s">
        <v>26</v>
      </c>
      <c r="E270" t="s">
        <v>14</v>
      </c>
      <c r="F270">
        <v>46</v>
      </c>
      <c r="G270">
        <v>7397</v>
      </c>
      <c r="H270">
        <v>13</v>
      </c>
      <c r="I270">
        <v>4</v>
      </c>
      <c r="J270" t="s">
        <v>20</v>
      </c>
      <c r="K270" t="s">
        <v>32</v>
      </c>
      <c r="L270" t="s">
        <v>21</v>
      </c>
    </row>
    <row r="271" spans="1:12" x14ac:dyDescent="0.25">
      <c r="A271">
        <v>270</v>
      </c>
      <c r="B271" s="1">
        <v>42068</v>
      </c>
      <c r="C271" t="s">
        <v>28</v>
      </c>
      <c r="D271" t="s">
        <v>29</v>
      </c>
      <c r="E271" t="s">
        <v>14</v>
      </c>
      <c r="F271">
        <v>29</v>
      </c>
      <c r="G271">
        <v>16381</v>
      </c>
      <c r="H271">
        <v>7</v>
      </c>
      <c r="I271">
        <v>3</v>
      </c>
      <c r="J271" t="s">
        <v>15</v>
      </c>
      <c r="K271" t="s">
        <v>32</v>
      </c>
      <c r="L271" t="s">
        <v>34</v>
      </c>
    </row>
    <row r="272" spans="1:12" x14ac:dyDescent="0.25">
      <c r="A272">
        <v>271</v>
      </c>
      <c r="B272" s="1">
        <v>41584</v>
      </c>
      <c r="C272" t="s">
        <v>12</v>
      </c>
      <c r="D272" t="s">
        <v>13</v>
      </c>
      <c r="E272" t="s">
        <v>24</v>
      </c>
      <c r="F272">
        <v>32</v>
      </c>
      <c r="G272">
        <v>6577</v>
      </c>
      <c r="H272">
        <v>12</v>
      </c>
      <c r="I272">
        <v>1</v>
      </c>
      <c r="J272" t="s">
        <v>15</v>
      </c>
      <c r="K272" t="s">
        <v>32</v>
      </c>
      <c r="L272" t="s">
        <v>21</v>
      </c>
    </row>
    <row r="273" spans="1:12" x14ac:dyDescent="0.25">
      <c r="A273">
        <v>272</v>
      </c>
      <c r="B273" s="1">
        <v>41363</v>
      </c>
      <c r="C273" t="s">
        <v>18</v>
      </c>
      <c r="D273" t="s">
        <v>19</v>
      </c>
      <c r="E273" t="s">
        <v>14</v>
      </c>
      <c r="F273">
        <v>51</v>
      </c>
      <c r="G273">
        <v>17711</v>
      </c>
      <c r="H273">
        <v>8</v>
      </c>
      <c r="I273">
        <v>1</v>
      </c>
      <c r="J273" t="s">
        <v>20</v>
      </c>
      <c r="K273" t="s">
        <v>32</v>
      </c>
      <c r="L273" t="s">
        <v>21</v>
      </c>
    </row>
    <row r="274" spans="1:12" x14ac:dyDescent="0.25">
      <c r="A274">
        <v>273</v>
      </c>
      <c r="B274" s="1">
        <v>41977</v>
      </c>
      <c r="C274" t="s">
        <v>30</v>
      </c>
      <c r="D274" t="s">
        <v>31</v>
      </c>
      <c r="E274" t="s">
        <v>24</v>
      </c>
      <c r="F274">
        <v>38</v>
      </c>
      <c r="G274">
        <v>11299</v>
      </c>
      <c r="H274">
        <v>5</v>
      </c>
      <c r="I274">
        <v>4</v>
      </c>
      <c r="J274" t="s">
        <v>20</v>
      </c>
      <c r="K274" t="s">
        <v>32</v>
      </c>
      <c r="L274" t="s">
        <v>34</v>
      </c>
    </row>
    <row r="275" spans="1:12" x14ac:dyDescent="0.25">
      <c r="A275">
        <v>274</v>
      </c>
      <c r="B275" s="1">
        <v>40601</v>
      </c>
      <c r="C275" t="s">
        <v>12</v>
      </c>
      <c r="D275" t="s">
        <v>13</v>
      </c>
      <c r="E275" t="s">
        <v>24</v>
      </c>
      <c r="F275">
        <v>32</v>
      </c>
      <c r="G275">
        <v>4140</v>
      </c>
      <c r="H275">
        <v>5</v>
      </c>
      <c r="I275">
        <v>5</v>
      </c>
      <c r="J275" t="s">
        <v>20</v>
      </c>
      <c r="K275" t="s">
        <v>16</v>
      </c>
      <c r="L275" t="s">
        <v>34</v>
      </c>
    </row>
    <row r="276" spans="1:12" x14ac:dyDescent="0.25">
      <c r="A276">
        <v>275</v>
      </c>
      <c r="B276" s="1">
        <v>44045</v>
      </c>
      <c r="C276" t="s">
        <v>18</v>
      </c>
      <c r="D276" t="s">
        <v>19</v>
      </c>
      <c r="E276" t="s">
        <v>24</v>
      </c>
      <c r="F276">
        <v>55</v>
      </c>
      <c r="G276">
        <v>19218</v>
      </c>
      <c r="H276">
        <v>11</v>
      </c>
      <c r="I276">
        <v>5</v>
      </c>
      <c r="J276" t="s">
        <v>20</v>
      </c>
      <c r="K276" t="s">
        <v>32</v>
      </c>
      <c r="L276" t="s">
        <v>17</v>
      </c>
    </row>
    <row r="277" spans="1:12" x14ac:dyDescent="0.25">
      <c r="A277">
        <v>276</v>
      </c>
      <c r="B277" s="1">
        <v>40236</v>
      </c>
      <c r="C277" t="s">
        <v>30</v>
      </c>
      <c r="D277" t="s">
        <v>38</v>
      </c>
      <c r="E277" t="s">
        <v>14</v>
      </c>
      <c r="F277">
        <v>56</v>
      </c>
      <c r="G277">
        <v>15061</v>
      </c>
      <c r="H277">
        <v>1</v>
      </c>
      <c r="I277">
        <v>3</v>
      </c>
      <c r="J277" t="s">
        <v>15</v>
      </c>
      <c r="K277" t="s">
        <v>16</v>
      </c>
      <c r="L277" t="s">
        <v>25</v>
      </c>
    </row>
    <row r="278" spans="1:12" x14ac:dyDescent="0.25">
      <c r="A278">
        <v>277</v>
      </c>
      <c r="B278" s="1">
        <v>41163</v>
      </c>
      <c r="C278" t="s">
        <v>30</v>
      </c>
      <c r="D278" t="s">
        <v>31</v>
      </c>
      <c r="E278" t="s">
        <v>14</v>
      </c>
      <c r="F278">
        <v>37</v>
      </c>
      <c r="G278">
        <v>10994</v>
      </c>
      <c r="H278">
        <v>15</v>
      </c>
      <c r="I278">
        <v>4</v>
      </c>
      <c r="J278" t="s">
        <v>20</v>
      </c>
      <c r="K278" t="s">
        <v>16</v>
      </c>
      <c r="L278" t="s">
        <v>25</v>
      </c>
    </row>
    <row r="279" spans="1:12" x14ac:dyDescent="0.25">
      <c r="A279">
        <v>278</v>
      </c>
      <c r="B279" s="1">
        <v>41343</v>
      </c>
      <c r="C279" t="s">
        <v>28</v>
      </c>
      <c r="D279" t="s">
        <v>33</v>
      </c>
      <c r="E279" t="s">
        <v>14</v>
      </c>
      <c r="F279">
        <v>27</v>
      </c>
      <c r="G279">
        <v>6223</v>
      </c>
      <c r="H279">
        <v>1</v>
      </c>
      <c r="I279">
        <v>1</v>
      </c>
      <c r="J279" t="s">
        <v>20</v>
      </c>
      <c r="K279" t="s">
        <v>16</v>
      </c>
      <c r="L279" t="s">
        <v>25</v>
      </c>
    </row>
    <row r="280" spans="1:12" x14ac:dyDescent="0.25">
      <c r="A280">
        <v>279</v>
      </c>
      <c r="B280" s="1">
        <v>45101</v>
      </c>
      <c r="C280" t="s">
        <v>22</v>
      </c>
      <c r="D280" t="s">
        <v>23</v>
      </c>
      <c r="E280" t="s">
        <v>14</v>
      </c>
      <c r="F280">
        <v>46</v>
      </c>
      <c r="G280">
        <v>18462</v>
      </c>
      <c r="H280">
        <v>12</v>
      </c>
      <c r="I280">
        <v>3</v>
      </c>
      <c r="J280" t="s">
        <v>15</v>
      </c>
      <c r="K280" t="s">
        <v>27</v>
      </c>
      <c r="L280" t="s">
        <v>34</v>
      </c>
    </row>
    <row r="281" spans="1:12" x14ac:dyDescent="0.25">
      <c r="A281">
        <v>280</v>
      </c>
      <c r="B281" s="1">
        <v>41557</v>
      </c>
      <c r="C281" t="s">
        <v>36</v>
      </c>
      <c r="D281" t="s">
        <v>42</v>
      </c>
      <c r="E281" t="s">
        <v>24</v>
      </c>
      <c r="F281">
        <v>45</v>
      </c>
      <c r="G281">
        <v>7544</v>
      </c>
      <c r="H281">
        <v>2</v>
      </c>
      <c r="I281">
        <v>4</v>
      </c>
      <c r="J281" t="s">
        <v>20</v>
      </c>
      <c r="K281" t="s">
        <v>16</v>
      </c>
      <c r="L281" t="s">
        <v>34</v>
      </c>
    </row>
    <row r="282" spans="1:12" x14ac:dyDescent="0.25">
      <c r="A282">
        <v>281</v>
      </c>
      <c r="B282" s="1">
        <v>40624</v>
      </c>
      <c r="C282" t="s">
        <v>36</v>
      </c>
      <c r="D282" t="s">
        <v>42</v>
      </c>
      <c r="E282" t="s">
        <v>24</v>
      </c>
      <c r="F282">
        <v>35</v>
      </c>
      <c r="G282">
        <v>16492</v>
      </c>
      <c r="H282">
        <v>13</v>
      </c>
      <c r="I282">
        <v>2</v>
      </c>
      <c r="J282" t="s">
        <v>20</v>
      </c>
      <c r="K282" t="s">
        <v>32</v>
      </c>
      <c r="L282" t="s">
        <v>17</v>
      </c>
    </row>
    <row r="283" spans="1:12" x14ac:dyDescent="0.25">
      <c r="A283">
        <v>282</v>
      </c>
      <c r="B283" s="1">
        <v>44201</v>
      </c>
      <c r="C283" t="s">
        <v>22</v>
      </c>
      <c r="D283" t="s">
        <v>35</v>
      </c>
      <c r="E283" t="s">
        <v>14</v>
      </c>
      <c r="F283">
        <v>45</v>
      </c>
      <c r="G283">
        <v>19673</v>
      </c>
      <c r="H283">
        <v>1</v>
      </c>
      <c r="I283">
        <v>2</v>
      </c>
      <c r="J283" t="s">
        <v>20</v>
      </c>
      <c r="K283" t="s">
        <v>32</v>
      </c>
      <c r="L283" t="s">
        <v>17</v>
      </c>
    </row>
    <row r="284" spans="1:12" x14ac:dyDescent="0.25">
      <c r="A284">
        <v>283</v>
      </c>
      <c r="B284" s="1">
        <v>43974</v>
      </c>
      <c r="C284" t="s">
        <v>36</v>
      </c>
      <c r="D284" t="s">
        <v>37</v>
      </c>
      <c r="E284" t="s">
        <v>14</v>
      </c>
      <c r="F284">
        <v>41</v>
      </c>
      <c r="G284">
        <v>7135</v>
      </c>
      <c r="H284">
        <v>14</v>
      </c>
      <c r="I284">
        <v>2</v>
      </c>
      <c r="J284" t="s">
        <v>20</v>
      </c>
      <c r="K284" t="s">
        <v>32</v>
      </c>
      <c r="L284" t="s">
        <v>39</v>
      </c>
    </row>
    <row r="285" spans="1:12" x14ac:dyDescent="0.25">
      <c r="A285">
        <v>284</v>
      </c>
      <c r="B285" s="1">
        <v>42828</v>
      </c>
      <c r="C285" t="s">
        <v>22</v>
      </c>
      <c r="D285" t="s">
        <v>35</v>
      </c>
      <c r="E285" t="s">
        <v>14</v>
      </c>
      <c r="F285">
        <v>50</v>
      </c>
      <c r="G285">
        <v>15483</v>
      </c>
      <c r="H285">
        <v>15</v>
      </c>
      <c r="I285">
        <v>2</v>
      </c>
      <c r="J285" t="s">
        <v>20</v>
      </c>
      <c r="K285" t="s">
        <v>32</v>
      </c>
      <c r="L285" t="s">
        <v>39</v>
      </c>
    </row>
    <row r="286" spans="1:12" x14ac:dyDescent="0.25">
      <c r="A286">
        <v>285</v>
      </c>
      <c r="B286" s="1">
        <v>43656</v>
      </c>
      <c r="C286" t="s">
        <v>30</v>
      </c>
      <c r="D286" t="s">
        <v>38</v>
      </c>
      <c r="E286" t="s">
        <v>14</v>
      </c>
      <c r="F286">
        <v>36</v>
      </c>
      <c r="G286">
        <v>5637</v>
      </c>
      <c r="H286">
        <v>2</v>
      </c>
      <c r="I286">
        <v>5</v>
      </c>
      <c r="J286" t="s">
        <v>15</v>
      </c>
      <c r="K286" t="s">
        <v>16</v>
      </c>
      <c r="L286" t="s">
        <v>34</v>
      </c>
    </row>
    <row r="287" spans="1:12" x14ac:dyDescent="0.25">
      <c r="A287">
        <v>286</v>
      </c>
      <c r="B287" s="1">
        <v>42440</v>
      </c>
      <c r="C287" t="s">
        <v>30</v>
      </c>
      <c r="D287" t="s">
        <v>31</v>
      </c>
      <c r="E287" t="s">
        <v>14</v>
      </c>
      <c r="F287">
        <v>23</v>
      </c>
      <c r="G287">
        <v>14807</v>
      </c>
      <c r="H287">
        <v>3</v>
      </c>
      <c r="I287">
        <v>5</v>
      </c>
      <c r="J287" t="s">
        <v>20</v>
      </c>
      <c r="K287" t="s">
        <v>27</v>
      </c>
      <c r="L287" t="s">
        <v>17</v>
      </c>
    </row>
    <row r="288" spans="1:12" x14ac:dyDescent="0.25">
      <c r="A288">
        <v>287</v>
      </c>
      <c r="B288" s="1">
        <v>44687</v>
      </c>
      <c r="C288" t="s">
        <v>28</v>
      </c>
      <c r="D288" t="s">
        <v>29</v>
      </c>
      <c r="E288" t="s">
        <v>24</v>
      </c>
      <c r="F288">
        <v>30</v>
      </c>
      <c r="G288">
        <v>16045</v>
      </c>
      <c r="H288">
        <v>5</v>
      </c>
      <c r="I288">
        <v>5</v>
      </c>
      <c r="J288" t="s">
        <v>20</v>
      </c>
      <c r="K288" t="s">
        <v>32</v>
      </c>
      <c r="L288" t="s">
        <v>17</v>
      </c>
    </row>
    <row r="289" spans="1:12" x14ac:dyDescent="0.25">
      <c r="A289">
        <v>288</v>
      </c>
      <c r="B289" s="1">
        <v>42257</v>
      </c>
      <c r="C289" t="s">
        <v>12</v>
      </c>
      <c r="D289" t="s">
        <v>13</v>
      </c>
      <c r="E289" t="s">
        <v>14</v>
      </c>
      <c r="F289">
        <v>47</v>
      </c>
      <c r="G289">
        <v>19304</v>
      </c>
      <c r="H289">
        <v>6</v>
      </c>
      <c r="I289">
        <v>4</v>
      </c>
      <c r="J289" t="s">
        <v>20</v>
      </c>
      <c r="K289" t="s">
        <v>32</v>
      </c>
      <c r="L289" t="s">
        <v>25</v>
      </c>
    </row>
    <row r="290" spans="1:12" x14ac:dyDescent="0.25">
      <c r="A290">
        <v>289</v>
      </c>
      <c r="B290" s="1">
        <v>44052</v>
      </c>
      <c r="C290" t="s">
        <v>28</v>
      </c>
      <c r="D290" t="s">
        <v>29</v>
      </c>
      <c r="E290" t="s">
        <v>14</v>
      </c>
      <c r="F290">
        <v>56</v>
      </c>
      <c r="G290">
        <v>8084</v>
      </c>
      <c r="H290">
        <v>4</v>
      </c>
      <c r="I290">
        <v>2</v>
      </c>
      <c r="J290" t="s">
        <v>15</v>
      </c>
      <c r="K290" t="s">
        <v>27</v>
      </c>
      <c r="L290" t="s">
        <v>34</v>
      </c>
    </row>
    <row r="291" spans="1:12" x14ac:dyDescent="0.25">
      <c r="A291">
        <v>290</v>
      </c>
      <c r="B291" s="1">
        <v>43644</v>
      </c>
      <c r="C291" t="s">
        <v>36</v>
      </c>
      <c r="D291" t="s">
        <v>42</v>
      </c>
      <c r="E291" t="s">
        <v>14</v>
      </c>
      <c r="F291">
        <v>34</v>
      </c>
      <c r="G291">
        <v>6195</v>
      </c>
      <c r="H291">
        <v>2</v>
      </c>
      <c r="I291">
        <v>4</v>
      </c>
      <c r="J291" t="s">
        <v>15</v>
      </c>
      <c r="K291" t="s">
        <v>16</v>
      </c>
      <c r="L291" t="s">
        <v>21</v>
      </c>
    </row>
    <row r="292" spans="1:12" x14ac:dyDescent="0.25">
      <c r="A292">
        <v>291</v>
      </c>
      <c r="B292" s="1">
        <v>40914</v>
      </c>
      <c r="C292" t="s">
        <v>36</v>
      </c>
      <c r="D292" t="s">
        <v>42</v>
      </c>
      <c r="E292" t="s">
        <v>14</v>
      </c>
      <c r="F292">
        <v>45</v>
      </c>
      <c r="G292">
        <v>5798</v>
      </c>
      <c r="H292">
        <v>6</v>
      </c>
      <c r="I292">
        <v>1</v>
      </c>
      <c r="J292" t="s">
        <v>20</v>
      </c>
      <c r="K292" t="s">
        <v>32</v>
      </c>
      <c r="L292" t="s">
        <v>17</v>
      </c>
    </row>
    <row r="293" spans="1:12" x14ac:dyDescent="0.25">
      <c r="A293">
        <v>292</v>
      </c>
      <c r="B293" s="1">
        <v>41984</v>
      </c>
      <c r="C293" t="s">
        <v>28</v>
      </c>
      <c r="D293" t="s">
        <v>29</v>
      </c>
      <c r="E293" t="s">
        <v>24</v>
      </c>
      <c r="F293">
        <v>41</v>
      </c>
      <c r="G293">
        <v>13111</v>
      </c>
      <c r="H293">
        <v>5</v>
      </c>
      <c r="I293">
        <v>1</v>
      </c>
      <c r="J293" t="s">
        <v>15</v>
      </c>
      <c r="K293" t="s">
        <v>32</v>
      </c>
      <c r="L293" t="s">
        <v>17</v>
      </c>
    </row>
    <row r="294" spans="1:12" x14ac:dyDescent="0.25">
      <c r="A294">
        <v>293</v>
      </c>
      <c r="B294" s="1">
        <v>43028</v>
      </c>
      <c r="C294" t="s">
        <v>28</v>
      </c>
      <c r="D294" t="s">
        <v>29</v>
      </c>
      <c r="E294" t="s">
        <v>24</v>
      </c>
      <c r="F294">
        <v>59</v>
      </c>
      <c r="G294">
        <v>17012</v>
      </c>
      <c r="H294">
        <v>1</v>
      </c>
      <c r="I294">
        <v>5</v>
      </c>
      <c r="J294" t="s">
        <v>15</v>
      </c>
      <c r="K294" t="s">
        <v>16</v>
      </c>
      <c r="L294" t="s">
        <v>34</v>
      </c>
    </row>
    <row r="295" spans="1:12" x14ac:dyDescent="0.25">
      <c r="A295">
        <v>294</v>
      </c>
      <c r="B295" s="1">
        <v>44358</v>
      </c>
      <c r="C295" t="s">
        <v>30</v>
      </c>
      <c r="D295" t="s">
        <v>38</v>
      </c>
      <c r="E295" t="s">
        <v>14</v>
      </c>
      <c r="F295">
        <v>31</v>
      </c>
      <c r="G295">
        <v>8868</v>
      </c>
      <c r="H295">
        <v>8</v>
      </c>
      <c r="I295">
        <v>3</v>
      </c>
      <c r="J295" t="s">
        <v>20</v>
      </c>
      <c r="K295" t="s">
        <v>32</v>
      </c>
      <c r="L295" t="s">
        <v>21</v>
      </c>
    </row>
    <row r="296" spans="1:12" x14ac:dyDescent="0.25">
      <c r="A296">
        <v>295</v>
      </c>
      <c r="B296" s="1">
        <v>41773</v>
      </c>
      <c r="C296" t="s">
        <v>36</v>
      </c>
      <c r="D296" t="s">
        <v>40</v>
      </c>
      <c r="E296" t="s">
        <v>24</v>
      </c>
      <c r="F296">
        <v>59</v>
      </c>
      <c r="G296">
        <v>5060</v>
      </c>
      <c r="H296">
        <v>5</v>
      </c>
      <c r="I296">
        <v>2</v>
      </c>
      <c r="J296" t="s">
        <v>15</v>
      </c>
      <c r="K296" t="s">
        <v>16</v>
      </c>
      <c r="L296" t="s">
        <v>25</v>
      </c>
    </row>
    <row r="297" spans="1:12" x14ac:dyDescent="0.25">
      <c r="A297">
        <v>296</v>
      </c>
      <c r="B297" s="1">
        <v>41211</v>
      </c>
      <c r="C297" t="s">
        <v>36</v>
      </c>
      <c r="D297" t="s">
        <v>42</v>
      </c>
      <c r="E297" t="s">
        <v>24</v>
      </c>
      <c r="F297">
        <v>53</v>
      </c>
      <c r="G297">
        <v>18713</v>
      </c>
      <c r="H297">
        <v>4</v>
      </c>
      <c r="I297">
        <v>4</v>
      </c>
      <c r="J297" t="s">
        <v>15</v>
      </c>
      <c r="K297" t="s">
        <v>27</v>
      </c>
      <c r="L297" t="s">
        <v>25</v>
      </c>
    </row>
    <row r="298" spans="1:12" x14ac:dyDescent="0.25">
      <c r="A298">
        <v>297</v>
      </c>
      <c r="B298" s="1">
        <v>44291</v>
      </c>
      <c r="C298" t="s">
        <v>36</v>
      </c>
      <c r="D298" t="s">
        <v>40</v>
      </c>
      <c r="E298" t="s">
        <v>24</v>
      </c>
      <c r="F298">
        <v>33</v>
      </c>
      <c r="G298">
        <v>18551</v>
      </c>
      <c r="H298">
        <v>10</v>
      </c>
      <c r="I298">
        <v>4</v>
      </c>
      <c r="J298" t="s">
        <v>15</v>
      </c>
      <c r="K298" t="s">
        <v>16</v>
      </c>
      <c r="L298" t="s">
        <v>17</v>
      </c>
    </row>
    <row r="299" spans="1:12" x14ac:dyDescent="0.25">
      <c r="A299">
        <v>298</v>
      </c>
      <c r="B299" s="1">
        <v>43311</v>
      </c>
      <c r="C299" t="s">
        <v>36</v>
      </c>
      <c r="D299" t="s">
        <v>42</v>
      </c>
      <c r="E299" t="s">
        <v>24</v>
      </c>
      <c r="F299">
        <v>60</v>
      </c>
      <c r="G299">
        <v>12963</v>
      </c>
      <c r="H299">
        <v>10</v>
      </c>
      <c r="I299">
        <v>5</v>
      </c>
      <c r="J299" t="s">
        <v>15</v>
      </c>
      <c r="K299" t="s">
        <v>27</v>
      </c>
      <c r="L299" t="s">
        <v>25</v>
      </c>
    </row>
    <row r="300" spans="1:12" x14ac:dyDescent="0.25">
      <c r="A300">
        <v>299</v>
      </c>
      <c r="B300" s="1">
        <v>44981</v>
      </c>
      <c r="C300" t="s">
        <v>28</v>
      </c>
      <c r="D300" t="s">
        <v>33</v>
      </c>
      <c r="E300" t="s">
        <v>24</v>
      </c>
      <c r="F300">
        <v>33</v>
      </c>
      <c r="G300">
        <v>7785</v>
      </c>
      <c r="H300">
        <v>5</v>
      </c>
      <c r="I300">
        <v>1</v>
      </c>
      <c r="J300" t="s">
        <v>15</v>
      </c>
      <c r="K300" t="s">
        <v>32</v>
      </c>
      <c r="L300" t="s">
        <v>25</v>
      </c>
    </row>
    <row r="301" spans="1:12" x14ac:dyDescent="0.25">
      <c r="A301">
        <v>300</v>
      </c>
      <c r="B301" s="1">
        <v>44541</v>
      </c>
      <c r="C301" t="s">
        <v>30</v>
      </c>
      <c r="D301" t="s">
        <v>38</v>
      </c>
      <c r="E301" t="s">
        <v>24</v>
      </c>
      <c r="F301">
        <v>42</v>
      </c>
      <c r="G301">
        <v>15916</v>
      </c>
      <c r="H301">
        <v>3</v>
      </c>
      <c r="I301">
        <v>2</v>
      </c>
      <c r="J301" t="s">
        <v>15</v>
      </c>
      <c r="K301" t="s">
        <v>16</v>
      </c>
      <c r="L301" t="s">
        <v>25</v>
      </c>
    </row>
    <row r="302" spans="1:12" x14ac:dyDescent="0.25">
      <c r="A302">
        <v>301</v>
      </c>
      <c r="B302" s="1">
        <v>40496</v>
      </c>
      <c r="C302" t="s">
        <v>30</v>
      </c>
      <c r="D302" t="s">
        <v>31</v>
      </c>
      <c r="E302" t="s">
        <v>24</v>
      </c>
      <c r="F302">
        <v>60</v>
      </c>
      <c r="G302">
        <v>10156</v>
      </c>
      <c r="H302">
        <v>3</v>
      </c>
      <c r="I302">
        <v>2</v>
      </c>
      <c r="J302" t="s">
        <v>15</v>
      </c>
      <c r="K302" t="s">
        <v>16</v>
      </c>
      <c r="L302" t="s">
        <v>34</v>
      </c>
    </row>
    <row r="303" spans="1:12" x14ac:dyDescent="0.25">
      <c r="A303">
        <v>302</v>
      </c>
      <c r="B303" s="1">
        <v>41931</v>
      </c>
      <c r="C303" t="s">
        <v>12</v>
      </c>
      <c r="D303" t="s">
        <v>41</v>
      </c>
      <c r="E303" t="s">
        <v>24</v>
      </c>
      <c r="F303">
        <v>43</v>
      </c>
      <c r="G303">
        <v>19442</v>
      </c>
      <c r="H303">
        <v>12</v>
      </c>
      <c r="I303">
        <v>5</v>
      </c>
      <c r="J303" t="s">
        <v>20</v>
      </c>
      <c r="K303" t="s">
        <v>27</v>
      </c>
      <c r="L303" t="s">
        <v>21</v>
      </c>
    </row>
    <row r="304" spans="1:12" x14ac:dyDescent="0.25">
      <c r="A304">
        <v>303</v>
      </c>
      <c r="B304" s="1">
        <v>43623</v>
      </c>
      <c r="C304" t="s">
        <v>18</v>
      </c>
      <c r="D304" t="s">
        <v>19</v>
      </c>
      <c r="E304" t="s">
        <v>14</v>
      </c>
      <c r="F304">
        <v>35</v>
      </c>
      <c r="G304">
        <v>15846</v>
      </c>
      <c r="H304">
        <v>6</v>
      </c>
      <c r="I304">
        <v>4</v>
      </c>
      <c r="J304" t="s">
        <v>15</v>
      </c>
      <c r="K304" t="s">
        <v>16</v>
      </c>
      <c r="L304" t="s">
        <v>17</v>
      </c>
    </row>
    <row r="305" spans="1:12" x14ac:dyDescent="0.25">
      <c r="A305">
        <v>304</v>
      </c>
      <c r="B305" s="1">
        <v>43539</v>
      </c>
      <c r="C305" t="s">
        <v>22</v>
      </c>
      <c r="D305" t="s">
        <v>35</v>
      </c>
      <c r="E305" t="s">
        <v>24</v>
      </c>
      <c r="F305">
        <v>31</v>
      </c>
      <c r="G305">
        <v>9182</v>
      </c>
      <c r="H305">
        <v>2</v>
      </c>
      <c r="I305">
        <v>4</v>
      </c>
      <c r="J305" t="s">
        <v>20</v>
      </c>
      <c r="K305" t="s">
        <v>27</v>
      </c>
      <c r="L305" t="s">
        <v>34</v>
      </c>
    </row>
    <row r="306" spans="1:12" x14ac:dyDescent="0.25">
      <c r="A306">
        <v>305</v>
      </c>
      <c r="B306" s="1">
        <v>44036</v>
      </c>
      <c r="C306" t="s">
        <v>36</v>
      </c>
      <c r="D306" t="s">
        <v>37</v>
      </c>
      <c r="E306" t="s">
        <v>14</v>
      </c>
      <c r="F306">
        <v>59</v>
      </c>
      <c r="G306">
        <v>9913</v>
      </c>
      <c r="H306">
        <v>14</v>
      </c>
      <c r="I306">
        <v>4</v>
      </c>
      <c r="J306" t="s">
        <v>20</v>
      </c>
      <c r="K306" t="s">
        <v>27</v>
      </c>
      <c r="L306" t="s">
        <v>25</v>
      </c>
    </row>
    <row r="307" spans="1:12" x14ac:dyDescent="0.25">
      <c r="A307">
        <v>306</v>
      </c>
      <c r="B307" s="1">
        <v>44110</v>
      </c>
      <c r="C307" t="s">
        <v>22</v>
      </c>
      <c r="D307" t="s">
        <v>35</v>
      </c>
      <c r="E307" t="s">
        <v>24</v>
      </c>
      <c r="F307">
        <v>23</v>
      </c>
      <c r="G307">
        <v>9673</v>
      </c>
      <c r="H307">
        <v>7</v>
      </c>
      <c r="I307">
        <v>5</v>
      </c>
      <c r="J307" t="s">
        <v>15</v>
      </c>
      <c r="K307" t="s">
        <v>32</v>
      </c>
      <c r="L307" t="s">
        <v>25</v>
      </c>
    </row>
    <row r="308" spans="1:12" x14ac:dyDescent="0.25">
      <c r="A308">
        <v>307</v>
      </c>
      <c r="B308" s="1">
        <v>44723</v>
      </c>
      <c r="C308" t="s">
        <v>22</v>
      </c>
      <c r="D308" t="s">
        <v>35</v>
      </c>
      <c r="E308" t="s">
        <v>24</v>
      </c>
      <c r="F308">
        <v>43</v>
      </c>
      <c r="G308">
        <v>17071</v>
      </c>
      <c r="H308">
        <v>3</v>
      </c>
      <c r="I308">
        <v>4</v>
      </c>
      <c r="J308" t="s">
        <v>15</v>
      </c>
      <c r="K308" t="s">
        <v>27</v>
      </c>
      <c r="L308" t="s">
        <v>25</v>
      </c>
    </row>
    <row r="309" spans="1:12" x14ac:dyDescent="0.25">
      <c r="A309">
        <v>308</v>
      </c>
      <c r="B309" s="1">
        <v>43256</v>
      </c>
      <c r="C309" t="s">
        <v>18</v>
      </c>
      <c r="D309" t="s">
        <v>19</v>
      </c>
      <c r="E309" t="s">
        <v>24</v>
      </c>
      <c r="F309">
        <v>22</v>
      </c>
      <c r="G309">
        <v>5269</v>
      </c>
      <c r="H309">
        <v>2</v>
      </c>
      <c r="I309">
        <v>4</v>
      </c>
      <c r="J309" t="s">
        <v>15</v>
      </c>
      <c r="K309" t="s">
        <v>32</v>
      </c>
      <c r="L309" t="s">
        <v>21</v>
      </c>
    </row>
    <row r="310" spans="1:12" x14ac:dyDescent="0.25">
      <c r="A310">
        <v>309</v>
      </c>
      <c r="B310" s="1">
        <v>45054</v>
      </c>
      <c r="C310" t="s">
        <v>18</v>
      </c>
      <c r="D310" t="s">
        <v>19</v>
      </c>
      <c r="E310" t="s">
        <v>24</v>
      </c>
      <c r="F310">
        <v>59</v>
      </c>
      <c r="G310">
        <v>11547</v>
      </c>
      <c r="H310">
        <v>8</v>
      </c>
      <c r="I310">
        <v>3</v>
      </c>
      <c r="J310" t="s">
        <v>15</v>
      </c>
      <c r="K310" t="s">
        <v>32</v>
      </c>
      <c r="L310" t="s">
        <v>21</v>
      </c>
    </row>
    <row r="311" spans="1:12" x14ac:dyDescent="0.25">
      <c r="A311">
        <v>310</v>
      </c>
      <c r="B311" s="1">
        <v>40344</v>
      </c>
      <c r="C311" t="s">
        <v>12</v>
      </c>
      <c r="D311" t="s">
        <v>41</v>
      </c>
      <c r="E311" t="s">
        <v>14</v>
      </c>
      <c r="F311">
        <v>55</v>
      </c>
      <c r="G311">
        <v>13644</v>
      </c>
      <c r="H311">
        <v>3</v>
      </c>
      <c r="I311">
        <v>3</v>
      </c>
      <c r="J311" t="s">
        <v>15</v>
      </c>
      <c r="K311" t="s">
        <v>27</v>
      </c>
      <c r="L311" t="s">
        <v>25</v>
      </c>
    </row>
    <row r="312" spans="1:12" x14ac:dyDescent="0.25">
      <c r="A312">
        <v>311</v>
      </c>
      <c r="B312" s="1">
        <v>42374</v>
      </c>
      <c r="C312" t="s">
        <v>22</v>
      </c>
      <c r="D312" t="s">
        <v>23</v>
      </c>
      <c r="E312" t="s">
        <v>24</v>
      </c>
      <c r="F312">
        <v>60</v>
      </c>
      <c r="G312">
        <v>13291</v>
      </c>
      <c r="H312">
        <v>6</v>
      </c>
      <c r="I312">
        <v>1</v>
      </c>
      <c r="J312" t="s">
        <v>20</v>
      </c>
      <c r="K312" t="s">
        <v>16</v>
      </c>
      <c r="L312" t="s">
        <v>21</v>
      </c>
    </row>
    <row r="313" spans="1:12" x14ac:dyDescent="0.25">
      <c r="A313">
        <v>312</v>
      </c>
      <c r="B313" s="1">
        <v>43026</v>
      </c>
      <c r="C313" t="s">
        <v>30</v>
      </c>
      <c r="D313" t="s">
        <v>38</v>
      </c>
      <c r="E313" t="s">
        <v>14</v>
      </c>
      <c r="F313">
        <v>40</v>
      </c>
      <c r="G313">
        <v>9675</v>
      </c>
      <c r="H313">
        <v>4</v>
      </c>
      <c r="I313">
        <v>5</v>
      </c>
      <c r="J313" t="s">
        <v>15</v>
      </c>
      <c r="K313" t="s">
        <v>27</v>
      </c>
      <c r="L313" t="s">
        <v>25</v>
      </c>
    </row>
    <row r="314" spans="1:12" x14ac:dyDescent="0.25">
      <c r="A314">
        <v>313</v>
      </c>
      <c r="B314" s="1">
        <v>40195</v>
      </c>
      <c r="C314" t="s">
        <v>28</v>
      </c>
      <c r="D314" t="s">
        <v>29</v>
      </c>
      <c r="E314" t="s">
        <v>14</v>
      </c>
      <c r="F314">
        <v>51</v>
      </c>
      <c r="G314">
        <v>10857</v>
      </c>
      <c r="H314">
        <v>13</v>
      </c>
      <c r="I314">
        <v>4</v>
      </c>
      <c r="J314" t="s">
        <v>15</v>
      </c>
      <c r="K314" t="s">
        <v>16</v>
      </c>
      <c r="L314" t="s">
        <v>21</v>
      </c>
    </row>
    <row r="315" spans="1:12" x14ac:dyDescent="0.25">
      <c r="A315">
        <v>314</v>
      </c>
      <c r="B315" s="1">
        <v>41906</v>
      </c>
      <c r="C315" t="s">
        <v>12</v>
      </c>
      <c r="D315" t="s">
        <v>13</v>
      </c>
      <c r="E315" t="s">
        <v>24</v>
      </c>
      <c r="F315">
        <v>24</v>
      </c>
      <c r="G315">
        <v>16070</v>
      </c>
      <c r="H315">
        <v>13</v>
      </c>
      <c r="I315">
        <v>4</v>
      </c>
      <c r="J315" t="s">
        <v>20</v>
      </c>
      <c r="K315" t="s">
        <v>32</v>
      </c>
      <c r="L315" t="s">
        <v>17</v>
      </c>
    </row>
    <row r="316" spans="1:12" x14ac:dyDescent="0.25">
      <c r="A316">
        <v>315</v>
      </c>
      <c r="B316" s="1">
        <v>45050</v>
      </c>
      <c r="C316" t="s">
        <v>18</v>
      </c>
      <c r="D316" t="s">
        <v>19</v>
      </c>
      <c r="E316" t="s">
        <v>14</v>
      </c>
      <c r="F316">
        <v>49</v>
      </c>
      <c r="G316">
        <v>17447</v>
      </c>
      <c r="H316">
        <v>12</v>
      </c>
      <c r="I316">
        <v>4</v>
      </c>
      <c r="J316" t="s">
        <v>20</v>
      </c>
      <c r="K316" t="s">
        <v>16</v>
      </c>
      <c r="L316" t="s">
        <v>21</v>
      </c>
    </row>
    <row r="317" spans="1:12" x14ac:dyDescent="0.25">
      <c r="A317">
        <v>316</v>
      </c>
      <c r="B317" s="1">
        <v>42021</v>
      </c>
      <c r="C317" t="s">
        <v>18</v>
      </c>
      <c r="D317" t="s">
        <v>26</v>
      </c>
      <c r="E317" t="s">
        <v>14</v>
      </c>
      <c r="F317">
        <v>44</v>
      </c>
      <c r="G317">
        <v>11799</v>
      </c>
      <c r="H317">
        <v>2</v>
      </c>
      <c r="I317">
        <v>1</v>
      </c>
      <c r="J317" t="s">
        <v>15</v>
      </c>
      <c r="K317" t="s">
        <v>16</v>
      </c>
      <c r="L317" t="s">
        <v>25</v>
      </c>
    </row>
    <row r="318" spans="1:12" x14ac:dyDescent="0.25">
      <c r="A318">
        <v>317</v>
      </c>
      <c r="B318" s="1">
        <v>43909</v>
      </c>
      <c r="C318" t="s">
        <v>12</v>
      </c>
      <c r="D318" t="s">
        <v>41</v>
      </c>
      <c r="E318" t="s">
        <v>14</v>
      </c>
      <c r="F318">
        <v>27</v>
      </c>
      <c r="G318">
        <v>12551</v>
      </c>
      <c r="H318">
        <v>7</v>
      </c>
      <c r="I318">
        <v>3</v>
      </c>
      <c r="J318" t="s">
        <v>20</v>
      </c>
      <c r="K318" t="s">
        <v>32</v>
      </c>
      <c r="L318" t="s">
        <v>34</v>
      </c>
    </row>
    <row r="319" spans="1:12" x14ac:dyDescent="0.25">
      <c r="A319">
        <v>318</v>
      </c>
      <c r="B319" s="1">
        <v>44939</v>
      </c>
      <c r="C319" t="s">
        <v>28</v>
      </c>
      <c r="D319" t="s">
        <v>33</v>
      </c>
      <c r="E319" t="s">
        <v>14</v>
      </c>
      <c r="F319">
        <v>57</v>
      </c>
      <c r="G319">
        <v>14798</v>
      </c>
      <c r="H319">
        <v>1</v>
      </c>
      <c r="I319">
        <v>4</v>
      </c>
      <c r="J319" t="s">
        <v>20</v>
      </c>
      <c r="K319" t="s">
        <v>32</v>
      </c>
      <c r="L319" t="s">
        <v>21</v>
      </c>
    </row>
    <row r="320" spans="1:12" x14ac:dyDescent="0.25">
      <c r="A320">
        <v>319</v>
      </c>
      <c r="B320" s="1">
        <v>41709</v>
      </c>
      <c r="C320" t="s">
        <v>12</v>
      </c>
      <c r="D320" t="s">
        <v>13</v>
      </c>
      <c r="E320" t="s">
        <v>24</v>
      </c>
      <c r="F320">
        <v>58</v>
      </c>
      <c r="G320">
        <v>14877</v>
      </c>
      <c r="H320">
        <v>8</v>
      </c>
      <c r="I320">
        <v>2</v>
      </c>
      <c r="J320" t="s">
        <v>20</v>
      </c>
      <c r="K320" t="s">
        <v>16</v>
      </c>
      <c r="L320" t="s">
        <v>25</v>
      </c>
    </row>
    <row r="321" spans="1:12" x14ac:dyDescent="0.25">
      <c r="A321">
        <v>320</v>
      </c>
      <c r="B321" s="1">
        <v>40475</v>
      </c>
      <c r="C321" t="s">
        <v>36</v>
      </c>
      <c r="D321" t="s">
        <v>40</v>
      </c>
      <c r="E321" t="s">
        <v>24</v>
      </c>
      <c r="F321">
        <v>42</v>
      </c>
      <c r="G321">
        <v>17544</v>
      </c>
      <c r="H321">
        <v>12</v>
      </c>
      <c r="I321">
        <v>1</v>
      </c>
      <c r="J321" t="s">
        <v>20</v>
      </c>
      <c r="K321" t="s">
        <v>27</v>
      </c>
      <c r="L321" t="s">
        <v>34</v>
      </c>
    </row>
    <row r="322" spans="1:12" x14ac:dyDescent="0.25">
      <c r="A322">
        <v>321</v>
      </c>
      <c r="B322" s="1">
        <v>44204</v>
      </c>
      <c r="C322" t="s">
        <v>30</v>
      </c>
      <c r="D322" t="s">
        <v>31</v>
      </c>
      <c r="E322" t="s">
        <v>24</v>
      </c>
      <c r="F322">
        <v>39</v>
      </c>
      <c r="G322">
        <v>8963</v>
      </c>
      <c r="H322">
        <v>3</v>
      </c>
      <c r="I322">
        <v>2</v>
      </c>
      <c r="J322" t="s">
        <v>15</v>
      </c>
      <c r="K322" t="s">
        <v>32</v>
      </c>
      <c r="L322" t="s">
        <v>25</v>
      </c>
    </row>
    <row r="323" spans="1:12" x14ac:dyDescent="0.25">
      <c r="A323">
        <v>322</v>
      </c>
      <c r="B323" s="1">
        <v>44965</v>
      </c>
      <c r="C323" t="s">
        <v>18</v>
      </c>
      <c r="D323" t="s">
        <v>19</v>
      </c>
      <c r="E323" t="s">
        <v>24</v>
      </c>
      <c r="F323">
        <v>59</v>
      </c>
      <c r="G323">
        <v>10748</v>
      </c>
      <c r="H323">
        <v>1</v>
      </c>
      <c r="I323">
        <v>4</v>
      </c>
      <c r="J323" t="s">
        <v>20</v>
      </c>
      <c r="K323" t="s">
        <v>32</v>
      </c>
      <c r="L323" t="s">
        <v>25</v>
      </c>
    </row>
    <row r="324" spans="1:12" x14ac:dyDescent="0.25">
      <c r="A324">
        <v>323</v>
      </c>
      <c r="B324" s="1">
        <v>43501</v>
      </c>
      <c r="C324" t="s">
        <v>36</v>
      </c>
      <c r="D324" t="s">
        <v>40</v>
      </c>
      <c r="E324" t="s">
        <v>24</v>
      </c>
      <c r="F324">
        <v>51</v>
      </c>
      <c r="G324">
        <v>17522</v>
      </c>
      <c r="H324">
        <v>12</v>
      </c>
      <c r="I324">
        <v>2</v>
      </c>
      <c r="J324" t="s">
        <v>15</v>
      </c>
      <c r="K324" t="s">
        <v>27</v>
      </c>
      <c r="L324" t="s">
        <v>25</v>
      </c>
    </row>
    <row r="325" spans="1:12" x14ac:dyDescent="0.25">
      <c r="A325">
        <v>324</v>
      </c>
      <c r="B325" s="1">
        <v>42136</v>
      </c>
      <c r="C325" t="s">
        <v>28</v>
      </c>
      <c r="D325" t="s">
        <v>29</v>
      </c>
      <c r="E325" t="s">
        <v>24</v>
      </c>
      <c r="F325">
        <v>46</v>
      </c>
      <c r="G325">
        <v>15458</v>
      </c>
      <c r="H325">
        <v>5</v>
      </c>
      <c r="I325">
        <v>2</v>
      </c>
      <c r="J325" t="s">
        <v>20</v>
      </c>
      <c r="K325" t="s">
        <v>27</v>
      </c>
      <c r="L325" t="s">
        <v>21</v>
      </c>
    </row>
    <row r="326" spans="1:12" x14ac:dyDescent="0.25">
      <c r="A326">
        <v>325</v>
      </c>
      <c r="B326" s="1">
        <v>43229</v>
      </c>
      <c r="C326" t="s">
        <v>12</v>
      </c>
      <c r="D326" t="s">
        <v>41</v>
      </c>
      <c r="E326" t="s">
        <v>24</v>
      </c>
      <c r="F326">
        <v>28</v>
      </c>
      <c r="G326">
        <v>17050</v>
      </c>
      <c r="H326">
        <v>7</v>
      </c>
      <c r="I326">
        <v>3</v>
      </c>
      <c r="J326" t="s">
        <v>20</v>
      </c>
      <c r="K326" t="s">
        <v>16</v>
      </c>
      <c r="L326" t="s">
        <v>21</v>
      </c>
    </row>
    <row r="327" spans="1:12" x14ac:dyDescent="0.25">
      <c r="A327">
        <v>326</v>
      </c>
      <c r="B327" s="1">
        <v>41648</v>
      </c>
      <c r="C327" t="s">
        <v>28</v>
      </c>
      <c r="D327" t="s">
        <v>33</v>
      </c>
      <c r="E327" t="s">
        <v>24</v>
      </c>
      <c r="F327">
        <v>49</v>
      </c>
      <c r="G327">
        <v>7047</v>
      </c>
      <c r="H327">
        <v>6</v>
      </c>
      <c r="I327">
        <v>5</v>
      </c>
      <c r="J327" t="s">
        <v>15</v>
      </c>
      <c r="K327" t="s">
        <v>27</v>
      </c>
      <c r="L327" t="s">
        <v>17</v>
      </c>
    </row>
    <row r="328" spans="1:12" x14ac:dyDescent="0.25">
      <c r="A328">
        <v>327</v>
      </c>
      <c r="B328" s="1">
        <v>42383</v>
      </c>
      <c r="C328" t="s">
        <v>12</v>
      </c>
      <c r="D328" t="s">
        <v>41</v>
      </c>
      <c r="E328" t="s">
        <v>24</v>
      </c>
      <c r="F328">
        <v>58</v>
      </c>
      <c r="G328">
        <v>5989</v>
      </c>
      <c r="H328">
        <v>1</v>
      </c>
      <c r="I328">
        <v>4</v>
      </c>
      <c r="J328" t="s">
        <v>15</v>
      </c>
      <c r="K328" t="s">
        <v>16</v>
      </c>
      <c r="L328" t="s">
        <v>25</v>
      </c>
    </row>
    <row r="329" spans="1:12" x14ac:dyDescent="0.25">
      <c r="A329">
        <v>328</v>
      </c>
      <c r="B329" s="1">
        <v>41686</v>
      </c>
      <c r="C329" t="s">
        <v>30</v>
      </c>
      <c r="D329" t="s">
        <v>31</v>
      </c>
      <c r="E329" t="s">
        <v>14</v>
      </c>
      <c r="F329">
        <v>59</v>
      </c>
      <c r="G329">
        <v>12539</v>
      </c>
      <c r="H329">
        <v>8</v>
      </c>
      <c r="I329">
        <v>4</v>
      </c>
      <c r="J329" t="s">
        <v>15</v>
      </c>
      <c r="K329" t="s">
        <v>32</v>
      </c>
      <c r="L329" t="s">
        <v>17</v>
      </c>
    </row>
    <row r="330" spans="1:12" x14ac:dyDescent="0.25">
      <c r="A330">
        <v>329</v>
      </c>
      <c r="B330" s="1">
        <v>44975</v>
      </c>
      <c r="C330" t="s">
        <v>18</v>
      </c>
      <c r="D330" t="s">
        <v>19</v>
      </c>
      <c r="E330" t="s">
        <v>14</v>
      </c>
      <c r="F330">
        <v>23</v>
      </c>
      <c r="G330">
        <v>7319</v>
      </c>
      <c r="H330">
        <v>13</v>
      </c>
      <c r="I330">
        <v>4</v>
      </c>
      <c r="J330" t="s">
        <v>15</v>
      </c>
      <c r="K330" t="s">
        <v>16</v>
      </c>
      <c r="L330" t="s">
        <v>25</v>
      </c>
    </row>
    <row r="331" spans="1:12" x14ac:dyDescent="0.25">
      <c r="A331">
        <v>330</v>
      </c>
      <c r="B331" s="1">
        <v>44205</v>
      </c>
      <c r="C331" t="s">
        <v>18</v>
      </c>
      <c r="D331" t="s">
        <v>19</v>
      </c>
      <c r="E331" t="s">
        <v>14</v>
      </c>
      <c r="F331">
        <v>27</v>
      </c>
      <c r="G331">
        <v>17999</v>
      </c>
      <c r="H331">
        <v>13</v>
      </c>
      <c r="I331">
        <v>1</v>
      </c>
      <c r="J331" t="s">
        <v>15</v>
      </c>
      <c r="K331" t="s">
        <v>27</v>
      </c>
      <c r="L331" t="s">
        <v>25</v>
      </c>
    </row>
    <row r="332" spans="1:12" x14ac:dyDescent="0.25">
      <c r="A332">
        <v>331</v>
      </c>
      <c r="B332" s="1">
        <v>41952</v>
      </c>
      <c r="C332" t="s">
        <v>28</v>
      </c>
      <c r="D332" t="s">
        <v>33</v>
      </c>
      <c r="E332" t="s">
        <v>24</v>
      </c>
      <c r="F332">
        <v>40</v>
      </c>
      <c r="G332">
        <v>7374</v>
      </c>
      <c r="H332">
        <v>5</v>
      </c>
      <c r="I332">
        <v>4</v>
      </c>
      <c r="J332" t="s">
        <v>15</v>
      </c>
      <c r="K332" t="s">
        <v>16</v>
      </c>
      <c r="L332" t="s">
        <v>21</v>
      </c>
    </row>
    <row r="333" spans="1:12" x14ac:dyDescent="0.25">
      <c r="A333">
        <v>332</v>
      </c>
      <c r="B333" s="1">
        <v>41398</v>
      </c>
      <c r="C333" t="s">
        <v>22</v>
      </c>
      <c r="D333" t="s">
        <v>23</v>
      </c>
      <c r="E333" t="s">
        <v>24</v>
      </c>
      <c r="F333">
        <v>52</v>
      </c>
      <c r="G333">
        <v>12475</v>
      </c>
      <c r="H333">
        <v>7</v>
      </c>
      <c r="I333">
        <v>2</v>
      </c>
      <c r="J333" t="s">
        <v>20</v>
      </c>
      <c r="K333" t="s">
        <v>27</v>
      </c>
      <c r="L333" t="s">
        <v>25</v>
      </c>
    </row>
    <row r="334" spans="1:12" x14ac:dyDescent="0.25">
      <c r="A334">
        <v>333</v>
      </c>
      <c r="B334" s="1">
        <v>40906</v>
      </c>
      <c r="C334" t="s">
        <v>36</v>
      </c>
      <c r="D334" t="s">
        <v>37</v>
      </c>
      <c r="E334" t="s">
        <v>14</v>
      </c>
      <c r="F334">
        <v>33</v>
      </c>
      <c r="G334">
        <v>15917</v>
      </c>
      <c r="H334">
        <v>15</v>
      </c>
      <c r="I334">
        <v>5</v>
      </c>
      <c r="J334" t="s">
        <v>20</v>
      </c>
      <c r="K334" t="s">
        <v>32</v>
      </c>
      <c r="L334" t="s">
        <v>17</v>
      </c>
    </row>
    <row r="335" spans="1:12" x14ac:dyDescent="0.25">
      <c r="A335">
        <v>334</v>
      </c>
      <c r="B335" s="1">
        <v>43076</v>
      </c>
      <c r="C335" t="s">
        <v>22</v>
      </c>
      <c r="D335" t="s">
        <v>35</v>
      </c>
      <c r="E335" t="s">
        <v>24</v>
      </c>
      <c r="F335">
        <v>36</v>
      </c>
      <c r="G335">
        <v>7773</v>
      </c>
      <c r="H335">
        <v>11</v>
      </c>
      <c r="I335">
        <v>1</v>
      </c>
      <c r="J335" t="s">
        <v>20</v>
      </c>
      <c r="K335" t="s">
        <v>16</v>
      </c>
      <c r="L335" t="s">
        <v>34</v>
      </c>
    </row>
    <row r="336" spans="1:12" x14ac:dyDescent="0.25">
      <c r="A336">
        <v>335</v>
      </c>
      <c r="B336" s="1">
        <v>44494</v>
      </c>
      <c r="C336" t="s">
        <v>12</v>
      </c>
      <c r="D336" t="s">
        <v>41</v>
      </c>
      <c r="E336" t="s">
        <v>14</v>
      </c>
      <c r="F336">
        <v>55</v>
      </c>
      <c r="G336">
        <v>8671</v>
      </c>
      <c r="H336">
        <v>0</v>
      </c>
      <c r="I336">
        <v>1</v>
      </c>
      <c r="J336" t="s">
        <v>15</v>
      </c>
      <c r="K336" t="s">
        <v>27</v>
      </c>
      <c r="L336" t="s">
        <v>21</v>
      </c>
    </row>
    <row r="337" spans="1:12" x14ac:dyDescent="0.25">
      <c r="A337">
        <v>336</v>
      </c>
      <c r="B337" s="1">
        <v>42909</v>
      </c>
      <c r="C337" t="s">
        <v>18</v>
      </c>
      <c r="D337" t="s">
        <v>26</v>
      </c>
      <c r="E337" t="s">
        <v>24</v>
      </c>
      <c r="F337">
        <v>22</v>
      </c>
      <c r="G337">
        <v>18859</v>
      </c>
      <c r="H337">
        <v>9</v>
      </c>
      <c r="I337">
        <v>3</v>
      </c>
      <c r="J337" t="s">
        <v>15</v>
      </c>
      <c r="K337" t="s">
        <v>16</v>
      </c>
      <c r="L337" t="s">
        <v>34</v>
      </c>
    </row>
    <row r="338" spans="1:12" x14ac:dyDescent="0.25">
      <c r="A338">
        <v>337</v>
      </c>
      <c r="B338" s="1">
        <v>40261</v>
      </c>
      <c r="C338" t="s">
        <v>12</v>
      </c>
      <c r="D338" t="s">
        <v>13</v>
      </c>
      <c r="E338" t="s">
        <v>14</v>
      </c>
      <c r="F338">
        <v>27</v>
      </c>
      <c r="G338">
        <v>7787</v>
      </c>
      <c r="H338">
        <v>8</v>
      </c>
      <c r="I338">
        <v>2</v>
      </c>
      <c r="J338" t="s">
        <v>20</v>
      </c>
      <c r="K338" t="s">
        <v>16</v>
      </c>
      <c r="L338" t="s">
        <v>17</v>
      </c>
    </row>
    <row r="339" spans="1:12" x14ac:dyDescent="0.25">
      <c r="A339">
        <v>338</v>
      </c>
      <c r="B339" s="1">
        <v>43620</v>
      </c>
      <c r="C339" t="s">
        <v>30</v>
      </c>
      <c r="D339" t="s">
        <v>38</v>
      </c>
      <c r="E339" t="s">
        <v>14</v>
      </c>
      <c r="F339">
        <v>43</v>
      </c>
      <c r="G339">
        <v>15389</v>
      </c>
      <c r="H339">
        <v>14</v>
      </c>
      <c r="I339">
        <v>1</v>
      </c>
      <c r="J339" t="s">
        <v>20</v>
      </c>
      <c r="K339" t="s">
        <v>32</v>
      </c>
      <c r="L339" t="s">
        <v>34</v>
      </c>
    </row>
    <row r="340" spans="1:12" x14ac:dyDescent="0.25">
      <c r="A340">
        <v>339</v>
      </c>
      <c r="B340" s="1">
        <v>42521</v>
      </c>
      <c r="C340" t="s">
        <v>18</v>
      </c>
      <c r="D340" t="s">
        <v>26</v>
      </c>
      <c r="E340" t="s">
        <v>14</v>
      </c>
      <c r="F340">
        <v>38</v>
      </c>
      <c r="G340">
        <v>19094</v>
      </c>
      <c r="H340">
        <v>12</v>
      </c>
      <c r="I340">
        <v>3</v>
      </c>
      <c r="J340" t="s">
        <v>15</v>
      </c>
      <c r="K340" t="s">
        <v>32</v>
      </c>
      <c r="L340" t="s">
        <v>34</v>
      </c>
    </row>
    <row r="341" spans="1:12" x14ac:dyDescent="0.25">
      <c r="A341">
        <v>340</v>
      </c>
      <c r="B341" s="1">
        <v>43658</v>
      </c>
      <c r="C341" t="s">
        <v>30</v>
      </c>
      <c r="D341" t="s">
        <v>31</v>
      </c>
      <c r="E341" t="s">
        <v>14</v>
      </c>
      <c r="F341">
        <v>38</v>
      </c>
      <c r="G341">
        <v>15552</v>
      </c>
      <c r="H341">
        <v>3</v>
      </c>
      <c r="I341">
        <v>1</v>
      </c>
      <c r="J341" t="s">
        <v>20</v>
      </c>
      <c r="K341" t="s">
        <v>16</v>
      </c>
      <c r="L341" t="s">
        <v>21</v>
      </c>
    </row>
    <row r="342" spans="1:12" x14ac:dyDescent="0.25">
      <c r="A342">
        <v>341</v>
      </c>
      <c r="B342" s="1">
        <v>42356</v>
      </c>
      <c r="C342" t="s">
        <v>18</v>
      </c>
      <c r="D342" t="s">
        <v>19</v>
      </c>
      <c r="E342" t="s">
        <v>14</v>
      </c>
      <c r="F342">
        <v>26</v>
      </c>
      <c r="G342">
        <v>11851</v>
      </c>
      <c r="H342">
        <v>7</v>
      </c>
      <c r="I342">
        <v>1</v>
      </c>
      <c r="J342" t="s">
        <v>20</v>
      </c>
      <c r="K342" t="s">
        <v>32</v>
      </c>
      <c r="L342" t="s">
        <v>34</v>
      </c>
    </row>
    <row r="343" spans="1:12" x14ac:dyDescent="0.25">
      <c r="A343">
        <v>342</v>
      </c>
      <c r="B343" s="1">
        <v>40989</v>
      </c>
      <c r="C343" t="s">
        <v>18</v>
      </c>
      <c r="D343" t="s">
        <v>19</v>
      </c>
      <c r="E343" t="s">
        <v>14</v>
      </c>
      <c r="F343">
        <v>31</v>
      </c>
      <c r="G343">
        <v>14923</v>
      </c>
      <c r="H343">
        <v>11</v>
      </c>
      <c r="I343">
        <v>2</v>
      </c>
      <c r="J343" t="s">
        <v>20</v>
      </c>
      <c r="K343" t="s">
        <v>16</v>
      </c>
      <c r="L343" t="s">
        <v>17</v>
      </c>
    </row>
    <row r="344" spans="1:12" x14ac:dyDescent="0.25">
      <c r="A344">
        <v>343</v>
      </c>
      <c r="B344" s="1">
        <v>44735</v>
      </c>
      <c r="C344" t="s">
        <v>30</v>
      </c>
      <c r="D344" t="s">
        <v>31</v>
      </c>
      <c r="E344" t="s">
        <v>24</v>
      </c>
      <c r="F344">
        <v>60</v>
      </c>
      <c r="G344">
        <v>4932</v>
      </c>
      <c r="H344">
        <v>8</v>
      </c>
      <c r="I344">
        <v>4</v>
      </c>
      <c r="J344" t="s">
        <v>15</v>
      </c>
      <c r="K344" t="s">
        <v>16</v>
      </c>
      <c r="L344" t="s">
        <v>17</v>
      </c>
    </row>
    <row r="345" spans="1:12" x14ac:dyDescent="0.25">
      <c r="A345">
        <v>344</v>
      </c>
      <c r="B345" s="1">
        <v>44236</v>
      </c>
      <c r="C345" t="s">
        <v>30</v>
      </c>
      <c r="D345" t="s">
        <v>38</v>
      </c>
      <c r="E345" t="s">
        <v>24</v>
      </c>
      <c r="F345">
        <v>59</v>
      </c>
      <c r="G345">
        <v>11961</v>
      </c>
      <c r="H345">
        <v>1</v>
      </c>
      <c r="I345">
        <v>3</v>
      </c>
      <c r="J345" t="s">
        <v>20</v>
      </c>
      <c r="K345" t="s">
        <v>32</v>
      </c>
      <c r="L345" t="s">
        <v>39</v>
      </c>
    </row>
    <row r="346" spans="1:12" x14ac:dyDescent="0.25">
      <c r="A346">
        <v>345</v>
      </c>
      <c r="B346" s="1">
        <v>41535</v>
      </c>
      <c r="C346" t="s">
        <v>18</v>
      </c>
      <c r="D346" t="s">
        <v>26</v>
      </c>
      <c r="E346" t="s">
        <v>14</v>
      </c>
      <c r="F346">
        <v>40</v>
      </c>
      <c r="G346">
        <v>8911</v>
      </c>
      <c r="H346">
        <v>6</v>
      </c>
      <c r="I346">
        <v>1</v>
      </c>
      <c r="J346" t="s">
        <v>15</v>
      </c>
      <c r="K346" t="s">
        <v>32</v>
      </c>
      <c r="L346" t="s">
        <v>25</v>
      </c>
    </row>
    <row r="347" spans="1:12" x14ac:dyDescent="0.25">
      <c r="A347">
        <v>346</v>
      </c>
      <c r="B347" s="1">
        <v>45043</v>
      </c>
      <c r="C347" t="s">
        <v>36</v>
      </c>
      <c r="D347" t="s">
        <v>40</v>
      </c>
      <c r="E347" t="s">
        <v>14</v>
      </c>
      <c r="F347">
        <v>45</v>
      </c>
      <c r="G347">
        <v>9678</v>
      </c>
      <c r="H347">
        <v>8</v>
      </c>
      <c r="I347">
        <v>1</v>
      </c>
      <c r="J347" t="s">
        <v>15</v>
      </c>
      <c r="K347" t="s">
        <v>27</v>
      </c>
      <c r="L347" t="s">
        <v>21</v>
      </c>
    </row>
    <row r="348" spans="1:12" x14ac:dyDescent="0.25">
      <c r="A348">
        <v>347</v>
      </c>
      <c r="B348" s="1">
        <v>43464</v>
      </c>
      <c r="C348" t="s">
        <v>18</v>
      </c>
      <c r="D348" t="s">
        <v>19</v>
      </c>
      <c r="E348" t="s">
        <v>14</v>
      </c>
      <c r="F348">
        <v>24</v>
      </c>
      <c r="G348">
        <v>16436</v>
      </c>
      <c r="H348">
        <v>15</v>
      </c>
      <c r="I348">
        <v>3</v>
      </c>
      <c r="J348" t="s">
        <v>15</v>
      </c>
      <c r="K348" t="s">
        <v>16</v>
      </c>
      <c r="L348" t="s">
        <v>17</v>
      </c>
    </row>
    <row r="349" spans="1:12" x14ac:dyDescent="0.25">
      <c r="A349">
        <v>348</v>
      </c>
      <c r="B349" s="1">
        <v>42092</v>
      </c>
      <c r="C349" t="s">
        <v>22</v>
      </c>
      <c r="D349" t="s">
        <v>23</v>
      </c>
      <c r="E349" t="s">
        <v>14</v>
      </c>
      <c r="F349">
        <v>23</v>
      </c>
      <c r="G349">
        <v>11451</v>
      </c>
      <c r="H349">
        <v>7</v>
      </c>
      <c r="I349">
        <v>4</v>
      </c>
      <c r="J349" t="s">
        <v>20</v>
      </c>
      <c r="K349" t="s">
        <v>32</v>
      </c>
      <c r="L349" t="s">
        <v>17</v>
      </c>
    </row>
    <row r="350" spans="1:12" x14ac:dyDescent="0.25">
      <c r="A350">
        <v>349</v>
      </c>
      <c r="B350" s="1">
        <v>44540</v>
      </c>
      <c r="C350" t="s">
        <v>12</v>
      </c>
      <c r="D350" t="s">
        <v>13</v>
      </c>
      <c r="E350" t="s">
        <v>14</v>
      </c>
      <c r="F350">
        <v>23</v>
      </c>
      <c r="G350">
        <v>16005</v>
      </c>
      <c r="H350">
        <v>14</v>
      </c>
      <c r="I350">
        <v>4</v>
      </c>
      <c r="J350" t="s">
        <v>15</v>
      </c>
      <c r="K350" t="s">
        <v>27</v>
      </c>
      <c r="L350" t="s">
        <v>39</v>
      </c>
    </row>
    <row r="351" spans="1:12" x14ac:dyDescent="0.25">
      <c r="A351">
        <v>350</v>
      </c>
      <c r="B351" s="1">
        <v>42616</v>
      </c>
      <c r="C351" t="s">
        <v>12</v>
      </c>
      <c r="D351" t="s">
        <v>41</v>
      </c>
      <c r="E351" t="s">
        <v>14</v>
      </c>
      <c r="F351">
        <v>44</v>
      </c>
      <c r="G351">
        <v>5785</v>
      </c>
      <c r="H351">
        <v>0</v>
      </c>
      <c r="I351">
        <v>3</v>
      </c>
      <c r="J351" t="s">
        <v>20</v>
      </c>
      <c r="K351" t="s">
        <v>27</v>
      </c>
      <c r="L351" t="s">
        <v>25</v>
      </c>
    </row>
    <row r="352" spans="1:12" x14ac:dyDescent="0.25">
      <c r="A352">
        <v>351</v>
      </c>
      <c r="B352" s="1">
        <v>43416</v>
      </c>
      <c r="C352" t="s">
        <v>30</v>
      </c>
      <c r="D352" t="s">
        <v>38</v>
      </c>
      <c r="E352" t="s">
        <v>24</v>
      </c>
      <c r="F352">
        <v>51</v>
      </c>
      <c r="G352">
        <v>5962</v>
      </c>
      <c r="H352">
        <v>2</v>
      </c>
      <c r="I352">
        <v>3</v>
      </c>
      <c r="J352" t="s">
        <v>20</v>
      </c>
      <c r="K352" t="s">
        <v>32</v>
      </c>
      <c r="L352" t="s">
        <v>34</v>
      </c>
    </row>
    <row r="353" spans="1:12" x14ac:dyDescent="0.25">
      <c r="A353">
        <v>352</v>
      </c>
      <c r="B353" s="1">
        <v>43549</v>
      </c>
      <c r="C353" t="s">
        <v>22</v>
      </c>
      <c r="D353" t="s">
        <v>23</v>
      </c>
      <c r="E353" t="s">
        <v>24</v>
      </c>
      <c r="F353">
        <v>55</v>
      </c>
      <c r="G353">
        <v>11268</v>
      </c>
      <c r="H353">
        <v>13</v>
      </c>
      <c r="I353">
        <v>5</v>
      </c>
      <c r="J353" t="s">
        <v>15</v>
      </c>
      <c r="K353" t="s">
        <v>16</v>
      </c>
      <c r="L353" t="s">
        <v>39</v>
      </c>
    </row>
    <row r="354" spans="1:12" x14ac:dyDescent="0.25">
      <c r="A354">
        <v>353</v>
      </c>
      <c r="B354" s="1">
        <v>42584</v>
      </c>
      <c r="C354" t="s">
        <v>28</v>
      </c>
      <c r="D354" t="s">
        <v>29</v>
      </c>
      <c r="E354" t="s">
        <v>24</v>
      </c>
      <c r="F354">
        <v>51</v>
      </c>
      <c r="G354">
        <v>6741</v>
      </c>
      <c r="H354">
        <v>7</v>
      </c>
      <c r="I354">
        <v>5</v>
      </c>
      <c r="J354" t="s">
        <v>15</v>
      </c>
      <c r="K354" t="s">
        <v>27</v>
      </c>
      <c r="L354" t="s">
        <v>17</v>
      </c>
    </row>
    <row r="355" spans="1:12" x14ac:dyDescent="0.25">
      <c r="A355">
        <v>354</v>
      </c>
      <c r="B355" s="1">
        <v>40912</v>
      </c>
      <c r="C355" t="s">
        <v>18</v>
      </c>
      <c r="D355" t="s">
        <v>26</v>
      </c>
      <c r="E355" t="s">
        <v>14</v>
      </c>
      <c r="F355">
        <v>57</v>
      </c>
      <c r="G355">
        <v>12858</v>
      </c>
      <c r="H355">
        <v>11</v>
      </c>
      <c r="I355">
        <v>2</v>
      </c>
      <c r="J355" t="s">
        <v>15</v>
      </c>
      <c r="K355" t="s">
        <v>27</v>
      </c>
      <c r="L355" t="s">
        <v>34</v>
      </c>
    </row>
    <row r="356" spans="1:12" x14ac:dyDescent="0.25">
      <c r="A356">
        <v>355</v>
      </c>
      <c r="B356" s="1">
        <v>43993</v>
      </c>
      <c r="C356" t="s">
        <v>18</v>
      </c>
      <c r="D356" t="s">
        <v>19</v>
      </c>
      <c r="E356" t="s">
        <v>24</v>
      </c>
      <c r="F356">
        <v>56</v>
      </c>
      <c r="G356">
        <v>17219</v>
      </c>
      <c r="H356">
        <v>10</v>
      </c>
      <c r="I356">
        <v>2</v>
      </c>
      <c r="J356" t="s">
        <v>20</v>
      </c>
      <c r="K356" t="s">
        <v>27</v>
      </c>
      <c r="L356" t="s">
        <v>34</v>
      </c>
    </row>
    <row r="357" spans="1:12" x14ac:dyDescent="0.25">
      <c r="A357">
        <v>356</v>
      </c>
      <c r="B357" s="1">
        <v>42707</v>
      </c>
      <c r="C357" t="s">
        <v>18</v>
      </c>
      <c r="D357" t="s">
        <v>26</v>
      </c>
      <c r="E357" t="s">
        <v>24</v>
      </c>
      <c r="F357">
        <v>43</v>
      </c>
      <c r="G357">
        <v>18288</v>
      </c>
      <c r="H357">
        <v>7</v>
      </c>
      <c r="I357">
        <v>1</v>
      </c>
      <c r="J357" t="s">
        <v>15</v>
      </c>
      <c r="K357" t="s">
        <v>27</v>
      </c>
      <c r="L357" t="s">
        <v>34</v>
      </c>
    </row>
    <row r="358" spans="1:12" x14ac:dyDescent="0.25">
      <c r="A358">
        <v>357</v>
      </c>
      <c r="B358" s="1">
        <v>42340</v>
      </c>
      <c r="C358" t="s">
        <v>28</v>
      </c>
      <c r="D358" t="s">
        <v>33</v>
      </c>
      <c r="E358" t="s">
        <v>14</v>
      </c>
      <c r="F358">
        <v>36</v>
      </c>
      <c r="G358">
        <v>12252</v>
      </c>
      <c r="H358">
        <v>4</v>
      </c>
      <c r="I358">
        <v>5</v>
      </c>
      <c r="J358" t="s">
        <v>20</v>
      </c>
      <c r="K358" t="s">
        <v>27</v>
      </c>
      <c r="L358" t="s">
        <v>25</v>
      </c>
    </row>
    <row r="359" spans="1:12" x14ac:dyDescent="0.25">
      <c r="A359">
        <v>358</v>
      </c>
      <c r="B359" s="1">
        <v>42050</v>
      </c>
      <c r="C359" t="s">
        <v>30</v>
      </c>
      <c r="D359" t="s">
        <v>38</v>
      </c>
      <c r="E359" t="s">
        <v>24</v>
      </c>
      <c r="F359">
        <v>44</v>
      </c>
      <c r="G359">
        <v>9473</v>
      </c>
      <c r="H359">
        <v>3</v>
      </c>
      <c r="I359">
        <v>2</v>
      </c>
      <c r="J359" t="s">
        <v>15</v>
      </c>
      <c r="K359" t="s">
        <v>16</v>
      </c>
      <c r="L359" t="s">
        <v>21</v>
      </c>
    </row>
    <row r="360" spans="1:12" x14ac:dyDescent="0.25">
      <c r="A360">
        <v>359</v>
      </c>
      <c r="B360" s="1">
        <v>44365</v>
      </c>
      <c r="C360" t="s">
        <v>12</v>
      </c>
      <c r="D360" t="s">
        <v>13</v>
      </c>
      <c r="E360" t="s">
        <v>14</v>
      </c>
      <c r="F360">
        <v>47</v>
      </c>
      <c r="G360">
        <v>16880</v>
      </c>
      <c r="H360">
        <v>2</v>
      </c>
      <c r="I360">
        <v>4</v>
      </c>
      <c r="J360" t="s">
        <v>20</v>
      </c>
      <c r="K360" t="s">
        <v>27</v>
      </c>
      <c r="L360" t="s">
        <v>17</v>
      </c>
    </row>
    <row r="361" spans="1:12" x14ac:dyDescent="0.25">
      <c r="A361">
        <v>360</v>
      </c>
      <c r="B361" s="1">
        <v>43294</v>
      </c>
      <c r="C361" t="s">
        <v>28</v>
      </c>
      <c r="D361" t="s">
        <v>29</v>
      </c>
      <c r="E361" t="s">
        <v>14</v>
      </c>
      <c r="F361">
        <v>60</v>
      </c>
      <c r="G361">
        <v>10017</v>
      </c>
      <c r="H361">
        <v>4</v>
      </c>
      <c r="I361">
        <v>4</v>
      </c>
      <c r="J361" t="s">
        <v>20</v>
      </c>
      <c r="K361" t="s">
        <v>16</v>
      </c>
      <c r="L361" t="s">
        <v>25</v>
      </c>
    </row>
    <row r="362" spans="1:12" x14ac:dyDescent="0.25">
      <c r="A362">
        <v>361</v>
      </c>
      <c r="B362" s="1">
        <v>43224</v>
      </c>
      <c r="C362" t="s">
        <v>12</v>
      </c>
      <c r="D362" t="s">
        <v>41</v>
      </c>
      <c r="E362" t="s">
        <v>24</v>
      </c>
      <c r="F362">
        <v>34</v>
      </c>
      <c r="G362">
        <v>11575</v>
      </c>
      <c r="H362">
        <v>8</v>
      </c>
      <c r="I362">
        <v>5</v>
      </c>
      <c r="J362" t="s">
        <v>15</v>
      </c>
      <c r="K362" t="s">
        <v>16</v>
      </c>
      <c r="L362" t="s">
        <v>39</v>
      </c>
    </row>
    <row r="363" spans="1:12" x14ac:dyDescent="0.25">
      <c r="A363">
        <v>362</v>
      </c>
      <c r="B363" s="1">
        <v>45149</v>
      </c>
      <c r="C363" t="s">
        <v>12</v>
      </c>
      <c r="D363" t="s">
        <v>13</v>
      </c>
      <c r="E363" t="s">
        <v>24</v>
      </c>
      <c r="F363">
        <v>53</v>
      </c>
      <c r="G363">
        <v>18079</v>
      </c>
      <c r="H363">
        <v>14</v>
      </c>
      <c r="I363">
        <v>2</v>
      </c>
      <c r="J363" t="s">
        <v>20</v>
      </c>
      <c r="K363" t="s">
        <v>16</v>
      </c>
      <c r="L363" t="s">
        <v>17</v>
      </c>
    </row>
    <row r="364" spans="1:12" x14ac:dyDescent="0.25">
      <c r="A364">
        <v>363</v>
      </c>
      <c r="B364" s="1">
        <v>43287</v>
      </c>
      <c r="C364" t="s">
        <v>12</v>
      </c>
      <c r="D364" t="s">
        <v>41</v>
      </c>
      <c r="E364" t="s">
        <v>14</v>
      </c>
      <c r="F364">
        <v>37</v>
      </c>
      <c r="G364">
        <v>7996</v>
      </c>
      <c r="H364">
        <v>5</v>
      </c>
      <c r="I364">
        <v>4</v>
      </c>
      <c r="J364" t="s">
        <v>15</v>
      </c>
      <c r="K364" t="s">
        <v>16</v>
      </c>
      <c r="L364" t="s">
        <v>34</v>
      </c>
    </row>
    <row r="365" spans="1:12" x14ac:dyDescent="0.25">
      <c r="A365">
        <v>364</v>
      </c>
      <c r="B365" s="1">
        <v>40970</v>
      </c>
      <c r="C365" t="s">
        <v>36</v>
      </c>
      <c r="D365" t="s">
        <v>42</v>
      </c>
      <c r="E365" t="s">
        <v>14</v>
      </c>
      <c r="F365">
        <v>30</v>
      </c>
      <c r="G365">
        <v>18907</v>
      </c>
      <c r="H365">
        <v>9</v>
      </c>
      <c r="I365">
        <v>4</v>
      </c>
      <c r="J365" t="s">
        <v>15</v>
      </c>
      <c r="K365" t="s">
        <v>27</v>
      </c>
      <c r="L365" t="s">
        <v>34</v>
      </c>
    </row>
    <row r="366" spans="1:12" x14ac:dyDescent="0.25">
      <c r="A366">
        <v>365</v>
      </c>
      <c r="B366" s="1">
        <v>44174</v>
      </c>
      <c r="C366" t="s">
        <v>22</v>
      </c>
      <c r="D366" t="s">
        <v>35</v>
      </c>
      <c r="E366" t="s">
        <v>14</v>
      </c>
      <c r="F366">
        <v>49</v>
      </c>
      <c r="G366">
        <v>16164</v>
      </c>
      <c r="H366">
        <v>2</v>
      </c>
      <c r="I366">
        <v>2</v>
      </c>
      <c r="J366" t="s">
        <v>15</v>
      </c>
      <c r="K366" t="s">
        <v>27</v>
      </c>
      <c r="L366" t="s">
        <v>34</v>
      </c>
    </row>
    <row r="367" spans="1:12" x14ac:dyDescent="0.25">
      <c r="A367">
        <v>366</v>
      </c>
      <c r="B367" s="1">
        <v>42899</v>
      </c>
      <c r="C367" t="s">
        <v>36</v>
      </c>
      <c r="D367" t="s">
        <v>42</v>
      </c>
      <c r="E367" t="s">
        <v>14</v>
      </c>
      <c r="F367">
        <v>38</v>
      </c>
      <c r="G367">
        <v>16937</v>
      </c>
      <c r="H367">
        <v>13</v>
      </c>
      <c r="I367">
        <v>2</v>
      </c>
      <c r="J367" t="s">
        <v>15</v>
      </c>
      <c r="K367" t="s">
        <v>27</v>
      </c>
      <c r="L367" t="s">
        <v>25</v>
      </c>
    </row>
    <row r="368" spans="1:12" x14ac:dyDescent="0.25">
      <c r="A368">
        <v>367</v>
      </c>
      <c r="B368" s="1">
        <v>45044</v>
      </c>
      <c r="C368" t="s">
        <v>28</v>
      </c>
      <c r="D368" t="s">
        <v>29</v>
      </c>
      <c r="E368" t="s">
        <v>24</v>
      </c>
      <c r="F368">
        <v>26</v>
      </c>
      <c r="G368">
        <v>10476</v>
      </c>
      <c r="H368">
        <v>6</v>
      </c>
      <c r="I368">
        <v>2</v>
      </c>
      <c r="J368" t="s">
        <v>15</v>
      </c>
      <c r="K368" t="s">
        <v>32</v>
      </c>
      <c r="L368" t="s">
        <v>17</v>
      </c>
    </row>
    <row r="369" spans="1:12" x14ac:dyDescent="0.25">
      <c r="A369">
        <v>368</v>
      </c>
      <c r="B369" s="1">
        <v>43892</v>
      </c>
      <c r="C369" t="s">
        <v>30</v>
      </c>
      <c r="D369" t="s">
        <v>38</v>
      </c>
      <c r="E369" t="s">
        <v>24</v>
      </c>
      <c r="F369">
        <v>47</v>
      </c>
      <c r="G369">
        <v>11914</v>
      </c>
      <c r="H369">
        <v>4</v>
      </c>
      <c r="I369">
        <v>5</v>
      </c>
      <c r="J369" t="s">
        <v>20</v>
      </c>
      <c r="K369" t="s">
        <v>27</v>
      </c>
      <c r="L369" t="s">
        <v>25</v>
      </c>
    </row>
    <row r="370" spans="1:12" x14ac:dyDescent="0.25">
      <c r="A370">
        <v>369</v>
      </c>
      <c r="B370" s="1">
        <v>45145</v>
      </c>
      <c r="C370" t="s">
        <v>30</v>
      </c>
      <c r="D370" t="s">
        <v>31</v>
      </c>
      <c r="E370" t="s">
        <v>24</v>
      </c>
      <c r="F370">
        <v>60</v>
      </c>
      <c r="G370">
        <v>18701</v>
      </c>
      <c r="H370">
        <v>10</v>
      </c>
      <c r="I370">
        <v>5</v>
      </c>
      <c r="J370" t="s">
        <v>15</v>
      </c>
      <c r="K370" t="s">
        <v>16</v>
      </c>
      <c r="L370" t="s">
        <v>34</v>
      </c>
    </row>
    <row r="371" spans="1:12" x14ac:dyDescent="0.25">
      <c r="A371">
        <v>370</v>
      </c>
      <c r="B371" s="1">
        <v>40438</v>
      </c>
      <c r="C371" t="s">
        <v>18</v>
      </c>
      <c r="D371" t="s">
        <v>19</v>
      </c>
      <c r="E371" t="s">
        <v>24</v>
      </c>
      <c r="F371">
        <v>34</v>
      </c>
      <c r="G371">
        <v>7795</v>
      </c>
      <c r="H371">
        <v>0</v>
      </c>
      <c r="I371">
        <v>4</v>
      </c>
      <c r="J371" t="s">
        <v>20</v>
      </c>
      <c r="K371" t="s">
        <v>32</v>
      </c>
      <c r="L371" t="s">
        <v>21</v>
      </c>
    </row>
    <row r="372" spans="1:12" x14ac:dyDescent="0.25">
      <c r="A372">
        <v>371</v>
      </c>
      <c r="B372" s="1">
        <v>43894</v>
      </c>
      <c r="C372" t="s">
        <v>28</v>
      </c>
      <c r="D372" t="s">
        <v>29</v>
      </c>
      <c r="E372" t="s">
        <v>14</v>
      </c>
      <c r="F372">
        <v>58</v>
      </c>
      <c r="G372">
        <v>4343</v>
      </c>
      <c r="H372">
        <v>7</v>
      </c>
      <c r="I372">
        <v>2</v>
      </c>
      <c r="J372" t="s">
        <v>20</v>
      </c>
      <c r="K372" t="s">
        <v>32</v>
      </c>
      <c r="L372" t="s">
        <v>17</v>
      </c>
    </row>
    <row r="373" spans="1:12" x14ac:dyDescent="0.25">
      <c r="A373">
        <v>372</v>
      </c>
      <c r="B373" s="1">
        <v>43552</v>
      </c>
      <c r="C373" t="s">
        <v>22</v>
      </c>
      <c r="D373" t="s">
        <v>35</v>
      </c>
      <c r="E373" t="s">
        <v>24</v>
      </c>
      <c r="F373">
        <v>55</v>
      </c>
      <c r="G373">
        <v>18175</v>
      </c>
      <c r="H373">
        <v>14</v>
      </c>
      <c r="I373">
        <v>5</v>
      </c>
      <c r="J373" t="s">
        <v>15</v>
      </c>
      <c r="K373" t="s">
        <v>16</v>
      </c>
      <c r="L373" t="s">
        <v>17</v>
      </c>
    </row>
    <row r="374" spans="1:12" x14ac:dyDescent="0.25">
      <c r="A374">
        <v>373</v>
      </c>
      <c r="B374" s="1">
        <v>42405</v>
      </c>
      <c r="C374" t="s">
        <v>22</v>
      </c>
      <c r="D374" t="s">
        <v>23</v>
      </c>
      <c r="E374" t="s">
        <v>14</v>
      </c>
      <c r="F374">
        <v>24</v>
      </c>
      <c r="G374">
        <v>11583</v>
      </c>
      <c r="H374">
        <v>9</v>
      </c>
      <c r="I374">
        <v>2</v>
      </c>
      <c r="J374" t="s">
        <v>15</v>
      </c>
      <c r="K374" t="s">
        <v>32</v>
      </c>
      <c r="L374" t="s">
        <v>34</v>
      </c>
    </row>
    <row r="375" spans="1:12" x14ac:dyDescent="0.25">
      <c r="A375">
        <v>374</v>
      </c>
      <c r="B375" s="1">
        <v>42888</v>
      </c>
      <c r="C375" t="s">
        <v>30</v>
      </c>
      <c r="D375" t="s">
        <v>38</v>
      </c>
      <c r="E375" t="s">
        <v>24</v>
      </c>
      <c r="F375">
        <v>26</v>
      </c>
      <c r="G375">
        <v>5347</v>
      </c>
      <c r="H375">
        <v>10</v>
      </c>
      <c r="I375">
        <v>5</v>
      </c>
      <c r="J375" t="s">
        <v>20</v>
      </c>
      <c r="K375" t="s">
        <v>27</v>
      </c>
      <c r="L375" t="s">
        <v>39</v>
      </c>
    </row>
    <row r="376" spans="1:12" x14ac:dyDescent="0.25">
      <c r="A376">
        <v>375</v>
      </c>
      <c r="B376" s="1">
        <v>44077</v>
      </c>
      <c r="C376" t="s">
        <v>30</v>
      </c>
      <c r="D376" t="s">
        <v>38</v>
      </c>
      <c r="E376" t="s">
        <v>24</v>
      </c>
      <c r="F376">
        <v>41</v>
      </c>
      <c r="G376">
        <v>14307</v>
      </c>
      <c r="H376">
        <v>1</v>
      </c>
      <c r="I376">
        <v>4</v>
      </c>
      <c r="J376" t="s">
        <v>20</v>
      </c>
      <c r="K376" t="s">
        <v>32</v>
      </c>
      <c r="L376" t="s">
        <v>34</v>
      </c>
    </row>
    <row r="377" spans="1:12" x14ac:dyDescent="0.25">
      <c r="A377">
        <v>376</v>
      </c>
      <c r="B377" s="1">
        <v>43078</v>
      </c>
      <c r="C377" t="s">
        <v>28</v>
      </c>
      <c r="D377" t="s">
        <v>29</v>
      </c>
      <c r="E377" t="s">
        <v>14</v>
      </c>
      <c r="F377">
        <v>39</v>
      </c>
      <c r="G377">
        <v>14975</v>
      </c>
      <c r="H377">
        <v>1</v>
      </c>
      <c r="I377">
        <v>5</v>
      </c>
      <c r="J377" t="s">
        <v>20</v>
      </c>
      <c r="K377" t="s">
        <v>27</v>
      </c>
      <c r="L377" t="s">
        <v>21</v>
      </c>
    </row>
    <row r="378" spans="1:12" x14ac:dyDescent="0.25">
      <c r="A378">
        <v>377</v>
      </c>
      <c r="B378" s="1">
        <v>40296</v>
      </c>
      <c r="C378" t="s">
        <v>12</v>
      </c>
      <c r="D378" t="s">
        <v>13</v>
      </c>
      <c r="E378" t="s">
        <v>24</v>
      </c>
      <c r="F378">
        <v>40</v>
      </c>
      <c r="G378">
        <v>13351</v>
      </c>
      <c r="H378">
        <v>15</v>
      </c>
      <c r="I378">
        <v>1</v>
      </c>
      <c r="J378" t="s">
        <v>15</v>
      </c>
      <c r="K378" t="s">
        <v>32</v>
      </c>
      <c r="L378" t="s">
        <v>34</v>
      </c>
    </row>
    <row r="379" spans="1:12" x14ac:dyDescent="0.25">
      <c r="A379">
        <v>378</v>
      </c>
      <c r="B379" s="1">
        <v>41170</v>
      </c>
      <c r="C379" t="s">
        <v>30</v>
      </c>
      <c r="D379" t="s">
        <v>31</v>
      </c>
      <c r="E379" t="s">
        <v>24</v>
      </c>
      <c r="F379">
        <v>48</v>
      </c>
      <c r="G379">
        <v>19575</v>
      </c>
      <c r="H379">
        <v>7</v>
      </c>
      <c r="I379">
        <v>3</v>
      </c>
      <c r="J379" t="s">
        <v>15</v>
      </c>
      <c r="K379" t="s">
        <v>32</v>
      </c>
      <c r="L379" t="s">
        <v>21</v>
      </c>
    </row>
    <row r="380" spans="1:12" x14ac:dyDescent="0.25">
      <c r="A380">
        <v>379</v>
      </c>
      <c r="B380" s="1">
        <v>43493</v>
      </c>
      <c r="C380" t="s">
        <v>36</v>
      </c>
      <c r="D380" t="s">
        <v>40</v>
      </c>
      <c r="E380" t="s">
        <v>24</v>
      </c>
      <c r="F380">
        <v>35</v>
      </c>
      <c r="G380">
        <v>10859</v>
      </c>
      <c r="H380">
        <v>4</v>
      </c>
      <c r="I380">
        <v>4</v>
      </c>
      <c r="J380" t="s">
        <v>15</v>
      </c>
      <c r="K380" t="s">
        <v>16</v>
      </c>
      <c r="L380" t="s">
        <v>21</v>
      </c>
    </row>
    <row r="381" spans="1:12" x14ac:dyDescent="0.25">
      <c r="A381">
        <v>380</v>
      </c>
      <c r="B381" s="1">
        <v>44409</v>
      </c>
      <c r="C381" t="s">
        <v>18</v>
      </c>
      <c r="D381" t="s">
        <v>19</v>
      </c>
      <c r="E381" t="s">
        <v>14</v>
      </c>
      <c r="F381">
        <v>34</v>
      </c>
      <c r="G381">
        <v>9611</v>
      </c>
      <c r="H381">
        <v>9</v>
      </c>
      <c r="I381">
        <v>2</v>
      </c>
      <c r="J381" t="s">
        <v>20</v>
      </c>
      <c r="K381" t="s">
        <v>27</v>
      </c>
      <c r="L381" t="s">
        <v>21</v>
      </c>
    </row>
    <row r="382" spans="1:12" x14ac:dyDescent="0.25">
      <c r="A382">
        <v>381</v>
      </c>
      <c r="B382" s="1">
        <v>40642</v>
      </c>
      <c r="C382" t="s">
        <v>28</v>
      </c>
      <c r="D382" t="s">
        <v>33</v>
      </c>
      <c r="E382" t="s">
        <v>24</v>
      </c>
      <c r="F382">
        <v>35</v>
      </c>
      <c r="G382">
        <v>18382</v>
      </c>
      <c r="H382">
        <v>4</v>
      </c>
      <c r="I382">
        <v>2</v>
      </c>
      <c r="J382" t="s">
        <v>15</v>
      </c>
      <c r="K382" t="s">
        <v>27</v>
      </c>
      <c r="L382" t="s">
        <v>17</v>
      </c>
    </row>
    <row r="383" spans="1:12" x14ac:dyDescent="0.25">
      <c r="A383">
        <v>382</v>
      </c>
      <c r="B383" s="1">
        <v>40693</v>
      </c>
      <c r="C383" t="s">
        <v>12</v>
      </c>
      <c r="D383" t="s">
        <v>41</v>
      </c>
      <c r="E383" t="s">
        <v>24</v>
      </c>
      <c r="F383">
        <v>35</v>
      </c>
      <c r="G383">
        <v>9511</v>
      </c>
      <c r="H383">
        <v>5</v>
      </c>
      <c r="I383">
        <v>1</v>
      </c>
      <c r="J383" t="s">
        <v>15</v>
      </c>
      <c r="K383" t="s">
        <v>32</v>
      </c>
      <c r="L383" t="s">
        <v>21</v>
      </c>
    </row>
    <row r="384" spans="1:12" x14ac:dyDescent="0.25">
      <c r="A384">
        <v>383</v>
      </c>
      <c r="B384" s="1">
        <v>42144</v>
      </c>
      <c r="C384" t="s">
        <v>30</v>
      </c>
      <c r="D384" t="s">
        <v>31</v>
      </c>
      <c r="E384" t="s">
        <v>24</v>
      </c>
      <c r="F384">
        <v>47</v>
      </c>
      <c r="G384">
        <v>17484</v>
      </c>
      <c r="H384">
        <v>1</v>
      </c>
      <c r="I384">
        <v>4</v>
      </c>
      <c r="J384" t="s">
        <v>15</v>
      </c>
      <c r="K384" t="s">
        <v>32</v>
      </c>
      <c r="L384" t="s">
        <v>17</v>
      </c>
    </row>
    <row r="385" spans="1:12" x14ac:dyDescent="0.25">
      <c r="A385">
        <v>384</v>
      </c>
      <c r="B385" s="1">
        <v>42790</v>
      </c>
      <c r="C385" t="s">
        <v>12</v>
      </c>
      <c r="D385" t="s">
        <v>41</v>
      </c>
      <c r="E385" t="s">
        <v>14</v>
      </c>
      <c r="F385">
        <v>42</v>
      </c>
      <c r="G385">
        <v>11529</v>
      </c>
      <c r="H385">
        <v>2</v>
      </c>
      <c r="I385">
        <v>5</v>
      </c>
      <c r="J385" t="s">
        <v>15</v>
      </c>
      <c r="K385" t="s">
        <v>27</v>
      </c>
      <c r="L385" t="s">
        <v>25</v>
      </c>
    </row>
    <row r="386" spans="1:12" x14ac:dyDescent="0.25">
      <c r="A386">
        <v>385</v>
      </c>
      <c r="B386" s="1">
        <v>40265</v>
      </c>
      <c r="C386" t="s">
        <v>12</v>
      </c>
      <c r="D386" t="s">
        <v>41</v>
      </c>
      <c r="E386" t="s">
        <v>14</v>
      </c>
      <c r="F386">
        <v>54</v>
      </c>
      <c r="G386">
        <v>18486</v>
      </c>
      <c r="H386">
        <v>0</v>
      </c>
      <c r="I386">
        <v>1</v>
      </c>
      <c r="J386" t="s">
        <v>15</v>
      </c>
      <c r="K386" t="s">
        <v>32</v>
      </c>
      <c r="L386" t="s">
        <v>21</v>
      </c>
    </row>
    <row r="387" spans="1:12" x14ac:dyDescent="0.25">
      <c r="A387">
        <v>386</v>
      </c>
      <c r="B387" s="1">
        <v>44923</v>
      </c>
      <c r="C387" t="s">
        <v>18</v>
      </c>
      <c r="D387" t="s">
        <v>26</v>
      </c>
      <c r="E387" t="s">
        <v>14</v>
      </c>
      <c r="F387">
        <v>60</v>
      </c>
      <c r="G387">
        <v>11045</v>
      </c>
      <c r="H387">
        <v>12</v>
      </c>
      <c r="I387">
        <v>5</v>
      </c>
      <c r="J387" t="s">
        <v>15</v>
      </c>
      <c r="K387" t="s">
        <v>27</v>
      </c>
      <c r="L387" t="s">
        <v>34</v>
      </c>
    </row>
    <row r="388" spans="1:12" x14ac:dyDescent="0.25">
      <c r="A388">
        <v>387</v>
      </c>
      <c r="B388" s="1">
        <v>44965</v>
      </c>
      <c r="C388" t="s">
        <v>18</v>
      </c>
      <c r="D388" t="s">
        <v>26</v>
      </c>
      <c r="E388" t="s">
        <v>14</v>
      </c>
      <c r="F388">
        <v>24</v>
      </c>
      <c r="G388">
        <v>7304</v>
      </c>
      <c r="H388">
        <v>15</v>
      </c>
      <c r="I388">
        <v>1</v>
      </c>
      <c r="J388" t="s">
        <v>20</v>
      </c>
      <c r="K388" t="s">
        <v>32</v>
      </c>
      <c r="L388" t="s">
        <v>39</v>
      </c>
    </row>
    <row r="389" spans="1:12" x14ac:dyDescent="0.25">
      <c r="A389">
        <v>388</v>
      </c>
      <c r="B389" s="1">
        <v>43358</v>
      </c>
      <c r="C389" t="s">
        <v>30</v>
      </c>
      <c r="D389" t="s">
        <v>38</v>
      </c>
      <c r="E389" t="s">
        <v>24</v>
      </c>
      <c r="F389">
        <v>48</v>
      </c>
      <c r="G389">
        <v>10968</v>
      </c>
      <c r="H389">
        <v>0</v>
      </c>
      <c r="I389">
        <v>4</v>
      </c>
      <c r="J389" t="s">
        <v>15</v>
      </c>
      <c r="K389" t="s">
        <v>27</v>
      </c>
      <c r="L389" t="s">
        <v>39</v>
      </c>
    </row>
    <row r="390" spans="1:12" x14ac:dyDescent="0.25">
      <c r="A390">
        <v>389</v>
      </c>
      <c r="B390" s="1">
        <v>40765</v>
      </c>
      <c r="C390" t="s">
        <v>22</v>
      </c>
      <c r="D390" t="s">
        <v>35</v>
      </c>
      <c r="E390" t="s">
        <v>24</v>
      </c>
      <c r="F390">
        <v>36</v>
      </c>
      <c r="G390">
        <v>6600</v>
      </c>
      <c r="H390">
        <v>12</v>
      </c>
      <c r="I390">
        <v>5</v>
      </c>
      <c r="J390" t="s">
        <v>15</v>
      </c>
      <c r="K390" t="s">
        <v>32</v>
      </c>
      <c r="L390" t="s">
        <v>21</v>
      </c>
    </row>
    <row r="391" spans="1:12" x14ac:dyDescent="0.25">
      <c r="A391">
        <v>390</v>
      </c>
      <c r="B391" s="1">
        <v>43829</v>
      </c>
      <c r="C391" t="s">
        <v>30</v>
      </c>
      <c r="D391" t="s">
        <v>31</v>
      </c>
      <c r="E391" t="s">
        <v>24</v>
      </c>
      <c r="F391">
        <v>30</v>
      </c>
      <c r="G391">
        <v>10457</v>
      </c>
      <c r="H391">
        <v>2</v>
      </c>
      <c r="I391">
        <v>5</v>
      </c>
      <c r="J391" t="s">
        <v>15</v>
      </c>
      <c r="K391" t="s">
        <v>32</v>
      </c>
      <c r="L391" t="s">
        <v>39</v>
      </c>
    </row>
    <row r="392" spans="1:12" x14ac:dyDescent="0.25">
      <c r="A392">
        <v>391</v>
      </c>
      <c r="B392" s="1">
        <v>43835</v>
      </c>
      <c r="C392" t="s">
        <v>12</v>
      </c>
      <c r="D392" t="s">
        <v>13</v>
      </c>
      <c r="E392" t="s">
        <v>24</v>
      </c>
      <c r="F392">
        <v>30</v>
      </c>
      <c r="G392">
        <v>15014</v>
      </c>
      <c r="H392">
        <v>11</v>
      </c>
      <c r="I392">
        <v>2</v>
      </c>
      <c r="J392" t="s">
        <v>15</v>
      </c>
      <c r="K392" t="s">
        <v>27</v>
      </c>
      <c r="L392" t="s">
        <v>17</v>
      </c>
    </row>
    <row r="393" spans="1:12" x14ac:dyDescent="0.25">
      <c r="A393">
        <v>392</v>
      </c>
      <c r="B393" s="1">
        <v>41077</v>
      </c>
      <c r="C393" t="s">
        <v>22</v>
      </c>
      <c r="D393" t="s">
        <v>23</v>
      </c>
      <c r="E393" t="s">
        <v>24</v>
      </c>
      <c r="F393">
        <v>37</v>
      </c>
      <c r="G393">
        <v>17397</v>
      </c>
      <c r="H393">
        <v>12</v>
      </c>
      <c r="I393">
        <v>3</v>
      </c>
      <c r="J393" t="s">
        <v>15</v>
      </c>
      <c r="K393" t="s">
        <v>32</v>
      </c>
      <c r="L393" t="s">
        <v>17</v>
      </c>
    </row>
    <row r="394" spans="1:12" x14ac:dyDescent="0.25">
      <c r="A394">
        <v>393</v>
      </c>
      <c r="B394" s="1">
        <v>44695</v>
      </c>
      <c r="C394" t="s">
        <v>28</v>
      </c>
      <c r="D394" t="s">
        <v>33</v>
      </c>
      <c r="E394" t="s">
        <v>24</v>
      </c>
      <c r="F394">
        <v>28</v>
      </c>
      <c r="G394">
        <v>13363</v>
      </c>
      <c r="H394">
        <v>10</v>
      </c>
      <c r="I394">
        <v>5</v>
      </c>
      <c r="J394" t="s">
        <v>20</v>
      </c>
      <c r="K394" t="s">
        <v>16</v>
      </c>
      <c r="L394" t="s">
        <v>21</v>
      </c>
    </row>
    <row r="395" spans="1:12" x14ac:dyDescent="0.25">
      <c r="A395">
        <v>394</v>
      </c>
      <c r="B395" s="1">
        <v>42527</v>
      </c>
      <c r="C395" t="s">
        <v>18</v>
      </c>
      <c r="D395" t="s">
        <v>26</v>
      </c>
      <c r="E395" t="s">
        <v>14</v>
      </c>
      <c r="F395">
        <v>56</v>
      </c>
      <c r="G395">
        <v>6640</v>
      </c>
      <c r="H395">
        <v>4</v>
      </c>
      <c r="I395">
        <v>2</v>
      </c>
      <c r="J395" t="s">
        <v>20</v>
      </c>
      <c r="K395" t="s">
        <v>16</v>
      </c>
      <c r="L395" t="s">
        <v>39</v>
      </c>
    </row>
    <row r="396" spans="1:12" x14ac:dyDescent="0.25">
      <c r="A396">
        <v>395</v>
      </c>
      <c r="B396" s="1">
        <v>44642</v>
      </c>
      <c r="C396" t="s">
        <v>28</v>
      </c>
      <c r="D396" t="s">
        <v>29</v>
      </c>
      <c r="E396" t="s">
        <v>14</v>
      </c>
      <c r="F396">
        <v>37</v>
      </c>
      <c r="G396">
        <v>6172</v>
      </c>
      <c r="H396">
        <v>9</v>
      </c>
      <c r="I396">
        <v>5</v>
      </c>
      <c r="J396" t="s">
        <v>15</v>
      </c>
      <c r="K396" t="s">
        <v>27</v>
      </c>
      <c r="L396" t="s">
        <v>25</v>
      </c>
    </row>
    <row r="397" spans="1:12" x14ac:dyDescent="0.25">
      <c r="A397">
        <v>396</v>
      </c>
      <c r="B397" s="1">
        <v>40365</v>
      </c>
      <c r="C397" t="s">
        <v>12</v>
      </c>
      <c r="D397" t="s">
        <v>13</v>
      </c>
      <c r="E397" t="s">
        <v>14</v>
      </c>
      <c r="F397">
        <v>41</v>
      </c>
      <c r="G397">
        <v>15569</v>
      </c>
      <c r="H397">
        <v>2</v>
      </c>
      <c r="I397">
        <v>2</v>
      </c>
      <c r="J397" t="s">
        <v>15</v>
      </c>
      <c r="K397" t="s">
        <v>16</v>
      </c>
      <c r="L397" t="s">
        <v>39</v>
      </c>
    </row>
    <row r="398" spans="1:12" x14ac:dyDescent="0.25">
      <c r="A398">
        <v>397</v>
      </c>
      <c r="B398" s="1">
        <v>44916</v>
      </c>
      <c r="C398" t="s">
        <v>18</v>
      </c>
      <c r="D398" t="s">
        <v>19</v>
      </c>
      <c r="E398" t="s">
        <v>14</v>
      </c>
      <c r="F398">
        <v>29</v>
      </c>
      <c r="G398">
        <v>6105</v>
      </c>
      <c r="H398">
        <v>2</v>
      </c>
      <c r="I398">
        <v>3</v>
      </c>
      <c r="J398" t="s">
        <v>20</v>
      </c>
      <c r="K398" t="s">
        <v>16</v>
      </c>
      <c r="L398" t="s">
        <v>25</v>
      </c>
    </row>
    <row r="399" spans="1:12" x14ac:dyDescent="0.25">
      <c r="A399">
        <v>398</v>
      </c>
      <c r="B399" s="1">
        <v>41967</v>
      </c>
      <c r="C399" t="s">
        <v>22</v>
      </c>
      <c r="D399" t="s">
        <v>35</v>
      </c>
      <c r="E399" t="s">
        <v>24</v>
      </c>
      <c r="F399">
        <v>53</v>
      </c>
      <c r="G399">
        <v>8298</v>
      </c>
      <c r="H399">
        <v>10</v>
      </c>
      <c r="I399">
        <v>4</v>
      </c>
      <c r="J399" t="s">
        <v>15</v>
      </c>
      <c r="K399" t="s">
        <v>27</v>
      </c>
      <c r="L399" t="s">
        <v>21</v>
      </c>
    </row>
    <row r="400" spans="1:12" x14ac:dyDescent="0.25">
      <c r="A400">
        <v>399</v>
      </c>
      <c r="B400" s="1">
        <v>42179</v>
      </c>
      <c r="C400" t="s">
        <v>22</v>
      </c>
      <c r="D400" t="s">
        <v>35</v>
      </c>
      <c r="E400" t="s">
        <v>24</v>
      </c>
      <c r="F400">
        <v>30</v>
      </c>
      <c r="G400">
        <v>14501</v>
      </c>
      <c r="H400">
        <v>14</v>
      </c>
      <c r="I400">
        <v>5</v>
      </c>
      <c r="J400" t="s">
        <v>20</v>
      </c>
      <c r="K400" t="s">
        <v>32</v>
      </c>
      <c r="L400" t="s">
        <v>17</v>
      </c>
    </row>
    <row r="401" spans="1:12" x14ac:dyDescent="0.25">
      <c r="A401">
        <v>400</v>
      </c>
      <c r="B401" s="1">
        <v>42390</v>
      </c>
      <c r="C401" t="s">
        <v>30</v>
      </c>
      <c r="D401" t="s">
        <v>38</v>
      </c>
      <c r="E401" t="s">
        <v>24</v>
      </c>
      <c r="F401">
        <v>30</v>
      </c>
      <c r="G401">
        <v>10546</v>
      </c>
      <c r="H401">
        <v>0</v>
      </c>
      <c r="I401">
        <v>2</v>
      </c>
      <c r="J401" t="s">
        <v>20</v>
      </c>
      <c r="K401" t="s">
        <v>32</v>
      </c>
      <c r="L401" t="s">
        <v>17</v>
      </c>
    </row>
    <row r="402" spans="1:12" x14ac:dyDescent="0.25">
      <c r="A402">
        <v>401</v>
      </c>
      <c r="B402" s="1">
        <v>42501</v>
      </c>
      <c r="C402" t="s">
        <v>18</v>
      </c>
      <c r="D402" t="s">
        <v>19</v>
      </c>
      <c r="E402" t="s">
        <v>24</v>
      </c>
      <c r="F402">
        <v>32</v>
      </c>
      <c r="G402">
        <v>16336</v>
      </c>
      <c r="H402">
        <v>0</v>
      </c>
      <c r="I402">
        <v>1</v>
      </c>
      <c r="J402" t="s">
        <v>15</v>
      </c>
      <c r="K402" t="s">
        <v>32</v>
      </c>
      <c r="L402" t="s">
        <v>34</v>
      </c>
    </row>
    <row r="403" spans="1:12" x14ac:dyDescent="0.25">
      <c r="A403">
        <v>402</v>
      </c>
      <c r="B403" s="1">
        <v>42434</v>
      </c>
      <c r="C403" t="s">
        <v>30</v>
      </c>
      <c r="D403" t="s">
        <v>38</v>
      </c>
      <c r="E403" t="s">
        <v>24</v>
      </c>
      <c r="F403">
        <v>35</v>
      </c>
      <c r="G403">
        <v>8188</v>
      </c>
      <c r="H403">
        <v>5</v>
      </c>
      <c r="I403">
        <v>4</v>
      </c>
      <c r="J403" t="s">
        <v>15</v>
      </c>
      <c r="K403" t="s">
        <v>32</v>
      </c>
      <c r="L403" t="s">
        <v>21</v>
      </c>
    </row>
    <row r="404" spans="1:12" x14ac:dyDescent="0.25">
      <c r="A404">
        <v>403</v>
      </c>
      <c r="B404" s="1">
        <v>42527</v>
      </c>
      <c r="C404" t="s">
        <v>30</v>
      </c>
      <c r="D404" t="s">
        <v>31</v>
      </c>
      <c r="E404" t="s">
        <v>24</v>
      </c>
      <c r="F404">
        <v>48</v>
      </c>
      <c r="G404">
        <v>12992</v>
      </c>
      <c r="H404">
        <v>11</v>
      </c>
      <c r="I404">
        <v>5</v>
      </c>
      <c r="J404" t="s">
        <v>15</v>
      </c>
      <c r="K404" t="s">
        <v>32</v>
      </c>
      <c r="L404" t="s">
        <v>17</v>
      </c>
    </row>
    <row r="405" spans="1:12" x14ac:dyDescent="0.25">
      <c r="A405">
        <v>404</v>
      </c>
      <c r="B405" s="1">
        <v>42147</v>
      </c>
      <c r="C405" t="s">
        <v>22</v>
      </c>
      <c r="D405" t="s">
        <v>23</v>
      </c>
      <c r="E405" t="s">
        <v>24</v>
      </c>
      <c r="F405">
        <v>27</v>
      </c>
      <c r="G405">
        <v>7233</v>
      </c>
      <c r="H405">
        <v>6</v>
      </c>
      <c r="I405">
        <v>4</v>
      </c>
      <c r="J405" t="s">
        <v>20</v>
      </c>
      <c r="K405" t="s">
        <v>27</v>
      </c>
      <c r="L405" t="s">
        <v>25</v>
      </c>
    </row>
    <row r="406" spans="1:12" x14ac:dyDescent="0.25">
      <c r="A406">
        <v>405</v>
      </c>
      <c r="B406" s="1">
        <v>44014</v>
      </c>
      <c r="C406" t="s">
        <v>22</v>
      </c>
      <c r="D406" t="s">
        <v>35</v>
      </c>
      <c r="E406" t="s">
        <v>14</v>
      </c>
      <c r="F406">
        <v>31</v>
      </c>
      <c r="G406">
        <v>17223</v>
      </c>
      <c r="H406">
        <v>7</v>
      </c>
      <c r="I406">
        <v>5</v>
      </c>
      <c r="J406" t="s">
        <v>15</v>
      </c>
      <c r="K406" t="s">
        <v>16</v>
      </c>
      <c r="L406" t="s">
        <v>25</v>
      </c>
    </row>
    <row r="407" spans="1:12" x14ac:dyDescent="0.25">
      <c r="A407">
        <v>406</v>
      </c>
      <c r="B407" s="1">
        <v>43626</v>
      </c>
      <c r="C407" t="s">
        <v>28</v>
      </c>
      <c r="D407" t="s">
        <v>33</v>
      </c>
      <c r="E407" t="s">
        <v>24</v>
      </c>
      <c r="F407">
        <v>48</v>
      </c>
      <c r="G407">
        <v>8498</v>
      </c>
      <c r="H407">
        <v>6</v>
      </c>
      <c r="I407">
        <v>4</v>
      </c>
      <c r="J407" t="s">
        <v>15</v>
      </c>
      <c r="K407" t="s">
        <v>32</v>
      </c>
      <c r="L407" t="s">
        <v>17</v>
      </c>
    </row>
    <row r="408" spans="1:12" x14ac:dyDescent="0.25">
      <c r="A408">
        <v>407</v>
      </c>
      <c r="B408" s="1">
        <v>42869</v>
      </c>
      <c r="C408" t="s">
        <v>22</v>
      </c>
      <c r="D408" t="s">
        <v>23</v>
      </c>
      <c r="E408" t="s">
        <v>24</v>
      </c>
      <c r="F408">
        <v>47</v>
      </c>
      <c r="G408">
        <v>11257</v>
      </c>
      <c r="H408">
        <v>7</v>
      </c>
      <c r="I408">
        <v>4</v>
      </c>
      <c r="J408" t="s">
        <v>15</v>
      </c>
      <c r="K408" t="s">
        <v>16</v>
      </c>
      <c r="L408" t="s">
        <v>39</v>
      </c>
    </row>
    <row r="409" spans="1:12" x14ac:dyDescent="0.25">
      <c r="A409">
        <v>408</v>
      </c>
      <c r="B409" s="1">
        <v>40980</v>
      </c>
      <c r="C409" t="s">
        <v>28</v>
      </c>
      <c r="D409" t="s">
        <v>33</v>
      </c>
      <c r="E409" t="s">
        <v>24</v>
      </c>
      <c r="F409">
        <v>29</v>
      </c>
      <c r="G409">
        <v>16060</v>
      </c>
      <c r="H409">
        <v>8</v>
      </c>
      <c r="I409">
        <v>1</v>
      </c>
      <c r="J409" t="s">
        <v>20</v>
      </c>
      <c r="K409" t="s">
        <v>16</v>
      </c>
      <c r="L409" t="s">
        <v>17</v>
      </c>
    </row>
    <row r="410" spans="1:12" x14ac:dyDescent="0.25">
      <c r="A410">
        <v>409</v>
      </c>
      <c r="B410" s="1">
        <v>43734</v>
      </c>
      <c r="C410" t="s">
        <v>30</v>
      </c>
      <c r="D410" t="s">
        <v>38</v>
      </c>
      <c r="E410" t="s">
        <v>14</v>
      </c>
      <c r="F410">
        <v>42</v>
      </c>
      <c r="G410">
        <v>18811</v>
      </c>
      <c r="H410">
        <v>10</v>
      </c>
      <c r="I410">
        <v>1</v>
      </c>
      <c r="J410" t="s">
        <v>20</v>
      </c>
      <c r="K410" t="s">
        <v>32</v>
      </c>
      <c r="L410" t="s">
        <v>34</v>
      </c>
    </row>
    <row r="411" spans="1:12" x14ac:dyDescent="0.25">
      <c r="A411">
        <v>410</v>
      </c>
      <c r="B411" s="1">
        <v>41230</v>
      </c>
      <c r="C411" t="s">
        <v>12</v>
      </c>
      <c r="D411" t="s">
        <v>41</v>
      </c>
      <c r="E411" t="s">
        <v>14</v>
      </c>
      <c r="F411">
        <v>49</v>
      </c>
      <c r="G411">
        <v>17933</v>
      </c>
      <c r="H411">
        <v>1</v>
      </c>
      <c r="I411">
        <v>5</v>
      </c>
      <c r="J411" t="s">
        <v>20</v>
      </c>
      <c r="K411" t="s">
        <v>32</v>
      </c>
      <c r="L411" t="s">
        <v>21</v>
      </c>
    </row>
    <row r="412" spans="1:12" x14ac:dyDescent="0.25">
      <c r="A412">
        <v>411</v>
      </c>
      <c r="B412" s="1">
        <v>41619</v>
      </c>
      <c r="C412" t="s">
        <v>28</v>
      </c>
      <c r="D412" t="s">
        <v>29</v>
      </c>
      <c r="E412" t="s">
        <v>14</v>
      </c>
      <c r="F412">
        <v>57</v>
      </c>
      <c r="G412">
        <v>9317</v>
      </c>
      <c r="H412">
        <v>4</v>
      </c>
      <c r="I412">
        <v>1</v>
      </c>
      <c r="J412" t="s">
        <v>15</v>
      </c>
      <c r="K412" t="s">
        <v>32</v>
      </c>
      <c r="L412" t="s">
        <v>34</v>
      </c>
    </row>
    <row r="413" spans="1:12" x14ac:dyDescent="0.25">
      <c r="A413">
        <v>412</v>
      </c>
      <c r="B413" s="1">
        <v>42205</v>
      </c>
      <c r="C413" t="s">
        <v>36</v>
      </c>
      <c r="D413" t="s">
        <v>37</v>
      </c>
      <c r="E413" t="s">
        <v>14</v>
      </c>
      <c r="F413">
        <v>48</v>
      </c>
      <c r="G413">
        <v>12658</v>
      </c>
      <c r="H413">
        <v>3</v>
      </c>
      <c r="I413">
        <v>4</v>
      </c>
      <c r="J413" t="s">
        <v>15</v>
      </c>
      <c r="K413" t="s">
        <v>16</v>
      </c>
      <c r="L413" t="s">
        <v>17</v>
      </c>
    </row>
    <row r="414" spans="1:12" x14ac:dyDescent="0.25">
      <c r="A414">
        <v>413</v>
      </c>
      <c r="B414" s="1">
        <v>40585</v>
      </c>
      <c r="C414" t="s">
        <v>28</v>
      </c>
      <c r="D414" t="s">
        <v>29</v>
      </c>
      <c r="E414" t="s">
        <v>24</v>
      </c>
      <c r="F414">
        <v>42</v>
      </c>
      <c r="G414">
        <v>6528</v>
      </c>
      <c r="H414">
        <v>1</v>
      </c>
      <c r="I414">
        <v>3</v>
      </c>
      <c r="J414" t="s">
        <v>15</v>
      </c>
      <c r="K414" t="s">
        <v>16</v>
      </c>
      <c r="L414" t="s">
        <v>39</v>
      </c>
    </row>
    <row r="415" spans="1:12" x14ac:dyDescent="0.25">
      <c r="A415">
        <v>414</v>
      </c>
      <c r="B415" s="1">
        <v>40346</v>
      </c>
      <c r="C415" t="s">
        <v>12</v>
      </c>
      <c r="D415" t="s">
        <v>13</v>
      </c>
      <c r="E415" t="s">
        <v>24</v>
      </c>
      <c r="F415">
        <v>60</v>
      </c>
      <c r="G415">
        <v>10244</v>
      </c>
      <c r="H415">
        <v>1</v>
      </c>
      <c r="I415">
        <v>2</v>
      </c>
      <c r="J415" t="s">
        <v>15</v>
      </c>
      <c r="K415" t="s">
        <v>27</v>
      </c>
      <c r="L415" t="s">
        <v>21</v>
      </c>
    </row>
    <row r="416" spans="1:12" x14ac:dyDescent="0.25">
      <c r="A416">
        <v>415</v>
      </c>
      <c r="B416" s="1">
        <v>41062</v>
      </c>
      <c r="C416" t="s">
        <v>18</v>
      </c>
      <c r="D416" t="s">
        <v>19</v>
      </c>
      <c r="E416" t="s">
        <v>14</v>
      </c>
      <c r="F416">
        <v>53</v>
      </c>
      <c r="G416">
        <v>16322</v>
      </c>
      <c r="H416">
        <v>2</v>
      </c>
      <c r="I416">
        <v>4</v>
      </c>
      <c r="J416" t="s">
        <v>15</v>
      </c>
      <c r="K416" t="s">
        <v>16</v>
      </c>
      <c r="L416" t="s">
        <v>17</v>
      </c>
    </row>
    <row r="417" spans="1:12" x14ac:dyDescent="0.25">
      <c r="A417">
        <v>416</v>
      </c>
      <c r="B417" s="1">
        <v>45124</v>
      </c>
      <c r="C417" t="s">
        <v>28</v>
      </c>
      <c r="D417" t="s">
        <v>33</v>
      </c>
      <c r="E417" t="s">
        <v>14</v>
      </c>
      <c r="F417">
        <v>54</v>
      </c>
      <c r="G417">
        <v>9836</v>
      </c>
      <c r="H417">
        <v>4</v>
      </c>
      <c r="I417">
        <v>3</v>
      </c>
      <c r="J417" t="s">
        <v>15</v>
      </c>
      <c r="K417" t="s">
        <v>16</v>
      </c>
      <c r="L417" t="s">
        <v>34</v>
      </c>
    </row>
    <row r="418" spans="1:12" x14ac:dyDescent="0.25">
      <c r="A418">
        <v>417</v>
      </c>
      <c r="B418" s="1">
        <v>41354</v>
      </c>
      <c r="C418" t="s">
        <v>28</v>
      </c>
      <c r="D418" t="s">
        <v>29</v>
      </c>
      <c r="E418" t="s">
        <v>24</v>
      </c>
      <c r="F418">
        <v>58</v>
      </c>
      <c r="G418">
        <v>14476</v>
      </c>
      <c r="H418">
        <v>6</v>
      </c>
      <c r="I418">
        <v>5</v>
      </c>
      <c r="J418" t="s">
        <v>15</v>
      </c>
      <c r="K418" t="s">
        <v>32</v>
      </c>
      <c r="L418" t="s">
        <v>21</v>
      </c>
    </row>
    <row r="419" spans="1:12" x14ac:dyDescent="0.25">
      <c r="A419">
        <v>418</v>
      </c>
      <c r="B419" s="1">
        <v>42200</v>
      </c>
      <c r="C419" t="s">
        <v>36</v>
      </c>
      <c r="D419" t="s">
        <v>37</v>
      </c>
      <c r="E419" t="s">
        <v>14</v>
      </c>
      <c r="F419">
        <v>26</v>
      </c>
      <c r="G419">
        <v>19510</v>
      </c>
      <c r="H419">
        <v>6</v>
      </c>
      <c r="I419">
        <v>5</v>
      </c>
      <c r="J419" t="s">
        <v>20</v>
      </c>
      <c r="K419" t="s">
        <v>27</v>
      </c>
      <c r="L419" t="s">
        <v>39</v>
      </c>
    </row>
    <row r="420" spans="1:12" x14ac:dyDescent="0.25">
      <c r="A420">
        <v>419</v>
      </c>
      <c r="B420" s="1">
        <v>42994</v>
      </c>
      <c r="C420" t="s">
        <v>36</v>
      </c>
      <c r="D420" t="s">
        <v>37</v>
      </c>
      <c r="E420" t="s">
        <v>14</v>
      </c>
      <c r="F420">
        <v>31</v>
      </c>
      <c r="G420">
        <v>9882</v>
      </c>
      <c r="H420">
        <v>2</v>
      </c>
      <c r="I420">
        <v>2</v>
      </c>
      <c r="J420" t="s">
        <v>15</v>
      </c>
      <c r="K420" t="s">
        <v>16</v>
      </c>
      <c r="L420" t="s">
        <v>21</v>
      </c>
    </row>
    <row r="421" spans="1:12" x14ac:dyDescent="0.25">
      <c r="A421">
        <v>420</v>
      </c>
      <c r="B421" s="1">
        <v>42874</v>
      </c>
      <c r="C421" t="s">
        <v>22</v>
      </c>
      <c r="D421" t="s">
        <v>35</v>
      </c>
      <c r="E421" t="s">
        <v>14</v>
      </c>
      <c r="F421">
        <v>56</v>
      </c>
      <c r="G421">
        <v>11940</v>
      </c>
      <c r="H421">
        <v>5</v>
      </c>
      <c r="I421">
        <v>3</v>
      </c>
      <c r="J421" t="s">
        <v>20</v>
      </c>
      <c r="K421" t="s">
        <v>16</v>
      </c>
      <c r="L421" t="s">
        <v>17</v>
      </c>
    </row>
    <row r="422" spans="1:12" x14ac:dyDescent="0.25">
      <c r="A422">
        <v>421</v>
      </c>
      <c r="B422" s="1">
        <v>42743</v>
      </c>
      <c r="C422" t="s">
        <v>18</v>
      </c>
      <c r="D422" t="s">
        <v>19</v>
      </c>
      <c r="E422" t="s">
        <v>24</v>
      </c>
      <c r="F422">
        <v>48</v>
      </c>
      <c r="G422">
        <v>13111</v>
      </c>
      <c r="H422">
        <v>14</v>
      </c>
      <c r="I422">
        <v>1</v>
      </c>
      <c r="J422" t="s">
        <v>15</v>
      </c>
      <c r="K422" t="s">
        <v>32</v>
      </c>
      <c r="L422" t="s">
        <v>17</v>
      </c>
    </row>
    <row r="423" spans="1:12" x14ac:dyDescent="0.25">
      <c r="A423">
        <v>422</v>
      </c>
      <c r="B423" s="1">
        <v>42092</v>
      </c>
      <c r="C423" t="s">
        <v>28</v>
      </c>
      <c r="D423" t="s">
        <v>33</v>
      </c>
      <c r="E423" t="s">
        <v>24</v>
      </c>
      <c r="F423">
        <v>51</v>
      </c>
      <c r="G423">
        <v>8022</v>
      </c>
      <c r="H423">
        <v>2</v>
      </c>
      <c r="I423">
        <v>5</v>
      </c>
      <c r="J423" t="s">
        <v>20</v>
      </c>
      <c r="K423" t="s">
        <v>16</v>
      </c>
      <c r="L423" t="s">
        <v>34</v>
      </c>
    </row>
    <row r="424" spans="1:12" x14ac:dyDescent="0.25">
      <c r="A424">
        <v>423</v>
      </c>
      <c r="B424" s="1">
        <v>43524</v>
      </c>
      <c r="C424" t="s">
        <v>28</v>
      </c>
      <c r="D424" t="s">
        <v>29</v>
      </c>
      <c r="E424" t="s">
        <v>14</v>
      </c>
      <c r="F424">
        <v>60</v>
      </c>
      <c r="G424">
        <v>19503</v>
      </c>
      <c r="H424">
        <v>9</v>
      </c>
      <c r="I424">
        <v>2</v>
      </c>
      <c r="J424" t="s">
        <v>15</v>
      </c>
      <c r="K424" t="s">
        <v>16</v>
      </c>
      <c r="L424" t="s">
        <v>34</v>
      </c>
    </row>
    <row r="425" spans="1:12" x14ac:dyDescent="0.25">
      <c r="A425">
        <v>424</v>
      </c>
      <c r="B425" s="1">
        <v>40375</v>
      </c>
      <c r="C425" t="s">
        <v>36</v>
      </c>
      <c r="D425" t="s">
        <v>40</v>
      </c>
      <c r="E425" t="s">
        <v>14</v>
      </c>
      <c r="F425">
        <v>29</v>
      </c>
      <c r="G425">
        <v>4064</v>
      </c>
      <c r="H425">
        <v>7</v>
      </c>
      <c r="I425">
        <v>2</v>
      </c>
      <c r="J425" t="s">
        <v>20</v>
      </c>
      <c r="K425" t="s">
        <v>32</v>
      </c>
      <c r="L425" t="s">
        <v>17</v>
      </c>
    </row>
    <row r="426" spans="1:12" x14ac:dyDescent="0.25">
      <c r="A426">
        <v>425</v>
      </c>
      <c r="B426" s="1">
        <v>41021</v>
      </c>
      <c r="C426" t="s">
        <v>22</v>
      </c>
      <c r="D426" t="s">
        <v>23</v>
      </c>
      <c r="E426" t="s">
        <v>24</v>
      </c>
      <c r="F426">
        <v>28</v>
      </c>
      <c r="G426">
        <v>16500</v>
      </c>
      <c r="H426">
        <v>9</v>
      </c>
      <c r="I426">
        <v>2</v>
      </c>
      <c r="J426" t="s">
        <v>20</v>
      </c>
      <c r="K426" t="s">
        <v>32</v>
      </c>
      <c r="L426" t="s">
        <v>39</v>
      </c>
    </row>
    <row r="427" spans="1:12" x14ac:dyDescent="0.25">
      <c r="A427">
        <v>426</v>
      </c>
      <c r="B427" s="1">
        <v>44670</v>
      </c>
      <c r="C427" t="s">
        <v>36</v>
      </c>
      <c r="D427" t="s">
        <v>42</v>
      </c>
      <c r="E427" t="s">
        <v>24</v>
      </c>
      <c r="F427">
        <v>56</v>
      </c>
      <c r="G427">
        <v>8828</v>
      </c>
      <c r="H427">
        <v>12</v>
      </c>
      <c r="I427">
        <v>3</v>
      </c>
      <c r="J427" t="s">
        <v>20</v>
      </c>
      <c r="K427" t="s">
        <v>16</v>
      </c>
      <c r="L427" t="s">
        <v>34</v>
      </c>
    </row>
    <row r="428" spans="1:12" x14ac:dyDescent="0.25">
      <c r="A428">
        <v>427</v>
      </c>
      <c r="B428" s="1">
        <v>42428</v>
      </c>
      <c r="C428" t="s">
        <v>22</v>
      </c>
      <c r="D428" t="s">
        <v>23</v>
      </c>
      <c r="E428" t="s">
        <v>24</v>
      </c>
      <c r="F428">
        <v>54</v>
      </c>
      <c r="G428">
        <v>5001</v>
      </c>
      <c r="H428">
        <v>2</v>
      </c>
      <c r="I428">
        <v>1</v>
      </c>
      <c r="J428" t="s">
        <v>15</v>
      </c>
      <c r="K428" t="s">
        <v>32</v>
      </c>
      <c r="L428" t="s">
        <v>25</v>
      </c>
    </row>
    <row r="429" spans="1:12" x14ac:dyDescent="0.25">
      <c r="A429">
        <v>428</v>
      </c>
      <c r="B429" s="1">
        <v>45034</v>
      </c>
      <c r="C429" t="s">
        <v>30</v>
      </c>
      <c r="D429" t="s">
        <v>38</v>
      </c>
      <c r="E429" t="s">
        <v>24</v>
      </c>
      <c r="F429">
        <v>31</v>
      </c>
      <c r="G429">
        <v>18478</v>
      </c>
      <c r="H429">
        <v>11</v>
      </c>
      <c r="I429">
        <v>4</v>
      </c>
      <c r="J429" t="s">
        <v>15</v>
      </c>
      <c r="K429" t="s">
        <v>27</v>
      </c>
      <c r="L429" t="s">
        <v>39</v>
      </c>
    </row>
    <row r="430" spans="1:12" x14ac:dyDescent="0.25">
      <c r="A430">
        <v>429</v>
      </c>
      <c r="B430" s="1">
        <v>43489</v>
      </c>
      <c r="C430" t="s">
        <v>36</v>
      </c>
      <c r="D430" t="s">
        <v>40</v>
      </c>
      <c r="E430" t="s">
        <v>24</v>
      </c>
      <c r="F430">
        <v>42</v>
      </c>
      <c r="G430">
        <v>17025</v>
      </c>
      <c r="H430">
        <v>15</v>
      </c>
      <c r="I430">
        <v>4</v>
      </c>
      <c r="J430" t="s">
        <v>15</v>
      </c>
      <c r="K430" t="s">
        <v>16</v>
      </c>
      <c r="L430" t="s">
        <v>17</v>
      </c>
    </row>
    <row r="431" spans="1:12" x14ac:dyDescent="0.25">
      <c r="A431">
        <v>430</v>
      </c>
      <c r="B431" s="1">
        <v>44888</v>
      </c>
      <c r="C431" t="s">
        <v>28</v>
      </c>
      <c r="D431" t="s">
        <v>33</v>
      </c>
      <c r="E431" t="s">
        <v>24</v>
      </c>
      <c r="F431">
        <v>50</v>
      </c>
      <c r="G431">
        <v>17304</v>
      </c>
      <c r="H431">
        <v>5</v>
      </c>
      <c r="I431">
        <v>2</v>
      </c>
      <c r="J431" t="s">
        <v>15</v>
      </c>
      <c r="K431" t="s">
        <v>16</v>
      </c>
      <c r="L431" t="s">
        <v>25</v>
      </c>
    </row>
    <row r="432" spans="1:12" x14ac:dyDescent="0.25">
      <c r="A432">
        <v>431</v>
      </c>
      <c r="B432" s="1">
        <v>44980</v>
      </c>
      <c r="C432" t="s">
        <v>36</v>
      </c>
      <c r="D432" t="s">
        <v>42</v>
      </c>
      <c r="E432" t="s">
        <v>14</v>
      </c>
      <c r="F432">
        <v>50</v>
      </c>
      <c r="G432">
        <v>4816</v>
      </c>
      <c r="H432">
        <v>8</v>
      </c>
      <c r="I432">
        <v>1</v>
      </c>
      <c r="J432" t="s">
        <v>15</v>
      </c>
      <c r="K432" t="s">
        <v>32</v>
      </c>
      <c r="L432" t="s">
        <v>21</v>
      </c>
    </row>
    <row r="433" spans="1:12" x14ac:dyDescent="0.25">
      <c r="A433">
        <v>432</v>
      </c>
      <c r="B433" s="1">
        <v>40394</v>
      </c>
      <c r="C433" t="s">
        <v>12</v>
      </c>
      <c r="D433" t="s">
        <v>13</v>
      </c>
      <c r="E433" t="s">
        <v>14</v>
      </c>
      <c r="F433">
        <v>48</v>
      </c>
      <c r="G433">
        <v>11761</v>
      </c>
      <c r="H433">
        <v>2</v>
      </c>
      <c r="I433">
        <v>1</v>
      </c>
      <c r="J433" t="s">
        <v>15</v>
      </c>
      <c r="K433" t="s">
        <v>27</v>
      </c>
      <c r="L433" t="s">
        <v>25</v>
      </c>
    </row>
    <row r="434" spans="1:12" x14ac:dyDescent="0.25">
      <c r="A434">
        <v>433</v>
      </c>
      <c r="B434" s="1">
        <v>43400</v>
      </c>
      <c r="C434" t="s">
        <v>36</v>
      </c>
      <c r="D434" t="s">
        <v>37</v>
      </c>
      <c r="E434" t="s">
        <v>14</v>
      </c>
      <c r="F434">
        <v>53</v>
      </c>
      <c r="G434">
        <v>9446</v>
      </c>
      <c r="H434">
        <v>10</v>
      </c>
      <c r="I434">
        <v>4</v>
      </c>
      <c r="J434" t="s">
        <v>20</v>
      </c>
      <c r="K434" t="s">
        <v>32</v>
      </c>
      <c r="L434" t="s">
        <v>25</v>
      </c>
    </row>
    <row r="435" spans="1:12" x14ac:dyDescent="0.25">
      <c r="A435">
        <v>434</v>
      </c>
      <c r="B435" s="1">
        <v>40644</v>
      </c>
      <c r="C435" t="s">
        <v>12</v>
      </c>
      <c r="D435" t="s">
        <v>13</v>
      </c>
      <c r="E435" t="s">
        <v>14</v>
      </c>
      <c r="F435">
        <v>50</v>
      </c>
      <c r="G435">
        <v>4761</v>
      </c>
      <c r="H435">
        <v>12</v>
      </c>
      <c r="I435">
        <v>2</v>
      </c>
      <c r="J435" t="s">
        <v>20</v>
      </c>
      <c r="K435" t="s">
        <v>27</v>
      </c>
      <c r="L435" t="s">
        <v>17</v>
      </c>
    </row>
    <row r="436" spans="1:12" x14ac:dyDescent="0.25">
      <c r="A436">
        <v>435</v>
      </c>
      <c r="B436" s="1">
        <v>44188</v>
      </c>
      <c r="C436" t="s">
        <v>12</v>
      </c>
      <c r="D436" t="s">
        <v>41</v>
      </c>
      <c r="E436" t="s">
        <v>24</v>
      </c>
      <c r="F436">
        <v>46</v>
      </c>
      <c r="G436">
        <v>7526</v>
      </c>
      <c r="H436">
        <v>9</v>
      </c>
      <c r="I436">
        <v>2</v>
      </c>
      <c r="J436" t="s">
        <v>20</v>
      </c>
      <c r="K436" t="s">
        <v>32</v>
      </c>
      <c r="L436" t="s">
        <v>25</v>
      </c>
    </row>
    <row r="437" spans="1:12" x14ac:dyDescent="0.25">
      <c r="A437">
        <v>436</v>
      </c>
      <c r="B437" s="1">
        <v>41789</v>
      </c>
      <c r="C437" t="s">
        <v>28</v>
      </c>
      <c r="D437" t="s">
        <v>29</v>
      </c>
      <c r="E437" t="s">
        <v>24</v>
      </c>
      <c r="F437">
        <v>35</v>
      </c>
      <c r="G437">
        <v>5689</v>
      </c>
      <c r="H437">
        <v>11</v>
      </c>
      <c r="I437">
        <v>5</v>
      </c>
      <c r="J437" t="s">
        <v>15</v>
      </c>
      <c r="K437" t="s">
        <v>16</v>
      </c>
      <c r="L437" t="s">
        <v>25</v>
      </c>
    </row>
    <row r="438" spans="1:12" x14ac:dyDescent="0.25">
      <c r="A438">
        <v>437</v>
      </c>
      <c r="B438" s="1">
        <v>43337</v>
      </c>
      <c r="C438" t="s">
        <v>22</v>
      </c>
      <c r="D438" t="s">
        <v>23</v>
      </c>
      <c r="E438" t="s">
        <v>24</v>
      </c>
      <c r="F438">
        <v>28</v>
      </c>
      <c r="G438">
        <v>18145</v>
      </c>
      <c r="H438">
        <v>10</v>
      </c>
      <c r="I438">
        <v>1</v>
      </c>
      <c r="J438" t="s">
        <v>15</v>
      </c>
      <c r="K438" t="s">
        <v>32</v>
      </c>
      <c r="L438" t="s">
        <v>39</v>
      </c>
    </row>
    <row r="439" spans="1:12" x14ac:dyDescent="0.25">
      <c r="A439">
        <v>438</v>
      </c>
      <c r="B439" s="1">
        <v>42020</v>
      </c>
      <c r="C439" t="s">
        <v>18</v>
      </c>
      <c r="D439" t="s">
        <v>19</v>
      </c>
      <c r="E439" t="s">
        <v>14</v>
      </c>
      <c r="F439">
        <v>26</v>
      </c>
      <c r="G439">
        <v>19425</v>
      </c>
      <c r="H439">
        <v>3</v>
      </c>
      <c r="I439">
        <v>4</v>
      </c>
      <c r="J439" t="s">
        <v>20</v>
      </c>
      <c r="K439" t="s">
        <v>27</v>
      </c>
      <c r="L439" t="s">
        <v>25</v>
      </c>
    </row>
    <row r="440" spans="1:12" x14ac:dyDescent="0.25">
      <c r="A440">
        <v>439</v>
      </c>
      <c r="B440" s="1">
        <v>42689</v>
      </c>
      <c r="C440" t="s">
        <v>12</v>
      </c>
      <c r="D440" t="s">
        <v>41</v>
      </c>
      <c r="E440" t="s">
        <v>24</v>
      </c>
      <c r="F440">
        <v>60</v>
      </c>
      <c r="G440">
        <v>17522</v>
      </c>
      <c r="H440">
        <v>9</v>
      </c>
      <c r="I440">
        <v>1</v>
      </c>
      <c r="J440" t="s">
        <v>15</v>
      </c>
      <c r="K440" t="s">
        <v>32</v>
      </c>
      <c r="L440" t="s">
        <v>39</v>
      </c>
    </row>
    <row r="441" spans="1:12" x14ac:dyDescent="0.25">
      <c r="A441">
        <v>440</v>
      </c>
      <c r="B441" s="1">
        <v>40433</v>
      </c>
      <c r="C441" t="s">
        <v>30</v>
      </c>
      <c r="D441" t="s">
        <v>31</v>
      </c>
      <c r="E441" t="s">
        <v>14</v>
      </c>
      <c r="F441">
        <v>38</v>
      </c>
      <c r="G441">
        <v>16237</v>
      </c>
      <c r="H441">
        <v>7</v>
      </c>
      <c r="I441">
        <v>5</v>
      </c>
      <c r="J441" t="s">
        <v>15</v>
      </c>
      <c r="K441" t="s">
        <v>27</v>
      </c>
      <c r="L441" t="s">
        <v>25</v>
      </c>
    </row>
    <row r="442" spans="1:12" x14ac:dyDescent="0.25">
      <c r="A442">
        <v>441</v>
      </c>
      <c r="B442" s="1">
        <v>40217</v>
      </c>
      <c r="C442" t="s">
        <v>30</v>
      </c>
      <c r="D442" t="s">
        <v>38</v>
      </c>
      <c r="E442" t="s">
        <v>24</v>
      </c>
      <c r="F442">
        <v>26</v>
      </c>
      <c r="G442">
        <v>8374</v>
      </c>
      <c r="H442">
        <v>12</v>
      </c>
      <c r="I442">
        <v>1</v>
      </c>
      <c r="J442" t="s">
        <v>20</v>
      </c>
      <c r="K442" t="s">
        <v>16</v>
      </c>
      <c r="L442" t="s">
        <v>21</v>
      </c>
    </row>
    <row r="443" spans="1:12" x14ac:dyDescent="0.25">
      <c r="A443">
        <v>442</v>
      </c>
      <c r="B443" s="1">
        <v>45047</v>
      </c>
      <c r="C443" t="s">
        <v>18</v>
      </c>
      <c r="D443" t="s">
        <v>19</v>
      </c>
      <c r="E443" t="s">
        <v>14</v>
      </c>
      <c r="F443">
        <v>54</v>
      </c>
      <c r="G443">
        <v>15363</v>
      </c>
      <c r="H443">
        <v>13</v>
      </c>
      <c r="I443">
        <v>5</v>
      </c>
      <c r="J443" t="s">
        <v>15</v>
      </c>
      <c r="K443" t="s">
        <v>16</v>
      </c>
      <c r="L443" t="s">
        <v>39</v>
      </c>
    </row>
    <row r="444" spans="1:12" x14ac:dyDescent="0.25">
      <c r="A444">
        <v>443</v>
      </c>
      <c r="B444" s="1">
        <v>40436</v>
      </c>
      <c r="C444" t="s">
        <v>18</v>
      </c>
      <c r="D444" t="s">
        <v>26</v>
      </c>
      <c r="E444" t="s">
        <v>14</v>
      </c>
      <c r="F444">
        <v>58</v>
      </c>
      <c r="G444">
        <v>16623</v>
      </c>
      <c r="H444">
        <v>4</v>
      </c>
      <c r="I444">
        <v>3</v>
      </c>
      <c r="J444" t="s">
        <v>20</v>
      </c>
      <c r="K444" t="s">
        <v>32</v>
      </c>
      <c r="L444" t="s">
        <v>21</v>
      </c>
    </row>
    <row r="445" spans="1:12" x14ac:dyDescent="0.25">
      <c r="A445">
        <v>444</v>
      </c>
      <c r="B445" s="1">
        <v>45071</v>
      </c>
      <c r="C445" t="s">
        <v>22</v>
      </c>
      <c r="D445" t="s">
        <v>23</v>
      </c>
      <c r="E445" t="s">
        <v>24</v>
      </c>
      <c r="F445">
        <v>50</v>
      </c>
      <c r="G445">
        <v>4409</v>
      </c>
      <c r="H445">
        <v>11</v>
      </c>
      <c r="I445">
        <v>5</v>
      </c>
      <c r="J445" t="s">
        <v>20</v>
      </c>
      <c r="K445" t="s">
        <v>16</v>
      </c>
      <c r="L445" t="s">
        <v>34</v>
      </c>
    </row>
    <row r="446" spans="1:12" x14ac:dyDescent="0.25">
      <c r="A446">
        <v>445</v>
      </c>
      <c r="B446" s="1">
        <v>43030</v>
      </c>
      <c r="C446" t="s">
        <v>30</v>
      </c>
      <c r="D446" t="s">
        <v>31</v>
      </c>
      <c r="E446" t="s">
        <v>24</v>
      </c>
      <c r="F446">
        <v>33</v>
      </c>
      <c r="G446">
        <v>18328</v>
      </c>
      <c r="H446">
        <v>8</v>
      </c>
      <c r="I446">
        <v>1</v>
      </c>
      <c r="J446" t="s">
        <v>20</v>
      </c>
      <c r="K446" t="s">
        <v>16</v>
      </c>
      <c r="L446" t="s">
        <v>25</v>
      </c>
    </row>
    <row r="447" spans="1:12" x14ac:dyDescent="0.25">
      <c r="A447">
        <v>446</v>
      </c>
      <c r="B447" s="1">
        <v>44392</v>
      </c>
      <c r="C447" t="s">
        <v>30</v>
      </c>
      <c r="D447" t="s">
        <v>31</v>
      </c>
      <c r="E447" t="s">
        <v>14</v>
      </c>
      <c r="F447">
        <v>58</v>
      </c>
      <c r="G447">
        <v>16953</v>
      </c>
      <c r="H447">
        <v>10</v>
      </c>
      <c r="I447">
        <v>4</v>
      </c>
      <c r="J447" t="s">
        <v>15</v>
      </c>
      <c r="K447" t="s">
        <v>16</v>
      </c>
      <c r="L447" t="s">
        <v>21</v>
      </c>
    </row>
    <row r="448" spans="1:12" x14ac:dyDescent="0.25">
      <c r="A448">
        <v>447</v>
      </c>
      <c r="B448" s="1">
        <v>42282</v>
      </c>
      <c r="C448" t="s">
        <v>12</v>
      </c>
      <c r="D448" t="s">
        <v>41</v>
      </c>
      <c r="E448" t="s">
        <v>24</v>
      </c>
      <c r="F448">
        <v>32</v>
      </c>
      <c r="G448">
        <v>18662</v>
      </c>
      <c r="H448">
        <v>7</v>
      </c>
      <c r="I448">
        <v>1</v>
      </c>
      <c r="J448" t="s">
        <v>20</v>
      </c>
      <c r="K448" t="s">
        <v>27</v>
      </c>
      <c r="L448" t="s">
        <v>17</v>
      </c>
    </row>
    <row r="449" spans="1:12" x14ac:dyDescent="0.25">
      <c r="A449">
        <v>448</v>
      </c>
      <c r="B449" s="1">
        <v>44256</v>
      </c>
      <c r="C449" t="s">
        <v>28</v>
      </c>
      <c r="D449" t="s">
        <v>29</v>
      </c>
      <c r="E449" t="s">
        <v>24</v>
      </c>
      <c r="F449">
        <v>58</v>
      </c>
      <c r="G449">
        <v>8705</v>
      </c>
      <c r="H449">
        <v>1</v>
      </c>
      <c r="I449">
        <v>1</v>
      </c>
      <c r="J449" t="s">
        <v>20</v>
      </c>
      <c r="K449" t="s">
        <v>16</v>
      </c>
      <c r="L449" t="s">
        <v>25</v>
      </c>
    </row>
    <row r="450" spans="1:12" x14ac:dyDescent="0.25">
      <c r="A450">
        <v>449</v>
      </c>
      <c r="B450" s="1">
        <v>40491</v>
      </c>
      <c r="C450" t="s">
        <v>36</v>
      </c>
      <c r="D450" t="s">
        <v>37</v>
      </c>
      <c r="E450" t="s">
        <v>14</v>
      </c>
      <c r="F450">
        <v>50</v>
      </c>
      <c r="G450">
        <v>10287</v>
      </c>
      <c r="H450">
        <v>13</v>
      </c>
      <c r="I450">
        <v>5</v>
      </c>
      <c r="J450" t="s">
        <v>20</v>
      </c>
      <c r="K450" t="s">
        <v>32</v>
      </c>
      <c r="L450" t="s">
        <v>25</v>
      </c>
    </row>
    <row r="451" spans="1:12" x14ac:dyDescent="0.25">
      <c r="A451">
        <v>450</v>
      </c>
      <c r="B451" s="1">
        <v>40291</v>
      </c>
      <c r="C451" t="s">
        <v>28</v>
      </c>
      <c r="D451" t="s">
        <v>33</v>
      </c>
      <c r="E451" t="s">
        <v>14</v>
      </c>
      <c r="F451">
        <v>43</v>
      </c>
      <c r="G451">
        <v>7808</v>
      </c>
      <c r="H451">
        <v>1</v>
      </c>
      <c r="I451">
        <v>5</v>
      </c>
      <c r="J451" t="s">
        <v>15</v>
      </c>
      <c r="K451" t="s">
        <v>27</v>
      </c>
      <c r="L451" t="s">
        <v>25</v>
      </c>
    </row>
    <row r="452" spans="1:12" x14ac:dyDescent="0.25">
      <c r="A452">
        <v>451</v>
      </c>
      <c r="B452" s="1">
        <v>41401</v>
      </c>
      <c r="C452" t="s">
        <v>36</v>
      </c>
      <c r="D452" t="s">
        <v>37</v>
      </c>
      <c r="E452" t="s">
        <v>14</v>
      </c>
      <c r="F452">
        <v>56</v>
      </c>
      <c r="G452">
        <v>12291</v>
      </c>
      <c r="H452">
        <v>0</v>
      </c>
      <c r="I452">
        <v>1</v>
      </c>
      <c r="J452" t="s">
        <v>15</v>
      </c>
      <c r="K452" t="s">
        <v>32</v>
      </c>
      <c r="L452" t="s">
        <v>21</v>
      </c>
    </row>
    <row r="453" spans="1:12" x14ac:dyDescent="0.25">
      <c r="A453">
        <v>452</v>
      </c>
      <c r="B453" s="1">
        <v>42762</v>
      </c>
      <c r="C453" t="s">
        <v>28</v>
      </c>
      <c r="D453" t="s">
        <v>29</v>
      </c>
      <c r="E453" t="s">
        <v>24</v>
      </c>
      <c r="F453">
        <v>39</v>
      </c>
      <c r="G453">
        <v>19926</v>
      </c>
      <c r="H453">
        <v>12</v>
      </c>
      <c r="I453">
        <v>3</v>
      </c>
      <c r="J453" t="s">
        <v>20</v>
      </c>
      <c r="K453" t="s">
        <v>16</v>
      </c>
      <c r="L453" t="s">
        <v>17</v>
      </c>
    </row>
    <row r="454" spans="1:12" x14ac:dyDescent="0.25">
      <c r="A454">
        <v>453</v>
      </c>
      <c r="B454" s="1">
        <v>41103</v>
      </c>
      <c r="C454" t="s">
        <v>18</v>
      </c>
      <c r="D454" t="s">
        <v>19</v>
      </c>
      <c r="E454" t="s">
        <v>14</v>
      </c>
      <c r="F454">
        <v>30</v>
      </c>
      <c r="G454">
        <v>18982</v>
      </c>
      <c r="H454">
        <v>9</v>
      </c>
      <c r="I454">
        <v>4</v>
      </c>
      <c r="J454" t="s">
        <v>20</v>
      </c>
      <c r="K454" t="s">
        <v>32</v>
      </c>
      <c r="L454" t="s">
        <v>34</v>
      </c>
    </row>
    <row r="455" spans="1:12" x14ac:dyDescent="0.25">
      <c r="A455">
        <v>454</v>
      </c>
      <c r="B455" s="1">
        <v>44389</v>
      </c>
      <c r="C455" t="s">
        <v>22</v>
      </c>
      <c r="D455" t="s">
        <v>35</v>
      </c>
      <c r="E455" t="s">
        <v>14</v>
      </c>
      <c r="F455">
        <v>49</v>
      </c>
      <c r="G455">
        <v>19086</v>
      </c>
      <c r="H455">
        <v>14</v>
      </c>
      <c r="I455">
        <v>2</v>
      </c>
      <c r="J455" t="s">
        <v>15</v>
      </c>
      <c r="K455" t="s">
        <v>16</v>
      </c>
      <c r="L455" t="s">
        <v>34</v>
      </c>
    </row>
    <row r="456" spans="1:12" x14ac:dyDescent="0.25">
      <c r="A456">
        <v>455</v>
      </c>
      <c r="B456" s="1">
        <v>41374</v>
      </c>
      <c r="C456" t="s">
        <v>36</v>
      </c>
      <c r="D456" t="s">
        <v>42</v>
      </c>
      <c r="E456" t="s">
        <v>24</v>
      </c>
      <c r="F456">
        <v>37</v>
      </c>
      <c r="G456">
        <v>9928</v>
      </c>
      <c r="H456">
        <v>2</v>
      </c>
      <c r="I456">
        <v>5</v>
      </c>
      <c r="J456" t="s">
        <v>15</v>
      </c>
      <c r="K456" t="s">
        <v>27</v>
      </c>
      <c r="L456" t="s">
        <v>21</v>
      </c>
    </row>
    <row r="457" spans="1:12" x14ac:dyDescent="0.25">
      <c r="A457">
        <v>456</v>
      </c>
      <c r="B457" s="1">
        <v>41815</v>
      </c>
      <c r="C457" t="s">
        <v>12</v>
      </c>
      <c r="D457" t="s">
        <v>41</v>
      </c>
      <c r="E457" t="s">
        <v>14</v>
      </c>
      <c r="F457">
        <v>59</v>
      </c>
      <c r="G457">
        <v>7761</v>
      </c>
      <c r="H457">
        <v>8</v>
      </c>
      <c r="I457">
        <v>2</v>
      </c>
      <c r="J457" t="s">
        <v>20</v>
      </c>
      <c r="K457" t="s">
        <v>16</v>
      </c>
      <c r="L457" t="s">
        <v>25</v>
      </c>
    </row>
    <row r="458" spans="1:12" x14ac:dyDescent="0.25">
      <c r="A458">
        <v>457</v>
      </c>
      <c r="B458" s="1">
        <v>43580</v>
      </c>
      <c r="C458" t="s">
        <v>18</v>
      </c>
      <c r="D458" t="s">
        <v>26</v>
      </c>
      <c r="E458" t="s">
        <v>14</v>
      </c>
      <c r="F458">
        <v>35</v>
      </c>
      <c r="G458">
        <v>16124</v>
      </c>
      <c r="H458">
        <v>13</v>
      </c>
      <c r="I458">
        <v>2</v>
      </c>
      <c r="J458" t="s">
        <v>15</v>
      </c>
      <c r="K458" t="s">
        <v>27</v>
      </c>
      <c r="L458" t="s">
        <v>25</v>
      </c>
    </row>
    <row r="459" spans="1:12" x14ac:dyDescent="0.25">
      <c r="A459">
        <v>458</v>
      </c>
      <c r="B459" s="1">
        <v>44424</v>
      </c>
      <c r="C459" t="s">
        <v>30</v>
      </c>
      <c r="D459" t="s">
        <v>38</v>
      </c>
      <c r="E459" t="s">
        <v>14</v>
      </c>
      <c r="F459">
        <v>38</v>
      </c>
      <c r="G459">
        <v>4694</v>
      </c>
      <c r="H459">
        <v>7</v>
      </c>
      <c r="I459">
        <v>5</v>
      </c>
      <c r="J459" t="s">
        <v>20</v>
      </c>
      <c r="K459" t="s">
        <v>32</v>
      </c>
      <c r="L459" t="s">
        <v>17</v>
      </c>
    </row>
    <row r="460" spans="1:12" x14ac:dyDescent="0.25">
      <c r="A460">
        <v>459</v>
      </c>
      <c r="B460" s="1">
        <v>40920</v>
      </c>
      <c r="C460" t="s">
        <v>36</v>
      </c>
      <c r="D460" t="s">
        <v>42</v>
      </c>
      <c r="E460" t="s">
        <v>24</v>
      </c>
      <c r="F460">
        <v>54</v>
      </c>
      <c r="G460">
        <v>8625</v>
      </c>
      <c r="H460">
        <v>9</v>
      </c>
      <c r="I460">
        <v>4</v>
      </c>
      <c r="J460" t="s">
        <v>20</v>
      </c>
      <c r="K460" t="s">
        <v>27</v>
      </c>
      <c r="L460" t="s">
        <v>25</v>
      </c>
    </row>
    <row r="461" spans="1:12" x14ac:dyDescent="0.25">
      <c r="A461">
        <v>460</v>
      </c>
      <c r="B461" s="1">
        <v>41362</v>
      </c>
      <c r="C461" t="s">
        <v>28</v>
      </c>
      <c r="D461" t="s">
        <v>29</v>
      </c>
      <c r="E461" t="s">
        <v>14</v>
      </c>
      <c r="F461">
        <v>27</v>
      </c>
      <c r="G461">
        <v>15360</v>
      </c>
      <c r="H461">
        <v>0</v>
      </c>
      <c r="I461">
        <v>3</v>
      </c>
      <c r="J461" t="s">
        <v>20</v>
      </c>
      <c r="K461" t="s">
        <v>16</v>
      </c>
      <c r="L461" t="s">
        <v>25</v>
      </c>
    </row>
    <row r="462" spans="1:12" x14ac:dyDescent="0.25">
      <c r="A462">
        <v>461</v>
      </c>
      <c r="B462" s="1">
        <v>44759</v>
      </c>
      <c r="C462" t="s">
        <v>36</v>
      </c>
      <c r="D462" t="s">
        <v>37</v>
      </c>
      <c r="E462" t="s">
        <v>14</v>
      </c>
      <c r="F462">
        <v>37</v>
      </c>
      <c r="G462">
        <v>11488</v>
      </c>
      <c r="H462">
        <v>9</v>
      </c>
      <c r="I462">
        <v>2</v>
      </c>
      <c r="J462" t="s">
        <v>20</v>
      </c>
      <c r="K462" t="s">
        <v>27</v>
      </c>
      <c r="L462" t="s">
        <v>17</v>
      </c>
    </row>
    <row r="463" spans="1:12" x14ac:dyDescent="0.25">
      <c r="A463">
        <v>462</v>
      </c>
      <c r="B463" s="1">
        <v>44179</v>
      </c>
      <c r="C463" t="s">
        <v>30</v>
      </c>
      <c r="D463" t="s">
        <v>31</v>
      </c>
      <c r="E463" t="s">
        <v>14</v>
      </c>
      <c r="F463">
        <v>33</v>
      </c>
      <c r="G463">
        <v>10553</v>
      </c>
      <c r="H463">
        <v>8</v>
      </c>
      <c r="I463">
        <v>5</v>
      </c>
      <c r="J463" t="s">
        <v>15</v>
      </c>
      <c r="K463" t="s">
        <v>32</v>
      </c>
      <c r="L463" t="s">
        <v>34</v>
      </c>
    </row>
    <row r="464" spans="1:12" x14ac:dyDescent="0.25">
      <c r="A464">
        <v>463</v>
      </c>
      <c r="B464" s="1">
        <v>44574</v>
      </c>
      <c r="C464" t="s">
        <v>36</v>
      </c>
      <c r="D464" t="s">
        <v>40</v>
      </c>
      <c r="E464" t="s">
        <v>14</v>
      </c>
      <c r="F464">
        <v>44</v>
      </c>
      <c r="G464">
        <v>6239</v>
      </c>
      <c r="H464">
        <v>13</v>
      </c>
      <c r="I464">
        <v>1</v>
      </c>
      <c r="J464" t="s">
        <v>20</v>
      </c>
      <c r="K464" t="s">
        <v>27</v>
      </c>
      <c r="L464" t="s">
        <v>17</v>
      </c>
    </row>
    <row r="465" spans="1:12" x14ac:dyDescent="0.25">
      <c r="A465">
        <v>464</v>
      </c>
      <c r="B465" s="1">
        <v>43592</v>
      </c>
      <c r="C465" t="s">
        <v>22</v>
      </c>
      <c r="D465" t="s">
        <v>23</v>
      </c>
      <c r="E465" t="s">
        <v>14</v>
      </c>
      <c r="F465">
        <v>28</v>
      </c>
      <c r="G465">
        <v>6778</v>
      </c>
      <c r="H465">
        <v>4</v>
      </c>
      <c r="I465">
        <v>2</v>
      </c>
      <c r="J465" t="s">
        <v>15</v>
      </c>
      <c r="K465" t="s">
        <v>32</v>
      </c>
      <c r="L465" t="s">
        <v>17</v>
      </c>
    </row>
    <row r="466" spans="1:12" x14ac:dyDescent="0.25">
      <c r="A466">
        <v>465</v>
      </c>
      <c r="B466" s="1">
        <v>44226</v>
      </c>
      <c r="C466" t="s">
        <v>28</v>
      </c>
      <c r="D466" t="s">
        <v>33</v>
      </c>
      <c r="E466" t="s">
        <v>24</v>
      </c>
      <c r="F466">
        <v>42</v>
      </c>
      <c r="G466">
        <v>11508</v>
      </c>
      <c r="H466">
        <v>7</v>
      </c>
      <c r="I466">
        <v>3</v>
      </c>
      <c r="J466" t="s">
        <v>15</v>
      </c>
      <c r="K466" t="s">
        <v>16</v>
      </c>
      <c r="L466" t="s">
        <v>34</v>
      </c>
    </row>
    <row r="467" spans="1:12" x14ac:dyDescent="0.25">
      <c r="A467">
        <v>466</v>
      </c>
      <c r="B467" s="1">
        <v>41018</v>
      </c>
      <c r="C467" t="s">
        <v>12</v>
      </c>
      <c r="D467" t="s">
        <v>13</v>
      </c>
      <c r="E467" t="s">
        <v>24</v>
      </c>
      <c r="F467">
        <v>31</v>
      </c>
      <c r="G467">
        <v>13081</v>
      </c>
      <c r="H467">
        <v>7</v>
      </c>
      <c r="I467">
        <v>1</v>
      </c>
      <c r="J467" t="s">
        <v>20</v>
      </c>
      <c r="K467" t="s">
        <v>16</v>
      </c>
      <c r="L467" t="s">
        <v>21</v>
      </c>
    </row>
    <row r="468" spans="1:12" x14ac:dyDescent="0.25">
      <c r="A468">
        <v>467</v>
      </c>
      <c r="B468" s="1">
        <v>44977</v>
      </c>
      <c r="C468" t="s">
        <v>18</v>
      </c>
      <c r="D468" t="s">
        <v>19</v>
      </c>
      <c r="E468" t="s">
        <v>24</v>
      </c>
      <c r="F468">
        <v>28</v>
      </c>
      <c r="G468">
        <v>11808</v>
      </c>
      <c r="H468">
        <v>8</v>
      </c>
      <c r="I468">
        <v>4</v>
      </c>
      <c r="J468" t="s">
        <v>20</v>
      </c>
      <c r="K468" t="s">
        <v>27</v>
      </c>
      <c r="L468" t="s">
        <v>25</v>
      </c>
    </row>
    <row r="469" spans="1:12" x14ac:dyDescent="0.25">
      <c r="A469">
        <v>468</v>
      </c>
      <c r="B469" s="1">
        <v>41390</v>
      </c>
      <c r="C469" t="s">
        <v>30</v>
      </c>
      <c r="D469" t="s">
        <v>38</v>
      </c>
      <c r="E469" t="s">
        <v>24</v>
      </c>
      <c r="F469">
        <v>28</v>
      </c>
      <c r="G469">
        <v>4915</v>
      </c>
      <c r="H469">
        <v>8</v>
      </c>
      <c r="I469">
        <v>2</v>
      </c>
      <c r="J469" t="s">
        <v>20</v>
      </c>
      <c r="K469" t="s">
        <v>27</v>
      </c>
      <c r="L469" t="s">
        <v>34</v>
      </c>
    </row>
    <row r="470" spans="1:12" x14ac:dyDescent="0.25">
      <c r="A470">
        <v>469</v>
      </c>
      <c r="B470" s="1">
        <v>44732</v>
      </c>
      <c r="C470" t="s">
        <v>18</v>
      </c>
      <c r="D470" t="s">
        <v>19</v>
      </c>
      <c r="E470" t="s">
        <v>24</v>
      </c>
      <c r="F470">
        <v>45</v>
      </c>
      <c r="G470">
        <v>7468</v>
      </c>
      <c r="H470">
        <v>7</v>
      </c>
      <c r="I470">
        <v>5</v>
      </c>
      <c r="J470" t="s">
        <v>20</v>
      </c>
      <c r="K470" t="s">
        <v>16</v>
      </c>
      <c r="L470" t="s">
        <v>39</v>
      </c>
    </row>
    <row r="471" spans="1:12" x14ac:dyDescent="0.25">
      <c r="A471">
        <v>470</v>
      </c>
      <c r="B471" s="1">
        <v>42467</v>
      </c>
      <c r="C471" t="s">
        <v>30</v>
      </c>
      <c r="D471" t="s">
        <v>38</v>
      </c>
      <c r="E471" t="s">
        <v>14</v>
      </c>
      <c r="F471">
        <v>49</v>
      </c>
      <c r="G471">
        <v>7897</v>
      </c>
      <c r="H471">
        <v>5</v>
      </c>
      <c r="I471">
        <v>5</v>
      </c>
      <c r="J471" t="s">
        <v>20</v>
      </c>
      <c r="K471" t="s">
        <v>27</v>
      </c>
      <c r="L471" t="s">
        <v>25</v>
      </c>
    </row>
    <row r="472" spans="1:12" x14ac:dyDescent="0.25">
      <c r="A472">
        <v>471</v>
      </c>
      <c r="B472" s="1">
        <v>43679</v>
      </c>
      <c r="C472" t="s">
        <v>36</v>
      </c>
      <c r="D472" t="s">
        <v>37</v>
      </c>
      <c r="E472" t="s">
        <v>24</v>
      </c>
      <c r="F472">
        <v>38</v>
      </c>
      <c r="G472">
        <v>8272</v>
      </c>
      <c r="H472">
        <v>7</v>
      </c>
      <c r="I472">
        <v>2</v>
      </c>
      <c r="J472" t="s">
        <v>20</v>
      </c>
      <c r="K472" t="s">
        <v>27</v>
      </c>
      <c r="L472" t="s">
        <v>21</v>
      </c>
    </row>
    <row r="473" spans="1:12" x14ac:dyDescent="0.25">
      <c r="A473">
        <v>472</v>
      </c>
      <c r="B473" s="1">
        <v>40607</v>
      </c>
      <c r="C473" t="s">
        <v>18</v>
      </c>
      <c r="D473" t="s">
        <v>19</v>
      </c>
      <c r="E473" t="s">
        <v>14</v>
      </c>
      <c r="F473">
        <v>22</v>
      </c>
      <c r="G473">
        <v>18818</v>
      </c>
      <c r="H473">
        <v>6</v>
      </c>
      <c r="I473">
        <v>2</v>
      </c>
      <c r="J473" t="s">
        <v>15</v>
      </c>
      <c r="K473" t="s">
        <v>32</v>
      </c>
      <c r="L473" t="s">
        <v>17</v>
      </c>
    </row>
    <row r="474" spans="1:12" x14ac:dyDescent="0.25">
      <c r="A474">
        <v>473</v>
      </c>
      <c r="B474" s="1">
        <v>40379</v>
      </c>
      <c r="C474" t="s">
        <v>22</v>
      </c>
      <c r="D474" t="s">
        <v>35</v>
      </c>
      <c r="E474" t="s">
        <v>24</v>
      </c>
      <c r="F474">
        <v>46</v>
      </c>
      <c r="G474">
        <v>15249</v>
      </c>
      <c r="H474">
        <v>5</v>
      </c>
      <c r="I474">
        <v>5</v>
      </c>
      <c r="J474" t="s">
        <v>20</v>
      </c>
      <c r="K474" t="s">
        <v>16</v>
      </c>
      <c r="L474" t="s">
        <v>25</v>
      </c>
    </row>
    <row r="475" spans="1:12" x14ac:dyDescent="0.25">
      <c r="A475">
        <v>474</v>
      </c>
      <c r="B475" s="1">
        <v>45112</v>
      </c>
      <c r="C475" t="s">
        <v>22</v>
      </c>
      <c r="D475" t="s">
        <v>35</v>
      </c>
      <c r="E475" t="s">
        <v>24</v>
      </c>
      <c r="F475">
        <v>22</v>
      </c>
      <c r="G475">
        <v>5791</v>
      </c>
      <c r="H475">
        <v>4</v>
      </c>
      <c r="I475">
        <v>1</v>
      </c>
      <c r="J475" t="s">
        <v>15</v>
      </c>
      <c r="K475" t="s">
        <v>32</v>
      </c>
      <c r="L475" t="s">
        <v>21</v>
      </c>
    </row>
    <row r="476" spans="1:12" x14ac:dyDescent="0.25">
      <c r="A476">
        <v>475</v>
      </c>
      <c r="B476" s="1">
        <v>44427</v>
      </c>
      <c r="C476" t="s">
        <v>12</v>
      </c>
      <c r="D476" t="s">
        <v>13</v>
      </c>
      <c r="E476" t="s">
        <v>24</v>
      </c>
      <c r="F476">
        <v>32</v>
      </c>
      <c r="G476">
        <v>7233</v>
      </c>
      <c r="H476">
        <v>1</v>
      </c>
      <c r="I476">
        <v>5</v>
      </c>
      <c r="J476" t="s">
        <v>20</v>
      </c>
      <c r="K476" t="s">
        <v>16</v>
      </c>
      <c r="L476" t="s">
        <v>39</v>
      </c>
    </row>
    <row r="477" spans="1:12" x14ac:dyDescent="0.25">
      <c r="A477">
        <v>476</v>
      </c>
      <c r="B477" s="1">
        <v>41014</v>
      </c>
      <c r="C477" t="s">
        <v>22</v>
      </c>
      <c r="D477" t="s">
        <v>35</v>
      </c>
      <c r="E477" t="s">
        <v>14</v>
      </c>
      <c r="F477">
        <v>29</v>
      </c>
      <c r="G477">
        <v>19860</v>
      </c>
      <c r="H477">
        <v>5</v>
      </c>
      <c r="I477">
        <v>3</v>
      </c>
      <c r="J477" t="s">
        <v>20</v>
      </c>
      <c r="K477" t="s">
        <v>32</v>
      </c>
      <c r="L477" t="s">
        <v>21</v>
      </c>
    </row>
    <row r="478" spans="1:12" x14ac:dyDescent="0.25">
      <c r="A478">
        <v>477</v>
      </c>
      <c r="B478" s="1">
        <v>44350</v>
      </c>
      <c r="C478" t="s">
        <v>12</v>
      </c>
      <c r="D478" t="s">
        <v>41</v>
      </c>
      <c r="E478" t="s">
        <v>14</v>
      </c>
      <c r="F478">
        <v>52</v>
      </c>
      <c r="G478">
        <v>9371</v>
      </c>
      <c r="H478">
        <v>4</v>
      </c>
      <c r="I478">
        <v>5</v>
      </c>
      <c r="J478" t="s">
        <v>20</v>
      </c>
      <c r="K478" t="s">
        <v>16</v>
      </c>
      <c r="L478" t="s">
        <v>34</v>
      </c>
    </row>
    <row r="479" spans="1:12" x14ac:dyDescent="0.25">
      <c r="A479">
        <v>478</v>
      </c>
      <c r="B479" s="1">
        <v>44244</v>
      </c>
      <c r="C479" t="s">
        <v>22</v>
      </c>
      <c r="D479" t="s">
        <v>35</v>
      </c>
      <c r="E479" t="s">
        <v>14</v>
      </c>
      <c r="F479">
        <v>50</v>
      </c>
      <c r="G479">
        <v>13549</v>
      </c>
      <c r="H479">
        <v>5</v>
      </c>
      <c r="I479">
        <v>5</v>
      </c>
      <c r="J479" t="s">
        <v>20</v>
      </c>
      <c r="K479" t="s">
        <v>27</v>
      </c>
      <c r="L479" t="s">
        <v>25</v>
      </c>
    </row>
    <row r="480" spans="1:12" x14ac:dyDescent="0.25">
      <c r="A480">
        <v>479</v>
      </c>
      <c r="B480" s="1">
        <v>41042</v>
      </c>
      <c r="C480" t="s">
        <v>36</v>
      </c>
      <c r="D480" t="s">
        <v>42</v>
      </c>
      <c r="E480" t="s">
        <v>24</v>
      </c>
      <c r="F480">
        <v>51</v>
      </c>
      <c r="G480">
        <v>6147</v>
      </c>
      <c r="H480">
        <v>11</v>
      </c>
      <c r="I480">
        <v>4</v>
      </c>
      <c r="J480" t="s">
        <v>20</v>
      </c>
      <c r="K480" t="s">
        <v>27</v>
      </c>
      <c r="L480" t="s">
        <v>21</v>
      </c>
    </row>
    <row r="481" spans="1:12" x14ac:dyDescent="0.25">
      <c r="A481">
        <v>480</v>
      </c>
      <c r="B481" s="1">
        <v>44979</v>
      </c>
      <c r="C481" t="s">
        <v>12</v>
      </c>
      <c r="D481" t="s">
        <v>41</v>
      </c>
      <c r="E481" t="s">
        <v>14</v>
      </c>
      <c r="F481">
        <v>50</v>
      </c>
      <c r="G481">
        <v>7651</v>
      </c>
      <c r="H481">
        <v>0</v>
      </c>
      <c r="I481">
        <v>4</v>
      </c>
      <c r="J481" t="s">
        <v>15</v>
      </c>
      <c r="K481" t="s">
        <v>16</v>
      </c>
      <c r="L481" t="s">
        <v>17</v>
      </c>
    </row>
    <row r="482" spans="1:12" x14ac:dyDescent="0.25">
      <c r="A482">
        <v>481</v>
      </c>
      <c r="B482" s="1">
        <v>44377</v>
      </c>
      <c r="C482" t="s">
        <v>28</v>
      </c>
      <c r="D482" t="s">
        <v>29</v>
      </c>
      <c r="E482" t="s">
        <v>14</v>
      </c>
      <c r="F482">
        <v>29</v>
      </c>
      <c r="G482">
        <v>14699</v>
      </c>
      <c r="H482">
        <v>14</v>
      </c>
      <c r="I482">
        <v>5</v>
      </c>
      <c r="J482" t="s">
        <v>20</v>
      </c>
      <c r="K482" t="s">
        <v>27</v>
      </c>
      <c r="L482" t="s">
        <v>39</v>
      </c>
    </row>
    <row r="483" spans="1:12" x14ac:dyDescent="0.25">
      <c r="A483">
        <v>482</v>
      </c>
      <c r="B483" s="1">
        <v>44930</v>
      </c>
      <c r="C483" t="s">
        <v>36</v>
      </c>
      <c r="D483" t="s">
        <v>42</v>
      </c>
      <c r="E483" t="s">
        <v>14</v>
      </c>
      <c r="F483">
        <v>51</v>
      </c>
      <c r="G483">
        <v>16335</v>
      </c>
      <c r="H483">
        <v>5</v>
      </c>
      <c r="I483">
        <v>4</v>
      </c>
      <c r="J483" t="s">
        <v>15</v>
      </c>
      <c r="K483" t="s">
        <v>16</v>
      </c>
      <c r="L483" t="s">
        <v>17</v>
      </c>
    </row>
    <row r="484" spans="1:12" x14ac:dyDescent="0.25">
      <c r="A484">
        <v>483</v>
      </c>
      <c r="B484" s="1">
        <v>40720</v>
      </c>
      <c r="C484" t="s">
        <v>22</v>
      </c>
      <c r="D484" t="s">
        <v>35</v>
      </c>
      <c r="E484" t="s">
        <v>14</v>
      </c>
      <c r="F484">
        <v>41</v>
      </c>
      <c r="G484">
        <v>12187</v>
      </c>
      <c r="H484">
        <v>15</v>
      </c>
      <c r="I484">
        <v>1</v>
      </c>
      <c r="J484" t="s">
        <v>15</v>
      </c>
      <c r="K484" t="s">
        <v>16</v>
      </c>
      <c r="L484" t="s">
        <v>17</v>
      </c>
    </row>
    <row r="485" spans="1:12" x14ac:dyDescent="0.25">
      <c r="A485">
        <v>484</v>
      </c>
      <c r="B485" s="1">
        <v>42024</v>
      </c>
      <c r="C485" t="s">
        <v>28</v>
      </c>
      <c r="D485" t="s">
        <v>33</v>
      </c>
      <c r="E485" t="s">
        <v>14</v>
      </c>
      <c r="F485">
        <v>26</v>
      </c>
      <c r="G485">
        <v>5044</v>
      </c>
      <c r="H485">
        <v>3</v>
      </c>
      <c r="I485">
        <v>3</v>
      </c>
      <c r="J485" t="s">
        <v>20</v>
      </c>
      <c r="K485" t="s">
        <v>16</v>
      </c>
      <c r="L485" t="s">
        <v>25</v>
      </c>
    </row>
    <row r="486" spans="1:12" x14ac:dyDescent="0.25">
      <c r="A486">
        <v>485</v>
      </c>
      <c r="B486" s="1">
        <v>44553</v>
      </c>
      <c r="C486" t="s">
        <v>12</v>
      </c>
      <c r="D486" t="s">
        <v>13</v>
      </c>
      <c r="E486" t="s">
        <v>14</v>
      </c>
      <c r="F486">
        <v>22</v>
      </c>
      <c r="G486">
        <v>6783</v>
      </c>
      <c r="H486">
        <v>11</v>
      </c>
      <c r="I486">
        <v>4</v>
      </c>
      <c r="J486" t="s">
        <v>20</v>
      </c>
      <c r="K486" t="s">
        <v>32</v>
      </c>
      <c r="L486" t="s">
        <v>34</v>
      </c>
    </row>
    <row r="487" spans="1:12" x14ac:dyDescent="0.25">
      <c r="A487">
        <v>486</v>
      </c>
      <c r="B487" s="1">
        <v>44199</v>
      </c>
      <c r="C487" t="s">
        <v>28</v>
      </c>
      <c r="D487" t="s">
        <v>29</v>
      </c>
      <c r="E487" t="s">
        <v>24</v>
      </c>
      <c r="F487">
        <v>39</v>
      </c>
      <c r="G487">
        <v>15711</v>
      </c>
      <c r="H487">
        <v>11</v>
      </c>
      <c r="I487">
        <v>2</v>
      </c>
      <c r="J487" t="s">
        <v>15</v>
      </c>
      <c r="K487" t="s">
        <v>16</v>
      </c>
      <c r="L487" t="s">
        <v>21</v>
      </c>
    </row>
    <row r="488" spans="1:12" x14ac:dyDescent="0.25">
      <c r="A488">
        <v>487</v>
      </c>
      <c r="B488" s="1">
        <v>43257</v>
      </c>
      <c r="C488" t="s">
        <v>18</v>
      </c>
      <c r="D488" t="s">
        <v>19</v>
      </c>
      <c r="E488" t="s">
        <v>24</v>
      </c>
      <c r="F488">
        <v>41</v>
      </c>
      <c r="G488">
        <v>9501</v>
      </c>
      <c r="H488">
        <v>4</v>
      </c>
      <c r="I488">
        <v>3</v>
      </c>
      <c r="J488" t="s">
        <v>20</v>
      </c>
      <c r="K488" t="s">
        <v>27</v>
      </c>
      <c r="L488" t="s">
        <v>39</v>
      </c>
    </row>
    <row r="489" spans="1:12" x14ac:dyDescent="0.25">
      <c r="A489">
        <v>488</v>
      </c>
      <c r="B489" s="1">
        <v>44096</v>
      </c>
      <c r="C489" t="s">
        <v>22</v>
      </c>
      <c r="D489" t="s">
        <v>23</v>
      </c>
      <c r="E489" t="s">
        <v>14</v>
      </c>
      <c r="F489">
        <v>41</v>
      </c>
      <c r="G489">
        <v>9349</v>
      </c>
      <c r="H489">
        <v>12</v>
      </c>
      <c r="I489">
        <v>4</v>
      </c>
      <c r="J489" t="s">
        <v>20</v>
      </c>
      <c r="K489" t="s">
        <v>27</v>
      </c>
      <c r="L489" t="s">
        <v>25</v>
      </c>
    </row>
    <row r="490" spans="1:12" x14ac:dyDescent="0.25">
      <c r="A490">
        <v>489</v>
      </c>
      <c r="B490" s="1">
        <v>42642</v>
      </c>
      <c r="C490" t="s">
        <v>18</v>
      </c>
      <c r="D490" t="s">
        <v>19</v>
      </c>
      <c r="E490" t="s">
        <v>24</v>
      </c>
      <c r="F490">
        <v>60</v>
      </c>
      <c r="G490">
        <v>4897</v>
      </c>
      <c r="H490">
        <v>13</v>
      </c>
      <c r="I490">
        <v>5</v>
      </c>
      <c r="J490" t="s">
        <v>20</v>
      </c>
      <c r="K490" t="s">
        <v>32</v>
      </c>
      <c r="L490" t="s">
        <v>17</v>
      </c>
    </row>
    <row r="491" spans="1:12" x14ac:dyDescent="0.25">
      <c r="A491">
        <v>490</v>
      </c>
      <c r="B491" s="1">
        <v>42114</v>
      </c>
      <c r="C491" t="s">
        <v>28</v>
      </c>
      <c r="D491" t="s">
        <v>29</v>
      </c>
      <c r="E491" t="s">
        <v>14</v>
      </c>
      <c r="F491">
        <v>56</v>
      </c>
      <c r="G491">
        <v>7244</v>
      </c>
      <c r="H491">
        <v>13</v>
      </c>
      <c r="I491">
        <v>1</v>
      </c>
      <c r="J491" t="s">
        <v>20</v>
      </c>
      <c r="K491" t="s">
        <v>16</v>
      </c>
      <c r="L491" t="s">
        <v>21</v>
      </c>
    </row>
    <row r="492" spans="1:12" x14ac:dyDescent="0.25">
      <c r="A492">
        <v>491</v>
      </c>
      <c r="B492" s="1">
        <v>42146</v>
      </c>
      <c r="C492" t="s">
        <v>12</v>
      </c>
      <c r="D492" t="s">
        <v>13</v>
      </c>
      <c r="E492" t="s">
        <v>14</v>
      </c>
      <c r="F492">
        <v>59</v>
      </c>
      <c r="G492">
        <v>7279</v>
      </c>
      <c r="H492">
        <v>12</v>
      </c>
      <c r="I492">
        <v>4</v>
      </c>
      <c r="J492" t="s">
        <v>20</v>
      </c>
      <c r="K492" t="s">
        <v>27</v>
      </c>
      <c r="L492" t="s">
        <v>25</v>
      </c>
    </row>
    <row r="493" spans="1:12" x14ac:dyDescent="0.25">
      <c r="A493">
        <v>492</v>
      </c>
      <c r="B493" s="1">
        <v>41145</v>
      </c>
      <c r="C493" t="s">
        <v>18</v>
      </c>
      <c r="D493" t="s">
        <v>19</v>
      </c>
      <c r="E493" t="s">
        <v>14</v>
      </c>
      <c r="F493">
        <v>42</v>
      </c>
      <c r="G493">
        <v>13478</v>
      </c>
      <c r="H493">
        <v>9</v>
      </c>
      <c r="I493">
        <v>1</v>
      </c>
      <c r="J493" t="s">
        <v>20</v>
      </c>
      <c r="K493" t="s">
        <v>16</v>
      </c>
      <c r="L493" t="s">
        <v>34</v>
      </c>
    </row>
    <row r="494" spans="1:12" x14ac:dyDescent="0.25">
      <c r="A494">
        <v>493</v>
      </c>
      <c r="B494" s="1">
        <v>41975</v>
      </c>
      <c r="C494" t="s">
        <v>12</v>
      </c>
      <c r="D494" t="s">
        <v>41</v>
      </c>
      <c r="E494" t="s">
        <v>24</v>
      </c>
      <c r="F494">
        <v>51</v>
      </c>
      <c r="G494">
        <v>8623</v>
      </c>
      <c r="H494">
        <v>8</v>
      </c>
      <c r="I494">
        <v>3</v>
      </c>
      <c r="J494" t="s">
        <v>15</v>
      </c>
      <c r="K494" t="s">
        <v>16</v>
      </c>
      <c r="L494" t="s">
        <v>34</v>
      </c>
    </row>
    <row r="495" spans="1:12" x14ac:dyDescent="0.25">
      <c r="A495">
        <v>494</v>
      </c>
      <c r="B495" s="1">
        <v>45045</v>
      </c>
      <c r="C495" t="s">
        <v>12</v>
      </c>
      <c r="D495" t="s">
        <v>41</v>
      </c>
      <c r="E495" t="s">
        <v>14</v>
      </c>
      <c r="F495">
        <v>40</v>
      </c>
      <c r="G495">
        <v>11185</v>
      </c>
      <c r="H495">
        <v>14</v>
      </c>
      <c r="I495">
        <v>4</v>
      </c>
      <c r="J495" t="s">
        <v>15</v>
      </c>
      <c r="K495" t="s">
        <v>27</v>
      </c>
      <c r="L495" t="s">
        <v>21</v>
      </c>
    </row>
    <row r="496" spans="1:12" x14ac:dyDescent="0.25">
      <c r="A496">
        <v>495</v>
      </c>
      <c r="B496" s="1">
        <v>43227</v>
      </c>
      <c r="C496" t="s">
        <v>12</v>
      </c>
      <c r="D496" t="s">
        <v>13</v>
      </c>
      <c r="E496" t="s">
        <v>14</v>
      </c>
      <c r="F496">
        <v>31</v>
      </c>
      <c r="G496">
        <v>12263</v>
      </c>
      <c r="H496">
        <v>8</v>
      </c>
      <c r="I496">
        <v>3</v>
      </c>
      <c r="J496" t="s">
        <v>15</v>
      </c>
      <c r="K496" t="s">
        <v>16</v>
      </c>
      <c r="L496" t="s">
        <v>34</v>
      </c>
    </row>
    <row r="497" spans="1:12" x14ac:dyDescent="0.25">
      <c r="A497">
        <v>496</v>
      </c>
      <c r="B497" s="1">
        <v>44420</v>
      </c>
      <c r="C497" t="s">
        <v>12</v>
      </c>
      <c r="D497" t="s">
        <v>41</v>
      </c>
      <c r="E497" t="s">
        <v>24</v>
      </c>
      <c r="F497">
        <v>31</v>
      </c>
      <c r="G497">
        <v>10448</v>
      </c>
      <c r="H497">
        <v>10</v>
      </c>
      <c r="I497">
        <v>1</v>
      </c>
      <c r="J497" t="s">
        <v>20</v>
      </c>
      <c r="K497" t="s">
        <v>27</v>
      </c>
      <c r="L497" t="s">
        <v>34</v>
      </c>
    </row>
    <row r="498" spans="1:12" x14ac:dyDescent="0.25">
      <c r="A498">
        <v>497</v>
      </c>
      <c r="B498" s="1">
        <v>44850</v>
      </c>
      <c r="C498" t="s">
        <v>30</v>
      </c>
      <c r="D498" t="s">
        <v>31</v>
      </c>
      <c r="E498" t="s">
        <v>24</v>
      </c>
      <c r="F498">
        <v>34</v>
      </c>
      <c r="G498">
        <v>17738</v>
      </c>
      <c r="H498">
        <v>0</v>
      </c>
      <c r="I498">
        <v>4</v>
      </c>
      <c r="J498" t="s">
        <v>15</v>
      </c>
      <c r="K498" t="s">
        <v>27</v>
      </c>
      <c r="L498" t="s">
        <v>34</v>
      </c>
    </row>
    <row r="499" spans="1:12" x14ac:dyDescent="0.25">
      <c r="A499">
        <v>498</v>
      </c>
      <c r="B499" s="1">
        <v>44394</v>
      </c>
      <c r="C499" t="s">
        <v>36</v>
      </c>
      <c r="D499" t="s">
        <v>40</v>
      </c>
      <c r="E499" t="s">
        <v>14</v>
      </c>
      <c r="F499">
        <v>38</v>
      </c>
      <c r="G499">
        <v>10439</v>
      </c>
      <c r="H499">
        <v>6</v>
      </c>
      <c r="I499">
        <v>3</v>
      </c>
      <c r="J499" t="s">
        <v>20</v>
      </c>
      <c r="K499" t="s">
        <v>27</v>
      </c>
      <c r="L499" t="s">
        <v>17</v>
      </c>
    </row>
    <row r="500" spans="1:12" x14ac:dyDescent="0.25">
      <c r="A500">
        <v>499</v>
      </c>
      <c r="B500" s="1">
        <v>41844</v>
      </c>
      <c r="C500" t="s">
        <v>22</v>
      </c>
      <c r="D500" t="s">
        <v>35</v>
      </c>
      <c r="E500" t="s">
        <v>14</v>
      </c>
      <c r="F500">
        <v>39</v>
      </c>
      <c r="G500">
        <v>4932</v>
      </c>
      <c r="H500">
        <v>4</v>
      </c>
      <c r="I500">
        <v>1</v>
      </c>
      <c r="J500" t="s">
        <v>15</v>
      </c>
      <c r="K500" t="s">
        <v>32</v>
      </c>
      <c r="L500" t="s">
        <v>21</v>
      </c>
    </row>
    <row r="501" spans="1:12" x14ac:dyDescent="0.25">
      <c r="A501">
        <v>500</v>
      </c>
      <c r="B501" s="1">
        <v>41087</v>
      </c>
      <c r="C501" t="s">
        <v>30</v>
      </c>
      <c r="D501" t="s">
        <v>31</v>
      </c>
      <c r="E501" t="s">
        <v>14</v>
      </c>
      <c r="F501">
        <v>27</v>
      </c>
      <c r="G501">
        <v>15440</v>
      </c>
      <c r="H501">
        <v>6</v>
      </c>
      <c r="I501">
        <v>3</v>
      </c>
      <c r="J501" t="s">
        <v>20</v>
      </c>
      <c r="K501" t="s">
        <v>32</v>
      </c>
      <c r="L501" t="s">
        <v>21</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C223616-63CD-4B34-BB67-9176469C572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KPI</vt:lpstr>
      <vt:lpstr>count_Dept</vt:lpstr>
      <vt:lpstr>Avg_Salary_Dept.</vt:lpstr>
      <vt:lpstr>Performance_Dist</vt:lpstr>
      <vt:lpstr>Employees_location</vt:lpstr>
      <vt:lpstr>Overtime Analysis</vt:lpstr>
      <vt:lpstr>Processed_Data</vt:lpstr>
      <vt:lpstr>HR_Analytics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20812023100712 20812023100712</cp:lastModifiedBy>
  <dcterms:created xsi:type="dcterms:W3CDTF">2026-02-06T20:04:11Z</dcterms:created>
  <dcterms:modified xsi:type="dcterms:W3CDTF">2026-02-07T08:46:25Z</dcterms:modified>
</cp:coreProperties>
</file>